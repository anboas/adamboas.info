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https://flankspeed-my.sharepoint-mil.us/personal/cheri_a_swailes_civ_us_navy_mil/Documents/Desktop/Cleanup SOW and Other/SRA/"/>
    </mc:Choice>
  </mc:AlternateContent>
  <xr:revisionPtr revIDLastSave="64" documentId="14_{E2B4C691-442C-4505-BD09-0CAA8114CB7E}" xr6:coauthVersionLast="47" xr6:coauthVersionMax="47" xr10:uidLastSave="{C79CBE28-397E-4BA8-BF2C-03129DBF10B0}"/>
  <bookViews>
    <workbookView xWindow="-120" yWindow="-120" windowWidth="51840" windowHeight="21120" tabRatio="776" activeTab="4" xr2:uid="{00000000-000D-0000-FFFF-FFFF00000000}"/>
  </bookViews>
  <sheets>
    <sheet name="Instructions" sheetId="11" r:id="rId1"/>
    <sheet name="Indirect Rates and Fee" sheetId="7" r:id="rId2"/>
    <sheet name="Cost Summary" sheetId="3" r:id="rId3"/>
    <sheet name="Fully Burdened Labor Rates" sheetId="60" r:id="rId4"/>
    <sheet name="Hours Check - FOR GOVT USE" sheetId="10" r:id="rId5"/>
    <sheet name="Do Not Use or Delete" sheetId="9" r:id="rId6"/>
    <sheet name="Minimum Direct Labor Rates" sheetId="59" r:id="rId7"/>
    <sheet name="LCAT setup from IGCE" sheetId="65" r:id="rId8"/>
  </sheets>
  <externalReferences>
    <externalReference r:id="rId9"/>
  </externalReferences>
  <definedNames>
    <definedName name="______hi1" localSheetId="2" hidden="1">{#N/A,#N/A,FALSE,"fy95";#N/A,#N/A,FALSE,"fy96";#N/A,#N/A,FALSE,"ty96";#N/A,#N/A,FALSE,"total";#N/A,#N/A,FALSE,"EAC"}</definedName>
    <definedName name="______hi1" hidden="1">{#N/A,#N/A,FALSE,"fy95";#N/A,#N/A,FALSE,"fy96";#N/A,#N/A,FALSE,"ty96";#N/A,#N/A,FALSE,"total";#N/A,#N/A,FALSE,"EAC"}</definedName>
    <definedName name="_____hi1" localSheetId="2" hidden="1">{#N/A,#N/A,FALSE,"fy95";#N/A,#N/A,FALSE,"fy96";#N/A,#N/A,FALSE,"ty96";#N/A,#N/A,FALSE,"total";#N/A,#N/A,FALSE,"EAC"}</definedName>
    <definedName name="_____hi1" hidden="1">{#N/A,#N/A,FALSE,"fy95";#N/A,#N/A,FALSE,"fy96";#N/A,#N/A,FALSE,"ty96";#N/A,#N/A,FALSE,"total";#N/A,#N/A,FALSE,"EAC"}</definedName>
    <definedName name="____hi1" localSheetId="2" hidden="1">{#N/A,#N/A,FALSE,"fy95";#N/A,#N/A,FALSE,"fy96";#N/A,#N/A,FALSE,"ty96";#N/A,#N/A,FALSE,"total";#N/A,#N/A,FALSE,"EAC"}</definedName>
    <definedName name="____hi1" hidden="1">{#N/A,#N/A,FALSE,"fy95";#N/A,#N/A,FALSE,"fy96";#N/A,#N/A,FALSE,"ty96";#N/A,#N/A,FALSE,"total";#N/A,#N/A,FALSE,"EAC"}</definedName>
    <definedName name="___hi1" localSheetId="2" hidden="1">{#N/A,#N/A,FALSE,"fy95";#N/A,#N/A,FALSE,"fy96";#N/A,#N/A,FALSE,"ty96";#N/A,#N/A,FALSE,"total";#N/A,#N/A,FALSE,"EAC"}</definedName>
    <definedName name="___hi1" hidden="1">{#N/A,#N/A,FALSE,"fy95";#N/A,#N/A,FALSE,"fy96";#N/A,#N/A,FALSE,"ty96";#N/A,#N/A,FALSE,"total";#N/A,#N/A,FALSE,"EAC"}</definedName>
    <definedName name="__123Graph_A" localSheetId="1" hidden="1">#REF!</definedName>
    <definedName name="__123Graph_A" hidden="1">#REF!</definedName>
    <definedName name="__123Graph_ACH17GRP" hidden="1">#REF!</definedName>
    <definedName name="__123Graph_AMATERIAL" localSheetId="1" hidden="1">#REF!</definedName>
    <definedName name="__123Graph_AMATERIAL" hidden="1">#REF!</definedName>
    <definedName name="__123Graph_B" localSheetId="1" hidden="1">#REF!</definedName>
    <definedName name="__123Graph_B" hidden="1">#REF!</definedName>
    <definedName name="__123Graph_BCH17GRP" hidden="1">#REF!</definedName>
    <definedName name="__123Graph_BMATERIAL" localSheetId="1" hidden="1">#REF!</definedName>
    <definedName name="__123Graph_BMATERIAL" hidden="1">#REF!</definedName>
    <definedName name="__123Graph_C" hidden="1">#REF!</definedName>
    <definedName name="__123Graph_CCH17GRP" hidden="1">#REF!</definedName>
    <definedName name="__123Graph_CMATERIAL" localSheetId="1" hidden="1">#REF!</definedName>
    <definedName name="__123Graph_CMATERIAL" hidden="1">#REF!</definedName>
    <definedName name="__123Graph_DMATERIAL" localSheetId="1" hidden="1">#REF!</definedName>
    <definedName name="__123Graph_DMATERIAL" hidden="1">#REF!</definedName>
    <definedName name="__123Graph_E" localSheetId="1" hidden="1">#REF!</definedName>
    <definedName name="__123Graph_E" hidden="1">#REF!</definedName>
    <definedName name="__123Graph_EReport" localSheetId="1" hidden="1">#REF!</definedName>
    <definedName name="__123Graph_EReport" hidden="1">#REF!</definedName>
    <definedName name="__123Graph_F" localSheetId="1" hidden="1">#REF!</definedName>
    <definedName name="__123Graph_F" hidden="1">#REF!</definedName>
    <definedName name="__123Graph_FReport" localSheetId="1" hidden="1">#REF!</definedName>
    <definedName name="__123Graph_FReport" hidden="1">#REF!</definedName>
    <definedName name="__123Graph_X" localSheetId="1" hidden="1">#REF!</definedName>
    <definedName name="__123Graph_X" hidden="1">#REF!</definedName>
    <definedName name="__123Graph_XCH17GRP" hidden="1">#REF!</definedName>
    <definedName name="__hi1" localSheetId="2" hidden="1">{#N/A,#N/A,FALSE,"fy95";#N/A,#N/A,FALSE,"fy96";#N/A,#N/A,FALSE,"ty96";#N/A,#N/A,FALSE,"total";#N/A,#N/A,FALSE,"EAC"}</definedName>
    <definedName name="__hi1" hidden="1">{#N/A,#N/A,FALSE,"fy95";#N/A,#N/A,FALSE,"fy96";#N/A,#N/A,FALSE,"ty96";#N/A,#N/A,FALSE,"total";#N/A,#N/A,FALSE,"EAC"}</definedName>
    <definedName name="__IntlFixup" hidden="1">TRUE</definedName>
    <definedName name="__KEY2" hidden="1">#REF!</definedName>
    <definedName name="_123Grapha_E" hidden="1">#REF!</definedName>
    <definedName name="_1S" localSheetId="1" hidden="1">#REF!</definedName>
    <definedName name="_1S" hidden="1">#REF!</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5</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P6484" localSheetId="2" hidden="1">{"laborr",#N/A,FALSE,"Sheet1";"sumr",#N/A,FALSE,"Sheet1";"odcr",#N/A,FALSE,"Sheet1";"trip1r",#N/A,FALSE,"Sheet1";"trip2r",#N/A,FALSE,"Sheet1";"trip3r",#N/A,FALSE,"Sheet1";"trip4r",#N/A,FALSE,"Sheet1"}</definedName>
    <definedName name="_BP6484" hidden="1">{"laborr",#N/A,FALSE,"Sheet1";"sumr",#N/A,FALSE,"Sheet1";"odcr",#N/A,FALSE,"Sheet1";"trip1r",#N/A,FALSE,"Sheet1";"trip2r",#N/A,FALSE,"Sheet1";"trip3r",#N/A,FALSE,"Sheet1";"trip4r",#N/A,FALSE,"Sheet1"}</definedName>
    <definedName name="_Fill" localSheetId="1" hidden="1">#REF!</definedName>
    <definedName name="_Fill" hidden="1">#REF!</definedName>
    <definedName name="_xlnm._FilterDatabase" localSheetId="5" hidden="1">'Do Not Use or Delete'!$G$1:$G$3</definedName>
    <definedName name="_xlnm._FilterDatabase" localSheetId="7" hidden="1">'LCAT setup from IGCE'!$A$1:$N$432</definedName>
    <definedName name="_xlnm._FilterDatabase" hidden="1">#REF!</definedName>
    <definedName name="_FTE1">988</definedName>
    <definedName name="_FTE2">1012</definedName>
    <definedName name="_hi1" localSheetId="2" hidden="1">{#N/A,#N/A,FALSE,"fy95";#N/A,#N/A,FALSE,"fy96";#N/A,#N/A,FALSE,"ty96";#N/A,#N/A,FALSE,"total";#N/A,#N/A,FALSE,"EAC"}</definedName>
    <definedName name="_hi1" hidden="1">{#N/A,#N/A,FALSE,"fy95";#N/A,#N/A,FALSE,"fy96";#N/A,#N/A,FALSE,"ty96";#N/A,#N/A,FALSE,"total";#N/A,#N/A,FALSE,"EAC"}</definedName>
    <definedName name="_Key1" localSheetId="1" hidden="1">#REF!</definedName>
    <definedName name="_Key1" hidden="1">#REF!</definedName>
    <definedName name="_Key2" localSheetId="1" hidden="1">#REF!</definedName>
    <definedName name="_Key2" hidden="1">#REF!</definedName>
    <definedName name="_LAB2" localSheetId="2" hidden="1">{"GFY 97",#N/A,FALSE,"SCRA LABOR";"GFY 98",#N/A,FALSE,"SCRA LABOR";"GFY 99",#N/A,FALSE,"SCRA LABOR";"GFY 00",#N/A,FALSE,"SCRA LABOR"}</definedName>
    <definedName name="_LAB2" localSheetId="1" hidden="1">{"GFY 97",#N/A,FALSE,"SCRA LABOR";"GFY 98",#N/A,FALSE,"SCRA LABOR";"GFY 99",#N/A,FALSE,"SCRA LABOR";"GFY 00",#N/A,FALSE,"SCRA LABOR"}</definedName>
    <definedName name="_LAB2" hidden="1">{"GFY 97",#N/A,FALSE,"SCRA LABOR";"GFY 98",#N/A,FALSE,"SCRA LABOR";"GFY 99",#N/A,FALSE,"SCRA LABOR";"GFY 00",#N/A,FALSE,"SCRA LABOR"}</definedName>
    <definedName name="_odc1" localSheetId="2" hidden="1">{#N/A,#N/A,FALSE,"ManLoading"}</definedName>
    <definedName name="_odc1" hidden="1">{#N/A,#N/A,FALSE,"ManLoading"}</definedName>
    <definedName name="_odc2" localSheetId="2" hidden="1">{#N/A,#N/A,FALSE,"ManLoading"}</definedName>
    <definedName name="_odc2" hidden="1">{#N/A,#N/A,FALSE,"ManLoading"}</definedName>
    <definedName name="_Order1" hidden="1">255</definedName>
    <definedName name="_Order2" hidden="1">255</definedName>
    <definedName name="_Parse_In" localSheetId="1" hidden="1">#REF!</definedName>
    <definedName name="_Parse_In" hidden="1">#REF!</definedName>
    <definedName name="_Parse_Out" localSheetId="1" hidden="1">#REF!</definedName>
    <definedName name="_Parse_Out" hidden="1">#REF!</definedName>
    <definedName name="_q3" hidden="1">#REF!</definedName>
    <definedName name="_Sort" localSheetId="1" hidden="1">#REF!</definedName>
    <definedName name="_Sort" hidden="1">#REF!</definedName>
    <definedName name="_Table1_In1" hidden="1">#REF!</definedName>
    <definedName name="_Table1_Out" hidden="1">#REF!</definedName>
    <definedName name="a" localSheetId="2" hidden="1">{"Cover Page",#N/A,FALSE,"NIST-1263 Cover Page";"Cover Page Back",#N/A,FALSE,"NIST-1263 Cover Page";#N/A,#N/A,FALSE,"NIST-1263 Page 3";#N/A,#N/A,FALSE,"NIST-1263 Page 4"}</definedName>
    <definedName name="a" localSheetId="1" hidden="1">{"Cover Page",#N/A,FALSE,"NIST-1263 Cover Page";"Cover Page Back",#N/A,FALSE,"NIST-1263 Cover Page";#N/A,#N/A,FALSE,"NIST-1263 Page 3";#N/A,#N/A,FALSE,"NIST-1263 Page 4"}</definedName>
    <definedName name="a" hidden="1">{"Cover Page",#N/A,FALSE,"NIST-1263 Cover Page";"Cover Page Back",#N/A,FALSE,"NIST-1263 Cover Page";#N/A,#N/A,FALSE,"NIST-1263 Page 3";#N/A,#N/A,FALSE,"NIST-1263 Page 4"}</definedName>
    <definedName name="aa" localSheetId="2" hidden="1">{"Cover Page",#N/A,FALSE,"NIST-1263 Cover Page";"Cover Page Back",#N/A,FALSE,"NIST-1263 Cover Page";#N/A,#N/A,FALSE,"NIST-1263 Page 3";#N/A,#N/A,FALSE,"NIST-1263 Page 4"}</definedName>
    <definedName name="aa" localSheetId="1" hidden="1">{"Cover Page",#N/A,FALSE,"NIST-1263 Cover Page";"Cover Page Back",#N/A,FALSE,"NIST-1263 Cover Page";#N/A,#N/A,FALSE,"NIST-1263 Page 3";#N/A,#N/A,FALSE,"NIST-1263 Page 4"}</definedName>
    <definedName name="aa" hidden="1">{"Cover Page",#N/A,FALSE,"NIST-1263 Cover Page";"Cover Page Back",#N/A,FALSE,"NIST-1263 Cover Page";#N/A,#N/A,FALSE,"NIST-1263 Page 3";#N/A,#N/A,FALSE,"NIST-1263 Page 4"}</definedName>
    <definedName name="aaaa" localSheetId="2" hidden="1">{"'Vietnam'!$E$21:$W$45","'Vietnam'!$E$21:$W$45"}</definedName>
    <definedName name="aaaa" localSheetId="1" hidden="1">{"'Vietnam'!$E$21:$W$45","'Vietnam'!$E$21:$W$45"}</definedName>
    <definedName name="aaaa" hidden="1">{"'Vietnam'!$E$21:$W$45","'Vietnam'!$E$21:$W$45"}</definedName>
    <definedName name="ad" localSheetId="2" hidden="1">{"GFY SUMMARY","ATT. A",FALSE,"TOTALS";"GFY 95","GFY 95",FALSE,"TOTALS";"GFY 96","GFY 96",FALSE,"TOTALS";"GFY 97","GFY 97",FALSE,"TOTALS"}</definedName>
    <definedName name="ad" localSheetId="1" hidden="1">{"GFY SUMMARY","ATT. A",FALSE,"TOTALS";"GFY 95","GFY 95",FALSE,"TOTALS";"GFY 96","GFY 96",FALSE,"TOTALS";"GFY 97","GFY 97",FALSE,"TOTALS"}</definedName>
    <definedName name="ad" hidden="1">{"GFY SUMMARY","ATT. A",FALSE,"TOTALS";"GFY 95","GFY 95",FALSE,"TOTALS";"GFY 96","GFY 96",FALSE,"TOTALS";"GFY 97","GFY 97",FALSE,"TOTALS"}</definedName>
    <definedName name="adf" localSheetId="2" hidden="1">{"PAGE1",#N/A,FALSE,"CPFFMSTR";"PAGE2",#N/A,FALSE,"CPFFMSTR"}</definedName>
    <definedName name="adf" hidden="1">{"PAGE1",#N/A,FALSE,"CPFFMSTR";"PAGE2",#N/A,FALSE,"CPFFMSTR"}</definedName>
    <definedName name="adfsdaf" localSheetId="2" hidden="1">{"PAGE1",#N/A,FALSE,"CPFFMSTR";"PAGE2",#N/A,FALSE,"CPFFMSTR"}</definedName>
    <definedName name="adfsdaf" hidden="1">{"PAGE1",#N/A,FALSE,"CPFFMSTR";"PAGE2",#N/A,FALSE,"CPFFMSTR"}</definedName>
    <definedName name="aer" localSheetId="2" hidden="1">{"PAGE1",#N/A,FALSE,"CPFFMSTR";"PAGE2",#N/A,FALSE,"CPFFMSTR"}</definedName>
    <definedName name="aer" hidden="1">{"PAGE1",#N/A,FALSE,"CPFFMSTR";"PAGE2",#N/A,FALSE,"CPFFMSTR"}</definedName>
    <definedName name="aer3e" localSheetId="2" hidden="1">{"PAGE1",#N/A,FALSE,"CPFFMSTR";"PAGE2",#N/A,FALSE,"CPFFMSTR"}</definedName>
    <definedName name="aer3e" hidden="1">{"PAGE1",#N/A,FALSE,"CPFFMSTR";"PAGE2",#N/A,FALSE,"CPFFMSTR"}</definedName>
    <definedName name="aere" localSheetId="2" hidden="1">{"PAGE1",#N/A,FALSE,"CPFFMSTR";"PAGE2",#N/A,FALSE,"CPFFMSTR"}</definedName>
    <definedName name="aere" hidden="1">{"PAGE1",#N/A,FALSE,"CPFFMSTR";"PAGE2",#N/A,FALSE,"CPFFMSTR"}</definedName>
    <definedName name="aesre" localSheetId="2" hidden="1">{"PAGE1",#N/A,FALSE,"CPFFMSTR";"PAGE2",#N/A,FALSE,"CPFFMSTR"}</definedName>
    <definedName name="aesre" hidden="1">{"PAGE1",#N/A,FALSE,"CPFFMSTR";"PAGE2",#N/A,FALSE,"CPFFMSTR"}</definedName>
    <definedName name="Allresults7"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a"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a"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b"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b"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s" localSheetId="2" hidden="1">{"GFY 97",#N/A,FALSE,"SCRA LABOR";"GFY 98",#N/A,FALSE,"SCRA LABOR";"GFY 99",#N/A,FALSE,"SCRA LABOR";"GFY 00",#N/A,FALSE,"SCRA LABOR"}</definedName>
    <definedName name="as" localSheetId="1" hidden="1">{"GFY 97",#N/A,FALSE,"SCRA LABOR";"GFY 98",#N/A,FALSE,"SCRA LABOR";"GFY 99",#N/A,FALSE,"SCRA LABOR";"GFY 00",#N/A,FALSE,"SCRA LABOR"}</definedName>
    <definedName name="as" hidden="1">{"GFY 97",#N/A,FALSE,"SCRA LABOR";"GFY 98",#N/A,FALSE,"SCRA LABOR";"GFY 99",#N/A,FALSE,"SCRA LABOR";"GFY 00",#N/A,FALSE,"SCRA LABOR"}</definedName>
    <definedName name="asdf" localSheetId="2" hidden="1">{"GFY 97",#N/A,FALSE,"MONTHLY FLOW (OPTION)";"GFY 98",#N/A,FALSE,"MONTHLY FLOW (OPTION)";"GFY 99",#N/A,FALSE,"MONTHLY FLOW (OPTION)";"GFY 00",#N/A,FALSE,"MONTHLY FLOW (OPTION)";"TTL PROGRAM",#N/A,FALSE,"MONTHLY FLOW (OPTION)"}</definedName>
    <definedName name="asdf" localSheetId="1" hidden="1">{"GFY 97",#N/A,FALSE,"MONTHLY FLOW (OPTION)";"GFY 98",#N/A,FALSE,"MONTHLY FLOW (OPTION)";"GFY 99",#N/A,FALSE,"MONTHLY FLOW (OPTION)";"GFY 00",#N/A,FALSE,"MONTHLY FLOW (OPTION)";"TTL PROGRAM",#N/A,FALSE,"MONTHLY FLOW (OPTION)"}</definedName>
    <definedName name="asdf" hidden="1">{"GFY 97",#N/A,FALSE,"MONTHLY FLOW (OPTION)";"GFY 98",#N/A,FALSE,"MONTHLY FLOW (OPTION)";"GFY 99",#N/A,FALSE,"MONTHLY FLOW (OPTION)";"GFY 00",#N/A,FALSE,"MONTHLY FLOW (OPTION)";"TTL PROGRAM",#N/A,FALSE,"MONTHLY FLOW (OPTION)"}</definedName>
    <definedName name="asdfas" localSheetId="2" hidden="1">{"Form 1263 Total",#N/A,FALSE,"NIST-1263 Total"}</definedName>
    <definedName name="asdfas" localSheetId="1" hidden="1">{"Form 1263 Total",#N/A,FALSE,"NIST-1263 Total"}</definedName>
    <definedName name="asdfas" hidden="1">{"Form 1263 Total",#N/A,FALSE,"NIST-1263 Total"}</definedName>
    <definedName name="asdfg" localSheetId="2" hidden="1">{"GFY SUMMARY","ATT. A",FALSE,"TOTALS";"GFY 95","GFY 95",FALSE,"TOTALS";"GFY 96","GFY 96",FALSE,"TOTALS";"GFY 97","GFY 97",FALSE,"TOTALS"}</definedName>
    <definedName name="asdfg" localSheetId="1" hidden="1">{"GFY SUMMARY","ATT. A",FALSE,"TOTALS";"GFY 95","GFY 95",FALSE,"TOTALS";"GFY 96","GFY 96",FALSE,"TOTALS";"GFY 97","GFY 97",FALSE,"TOTALS"}</definedName>
    <definedName name="asdfg" hidden="1">{"GFY SUMMARY","ATT. A",FALSE,"TOTALS";"GFY 95","GFY 95",FALSE,"TOTALS";"GFY 96","GFY 96",FALSE,"TOTALS";"GFY 97","GFY 97",FALSE,"TOTALS"}</definedName>
    <definedName name="ATXQAVersion" hidden="1">1</definedName>
    <definedName name="b" localSheetId="2" hidden="1">{"BASE",#N/A,FALSE,"WBS SUMMARY";"OPTION",#N/A,FALSE,"WBS SUMMARY"}</definedName>
    <definedName name="b" localSheetId="1" hidden="1">{"BASE",#N/A,FALSE,"WBS SUMMARY";"OPTION",#N/A,FALSE,"WBS SUMMARY"}</definedName>
    <definedName name="b" hidden="1">{"BASE",#N/A,FALSE,"WBS SUMMARY";"OPTION",#N/A,FALSE,"WBS SUMMARY"}</definedName>
    <definedName name="bb" localSheetId="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 localSheetId="1"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bb" localSheetId="1" hidden="1">#REF!</definedName>
    <definedName name="bbbb" hidden="1">#REF!</definedName>
    <definedName name="BNE_MESSAGES_HIDDEN" hidden="1">#REF!</definedName>
    <definedName name="bver" localSheetId="2" hidden="1">{"PAGE1",#N/A,FALSE,"CPFFMSTR";"PAGE2",#N/A,FALSE,"CPFFMSTR"}</definedName>
    <definedName name="bver" hidden="1">{"PAGE1",#N/A,FALSE,"CPFFMSTR";"PAGE2",#N/A,FALSE,"CPFFMSTR"}</definedName>
    <definedName name="cccc" localSheetId="2" hidden="1">{"'Vietnam'!$E$21:$W$45","'Vietnam'!$E$21:$W$45"}</definedName>
    <definedName name="cccc" localSheetId="1" hidden="1">{"'Vietnam'!$E$21:$W$45","'Vietnam'!$E$21:$W$45"}</definedName>
    <definedName name="cccc" hidden="1">{"'Vietnam'!$E$21:$W$45","'Vietnam'!$E$21:$W$45"}</definedName>
    <definedName name="CGHY" localSheetId="2" hidden="1">{"PAGE1",#N/A,FALSE,"CPFFMSTR";"PAGE2",#N/A,FALSE,"CPFFMSTR"}</definedName>
    <definedName name="CGHY" hidden="1">{"PAGE1",#N/A,FALSE,"CPFFMSTR";"PAGE2",#N/A,FALSE,"CPFFMSTR"}</definedName>
    <definedName name="COST_ELEMENT" localSheetId="2" hidden="1">{"BASE",#N/A,FALSE,"CE BY WBS";"OPTION",#N/A,FALSE,"CE BY WBS"}</definedName>
    <definedName name="COST_ELEMENT" localSheetId="1" hidden="1">{"BASE",#N/A,FALSE,"CE BY WBS";"OPTION",#N/A,FALSE,"CE BY WBS"}</definedName>
    <definedName name="COST_ELEMENT" hidden="1">{"BASE",#N/A,FALSE,"CE BY WBS";"OPTION",#N/A,FALSE,"CE BY WBS"}</definedName>
    <definedName name="COST_ELEMENT2" localSheetId="2" hidden="1">{"BASE",#N/A,FALSE,"CE BY WBS";"OPTION",#N/A,FALSE,"CE BY WBS"}</definedName>
    <definedName name="COST_ELEMENT2" localSheetId="1" hidden="1">{"BASE",#N/A,FALSE,"CE BY WBS";"OPTION",#N/A,FALSE,"CE BY WBS"}</definedName>
    <definedName name="COST_ELEMENT2" hidden="1">{"BASE",#N/A,FALSE,"CE BY WBS";"OPTION",#N/A,FALSE,"CE BY WBS"}</definedName>
    <definedName name="d" localSheetId="2" hidden="1">{#N/A,#N/A,FALSE,"fy95";#N/A,#N/A,FALSE,"fy96";#N/A,#N/A,FALSE,"ty96";#N/A,#N/A,FALSE,"total";#N/A,#N/A,FALSE,"EAC"}</definedName>
    <definedName name="d" hidden="1">{#N/A,#N/A,FALSE,"fy95";#N/A,#N/A,FALSE,"fy96";#N/A,#N/A,FALSE,"ty96";#N/A,#N/A,FALSE,"total";#N/A,#N/A,FALSE,"EAC"}</definedName>
    <definedName name="DD" localSheetId="1" hidden="1">#REF!</definedName>
    <definedName name="DD" hidden="1">#REF!</definedName>
    <definedName name="ddd" localSheetId="2" hidden="1">{"BASE",#N/A,FALSE,"WBS SUMMARY";"OPTION",#N/A,FALSE,"WBS SUMMARY"}</definedName>
    <definedName name="ddd" localSheetId="1" hidden="1">{"BASE",#N/A,FALSE,"WBS SUMMARY";"OPTION",#N/A,FALSE,"WBS SUMMARY"}</definedName>
    <definedName name="ddd" hidden="1">{"BASE",#N/A,FALSE,"WBS SUMMARY";"OPTION",#N/A,FALSE,"WBS SUMMARY"}</definedName>
    <definedName name="dddd" localSheetId="2" hidden="1">{"GFY 95","GFY 95",FALSE,"TOTALS";"GFY 96","GFY 96",FALSE,"TOTALS";"GFY 97","GFY 97",FALSE,"TOTALS"}</definedName>
    <definedName name="dddd" localSheetId="1" hidden="1">{"GFY 95","GFY 95",FALSE,"TOTALS";"GFY 96","GFY 96",FALSE,"TOTALS";"GFY 97","GFY 97",FALSE,"TOTALS"}</definedName>
    <definedName name="dddd" hidden="1">{"GFY 95","GFY 95",FALSE,"TOTALS";"GFY 96","GFY 96",FALSE,"TOTALS";"GFY 97","GFY 97",FALSE,"TOTALS"}</definedName>
    <definedName name="ddddd" localSheetId="2" hidden="1">{"GFY 97",#N/A,FALSE,"MONTHLY FLOW (OPTION)";"GFY 98",#N/A,FALSE,"MONTHLY FLOW (OPTION)";"GFY 99",#N/A,FALSE,"MONTHLY FLOW (OPTION)";"GFY 00",#N/A,FALSE,"MONTHLY FLOW (OPTION)";"TTL PROGRAM",#N/A,FALSE,"MONTHLY FLOW (OPTION)"}</definedName>
    <definedName name="ddddd" localSheetId="1" hidden="1">{"GFY 97",#N/A,FALSE,"MONTHLY FLOW (OPTION)";"GFY 98",#N/A,FALSE,"MONTHLY FLOW (OPTION)";"GFY 99",#N/A,FALSE,"MONTHLY FLOW (OPTION)";"GFY 00",#N/A,FALSE,"MONTHLY FLOW (OPTION)";"TTL PROGRAM",#N/A,FALSE,"MONTHLY FLOW (OPTION)"}</definedName>
    <definedName name="ddddd" hidden="1">{"GFY 97",#N/A,FALSE,"MONTHLY FLOW (OPTION)";"GFY 98",#N/A,FALSE,"MONTHLY FLOW (OPTION)";"GFY 99",#N/A,FALSE,"MONTHLY FLOW (OPTION)";"GFY 00",#N/A,FALSE,"MONTHLY FLOW (OPTION)";"TTL PROGRAM",#N/A,FALSE,"MONTHLY FLOW (OPTION)"}</definedName>
    <definedName name="DFTY" localSheetId="2" hidden="1">{"PAGE1",#N/A,FALSE,"CPFFMSTR";"PAGE2",#N/A,FALSE,"CPFFMSTR"}</definedName>
    <definedName name="DFTY" hidden="1">{"PAGE1",#N/A,FALSE,"CPFFMSTR";"PAGE2",#N/A,FALSE,"CPFFMSTR"}</definedName>
    <definedName name="DOLLARS" localSheetId="2" hidden="1">{"'Staffing'!$A$6:$F$43"}</definedName>
    <definedName name="DOLLARS" localSheetId="1" hidden="1">{"'Staffing'!$A$6:$F$43"}</definedName>
    <definedName name="DOLLARS" hidden="1">{"'Staffing'!$A$6:$F$43"}</definedName>
    <definedName name="dsfa" localSheetId="2" hidden="1">{"PAGE1",#N/A,FALSE,"CPFFMSTR";"PAGE2",#N/A,FALSE,"CPFFMSTR"}</definedName>
    <definedName name="dsfa" hidden="1">{"PAGE1",#N/A,FALSE,"CPFFMSTR";"PAGE2",#N/A,FALSE,"CPFFMSTR"}</definedName>
    <definedName name="dtys" localSheetId="2" hidden="1">{"PAGE1",#N/A,FALSE,"CPFFMSTR";"PAGE2",#N/A,FALSE,"CPFFMSTR"}</definedName>
    <definedName name="dtys" hidden="1">{"PAGE1",#N/A,FALSE,"CPFFMSTR";"PAGE2",#N/A,FALSE,"CPFFMSTR"}</definedName>
    <definedName name="duplicate123A" hidden="1">#REF!</definedName>
    <definedName name="eafo" localSheetId="2" hidden="1">{"ACC_Cars_125K_PA",#N/A,FALSE,"ACC Cars Co1 125K ";"ACC_Cars_125K_Prop",#N/A,FALSE,"ACC Cars Co1 125K "}</definedName>
    <definedName name="eafo" hidden="1">{"ACC_Cars_125K_PA",#N/A,FALSE,"ACC Cars Co1 125K ";"ACC_Cars_125K_Prop",#N/A,FALSE,"ACC Cars Co1 125K "}</definedName>
    <definedName name="eafo1" localSheetId="2" hidden="1">{"ACC_Cars_400K_PA",#N/A,FALSE,"ACC Cars Co1 400K";"ACC_Cars_400K_Prop",#N/A,FALSE,"ACC Cars Co1 400K"}</definedName>
    <definedName name="eafo1" hidden="1">{"ACC_Cars_400K_PA",#N/A,FALSE,"ACC Cars Co1 400K";"ACC_Cars_400K_Prop",#N/A,FALSE,"ACC Cars Co1 400K"}</definedName>
    <definedName name="eafo10" localSheetId="2" hidden="1">{"PearsonCo1_Prop",#N/A,FALSE,"Pearsons Task Co1";"PearsonCo1_PA",#N/A,FALSE,"Pearsons Task Co1"}</definedName>
    <definedName name="eafo10" hidden="1">{"PearsonCo1_Prop",#N/A,FALSE,"Pearsons Task Co1";"PearsonCo1_PA",#N/A,FALSE,"Pearsons Task Co1"}</definedName>
    <definedName name="eafo11" localSheetId="2" hidden="1">{"PearsonCo5_Prop",#N/A,FALSE,"Pearsons Task Co5";"PearsonCo5_PA",#N/A,FALSE,"Pearsons Task Co5"}</definedName>
    <definedName name="eafo11" hidden="1">{"PearsonCo5_Prop",#N/A,FALSE,"Pearsons Task Co5";"PearsonCo5_PA",#N/A,FALSE,"Pearsons Task Co5"}</definedName>
    <definedName name="eafo12" localSheetId="2" hidden="1">{"Seal Team J6 Sum",#N/A,FALSE,"Seal Team Summary";"Seal Team J6",#N/A,FALSE,"Seal Team ";"Seal Team ODC J6",#N/A,FALSE,"Seal Team ODCs";"Seal Team Trvl J6",#N/A,FALSE," Seal Team Trvl"}</definedName>
    <definedName name="eafo12" hidden="1">{"Seal Team J6 Sum",#N/A,FALSE,"Seal Team Summary";"Seal Team J6",#N/A,FALSE,"Seal Team ";"Seal Team ODC J6",#N/A,FALSE,"Seal Team ODCs";"Seal Team Trvl J6",#N/A,FALSE," Seal Team Trvl"}</definedName>
    <definedName name="eafo15" localSheetId="2" hidden="1">{"ACC_Cars_125K_PA",#N/A,FALSE,"ACC Cars Co1 125K ";"ACC_Cars_125K_Prop",#N/A,FALSE,"ACC Cars Co1 125K "}</definedName>
    <definedName name="eafo15" hidden="1">{"ACC_Cars_125K_PA",#N/A,FALSE,"ACC Cars Co1 125K ";"ACC_Cars_125K_Prop",#N/A,FALSE,"ACC Cars Co1 125K "}</definedName>
    <definedName name="eafo16" localSheetId="2" hidden="1">{"ACC_Cars_400K_PA",#N/A,FALSE,"ACC Cars Co1 400K";"ACC_Cars_400K_Prop",#N/A,FALSE,"ACC Cars Co1 400K"}</definedName>
    <definedName name="eafo16" hidden="1">{"ACC_Cars_400K_PA",#N/A,FALSE,"ACC Cars Co1 400K";"ACC_Cars_400K_Prop",#N/A,FALSE,"ACC Cars Co1 400K"}</definedName>
    <definedName name="eafo17" localSheetId="2" hidden="1">{"PAGE1",#N/A,FALSE,"ACC_CARS Travel 125K";"PAGE2",#N/A,FALSE,"ACC_CARS Travel 125K"}</definedName>
    <definedName name="eafo17" hidden="1">{"PAGE1",#N/A,FALSE,"ACC_CARS Travel 125K";"PAGE2",#N/A,FALSE,"ACC_CARS Travel 125K"}</definedName>
    <definedName name="eafo18" localSheetId="2" hidden="1">{"Page1",#N/A,FALSE,"ACC_CARS Travel 400K";"Page2",#N/A,FALSE,"ACC_CARS Travel 400K"}</definedName>
    <definedName name="eafo18" hidden="1">{"Page1",#N/A,FALSE,"ACC_CARS Travel 400K";"Page2",#N/A,FALSE,"ACC_CARS Travel 400K"}</definedName>
    <definedName name="eafo19" localSheetId="2" hidden="1">{"Pre_CCB",#N/A,FALSE,"Pre CCB Pkg ";"CCB_Memb_Notbk",#N/A,FALSE,"CCB_Memb_Notebk";"CCB_Handouts",#N/A,FALSE,"Handouts";"JDISS_Brochure",#N/A,FALSE,"JDISS_Brochure";"JDISS_Minutes",#N/A,FALSE,"JDISS_Minutes";"Total_JDISS",#N/A,FALSE,"Total JDISS"}</definedName>
    <definedName name="eafo19" hidden="1">{"Pre_CCB",#N/A,FALSE,"Pre CCB Pkg ";"CCB_Memb_Notbk",#N/A,FALSE,"CCB_Memb_Notebk";"CCB_Handouts",#N/A,FALSE,"Handouts";"JDISS_Brochure",#N/A,FALSE,"JDISS_Brochure";"JDISS_Minutes",#N/A,FALSE,"JDISS_Minutes";"Total_JDISS",#N/A,FALSE,"Total JDISS"}</definedName>
    <definedName name="eafo2" localSheetId="2" hidden="1">{"PAGE1",#N/A,FALSE,"ACC_CARS Travel 125K";"PAGE2",#N/A,FALSE,"ACC_CARS Travel 125K"}</definedName>
    <definedName name="eafo2" hidden="1">{"PAGE1",#N/A,FALSE,"ACC_CARS Travel 125K";"PAGE2",#N/A,FALSE,"ACC_CARS Travel 125K"}</definedName>
    <definedName name="eafo20" localSheetId="2" hidden="1">{"DolanCo1_PA",#N/A,FALSE,"Tina Dolan";"DolanCo1_Prop",#N/A,FALSE,"Tina Dolan"}</definedName>
    <definedName name="eafo20" hidden="1">{"DolanCo1_PA",#N/A,FALSE,"Tina Dolan";"DolanCo1_Prop",#N/A,FALSE,"Tina Dolan"}</definedName>
    <definedName name="eafo21" localSheetId="2" hidden="1">{"Prop_350K",#N/A,FALSE,"Ebron-350K";"PA_350K",#N/A,FALSE,"Ebron-350K";"Ebron350KTrvl",#N/A,FALSE,"Ebrons Travel 350k"}</definedName>
    <definedName name="eafo21" hidden="1">{"Prop_350K",#N/A,FALSE,"Ebron-350K";"PA_350K",#N/A,FALSE,"Ebron-350K";"Ebron350KTrvl",#N/A,FALSE,"Ebrons Travel 350k"}</definedName>
    <definedName name="eafo22" localSheetId="2" hidden="1">{"EbronCo1_PA",#N/A,FALSE,"Ebrons Task Co1";"EbronCo1_Prop",#N/A,FALSE,"Ebrons Task Co1";"Ebron316KTrvl",#N/A,FALSE,"Ebrons Travel 316k"}</definedName>
    <definedName name="eafo22" hidden="1">{"EbronCo1_PA",#N/A,FALSE,"Ebrons Task Co1";"EbronCo1_Prop",#N/A,FALSE,"Ebrons Task Co1";"Ebron316KTrvl",#N/A,FALSE,"Ebrons Travel 316k"}</definedName>
    <definedName name="eafo23" localSheetId="2" hidden="1">{"EbronCo5_PA",#N/A,FALSE,"Ebrons Task Co5";"EbronCo5_Prop",#N/A,FALSE,"Ebrons Task Co5"}</definedName>
    <definedName name="eafo23" hidden="1">{"EbronCo5_PA",#N/A,FALSE,"Ebrons Task Co5";"EbronCo5_Prop",#N/A,FALSE,"Ebrons Task Co5"}</definedName>
    <definedName name="eafo24" localSheetId="2" hidden="1">{"JDISS_Co1",#N/A,FALSE,"JDISS_Co1";"JDISSCo1_PA",#N/A,FALSE,"JDISS_Co1"}</definedName>
    <definedName name="eafo24" hidden="1">{"JDISS_Co1",#N/A,FALSE,"JDISS_Co1";"JDISSCo1_PA",#N/A,FALSE,"JDISS_Co1"}</definedName>
    <definedName name="eafo26" localSheetId="2" hidden="1">{"PearsonCo5_Prop",#N/A,FALSE,"Pearsons Task Co5";"PearsonCo5_PA",#N/A,FALSE,"Pearsons Task Co5"}</definedName>
    <definedName name="eafo26" hidden="1">{"PearsonCo5_Prop",#N/A,FALSE,"Pearsons Task Co5";"PearsonCo5_PA",#N/A,FALSE,"Pearsons Task Co5"}</definedName>
    <definedName name="eafo27" localSheetId="2" hidden="1">{"Seal Team J6 Sum",#N/A,FALSE,"Seal Team Summary";"Seal Team J6",#N/A,FALSE,"Seal Team ";"Seal Team ODC J6",#N/A,FALSE,"Seal Team ODCs";"Seal Team Trvl J6",#N/A,FALSE," Seal Team Trvl"}</definedName>
    <definedName name="eafo27" hidden="1">{"Seal Team J6 Sum",#N/A,FALSE,"Seal Team Summary";"Seal Team J6",#N/A,FALSE,"Seal Team ";"Seal Team ODC J6",#N/A,FALSE,"Seal Team ODCs";"Seal Team Trvl J6",#N/A,FALSE," Seal Team Trvl"}</definedName>
    <definedName name="eafo3" localSheetId="2" hidden="1">{"Page1",#N/A,FALSE,"ACC_CARS Travel 400K";"Page2",#N/A,FALSE,"ACC_CARS Travel 400K"}</definedName>
    <definedName name="eafo3" hidden="1">{"Page1",#N/A,FALSE,"ACC_CARS Travel 400K";"Page2",#N/A,FALSE,"ACC_CARS Travel 400K"}</definedName>
    <definedName name="eafo4" localSheetId="2" hidden="1">{"Pre_CCB",#N/A,FALSE,"Pre CCB Pkg ";"CCB_Memb_Notbk",#N/A,FALSE,"CCB_Memb_Notebk";"CCB_Handouts",#N/A,FALSE,"Handouts";"JDISS_Brochure",#N/A,FALSE,"JDISS_Brochure";"JDISS_Minutes",#N/A,FALSE,"JDISS_Minutes";"Total_JDISS",#N/A,FALSE,"Total JDISS"}</definedName>
    <definedName name="eafo4" hidden="1">{"Pre_CCB",#N/A,FALSE,"Pre CCB Pkg ";"CCB_Memb_Notbk",#N/A,FALSE,"CCB_Memb_Notebk";"CCB_Handouts",#N/A,FALSE,"Handouts";"JDISS_Brochure",#N/A,FALSE,"JDISS_Brochure";"JDISS_Minutes",#N/A,FALSE,"JDISS_Minutes";"Total_JDISS",#N/A,FALSE,"Total JDISS"}</definedName>
    <definedName name="eafo5" localSheetId="2" hidden="1">{"DolanCo1_PA",#N/A,FALSE,"Tina Dolan";"DolanCo1_Prop",#N/A,FALSE,"Tina Dolan"}</definedName>
    <definedName name="eafo5" hidden="1">{"DolanCo1_PA",#N/A,FALSE,"Tina Dolan";"DolanCo1_Prop",#N/A,FALSE,"Tina Dolan"}</definedName>
    <definedName name="eafo6" localSheetId="2" hidden="1">{"Prop_350K",#N/A,FALSE,"Ebron-350K";"PA_350K",#N/A,FALSE,"Ebron-350K";"Ebron350KTrvl",#N/A,FALSE,"Ebrons Travel 350k"}</definedName>
    <definedName name="eafo6" hidden="1">{"Prop_350K",#N/A,FALSE,"Ebron-350K";"PA_350K",#N/A,FALSE,"Ebron-350K";"Ebron350KTrvl",#N/A,FALSE,"Ebrons Travel 350k"}</definedName>
    <definedName name="eafo7" localSheetId="2" hidden="1">{"EbronCo1_PA",#N/A,FALSE,"Ebrons Task Co1";"EbronCo1_Prop",#N/A,FALSE,"Ebrons Task Co1";"Ebron316KTrvl",#N/A,FALSE,"Ebrons Travel 316k"}</definedName>
    <definedName name="eafo7" hidden="1">{"EbronCo1_PA",#N/A,FALSE,"Ebrons Task Co1";"EbronCo1_Prop",#N/A,FALSE,"Ebrons Task Co1";"Ebron316KTrvl",#N/A,FALSE,"Ebrons Travel 316k"}</definedName>
    <definedName name="eafo8" localSheetId="2" hidden="1">{"EbronCo5_PA",#N/A,FALSE,"Ebrons Task Co5";"EbronCo5_Prop",#N/A,FALSE,"Ebrons Task Co5"}</definedName>
    <definedName name="eafo8" hidden="1">{"EbronCo5_PA",#N/A,FALSE,"Ebrons Task Co5";"EbronCo5_Prop",#N/A,FALSE,"Ebrons Task Co5"}</definedName>
    <definedName name="eafo9" localSheetId="2" hidden="1">{"JDISS_Co1",#N/A,FALSE,"JDISS_Co1";"JDISSCo1_PA",#N/A,FALSE,"JDISS_Co1"}</definedName>
    <definedName name="eafo9" hidden="1">{"JDISS_Co1",#N/A,FALSE,"JDISS_Co1";"JDISSCo1_PA",#N/A,FALSE,"JDISS_Co1"}</definedName>
    <definedName name="earo25" localSheetId="2" hidden="1">{"PearsonCo1_Prop",#N/A,FALSE,"Pearsons Task Co1";"PearsonCo1_PA",#N/A,FALSE,"Pearsons Task Co1"}</definedName>
    <definedName name="earo25" hidden="1">{"PearsonCo1_Prop",#N/A,FALSE,"Pearsons Task Co1";"PearsonCo1_PA",#N/A,FALSE,"Pearsons Task Co1"}</definedName>
    <definedName name="eee" localSheetId="2" hidden="1">{#N/A,#N/A,FALSE,"fy95";#N/A,#N/A,FALSE,"fy96";#N/A,#N/A,FALSE,"ty96";#N/A,#N/A,FALSE,"total";#N/A,#N/A,FALSE,"EAC"}</definedName>
    <definedName name="eee" hidden="1">{#N/A,#N/A,FALSE,"fy95";#N/A,#N/A,FALSE,"fy96";#N/A,#N/A,FALSE,"ty96";#N/A,#N/A,FALSE,"total";#N/A,#N/A,FALSE,"EAC"}</definedName>
    <definedName name="eeee" localSheetId="2" hidden="1">{"'Vietnam'!$E$21:$W$45","'Vietnam'!$E$21:$W$45"}</definedName>
    <definedName name="eeee" localSheetId="1" hidden="1">{"'Vietnam'!$E$21:$W$45","'Vietnam'!$E$21:$W$45"}</definedName>
    <definedName name="eeee" hidden="1">{"'Vietnam'!$E$21:$W$45","'Vietnam'!$E$21:$W$45"}</definedName>
    <definedName name="eras" localSheetId="2" hidden="1">{"PAGE1",#N/A,FALSE,"CPFFMSTR";"PAGE2",#N/A,FALSE,"CPFFMSTR"}</definedName>
    <definedName name="eras" hidden="1">{"PAGE1",#N/A,FALSE,"CPFFMSTR";"PAGE2",#N/A,FALSE,"CPFFMSTR"}</definedName>
    <definedName name="eraseme" localSheetId="2" hidden="1">{"laborr",#N/A,FALSE,"Sheet1";"sumr",#N/A,FALSE,"Sheet1";"odcr",#N/A,FALSE,"Sheet1";"trip1r",#N/A,FALSE,"Sheet1";"trip2r",#N/A,FALSE,"Sheet1";"trip3r",#N/A,FALSE,"Sheet1";"trip4r",#N/A,FALSE,"Sheet1"}</definedName>
    <definedName name="eraseme" hidden="1">{"laborr",#N/A,FALSE,"Sheet1";"sumr",#N/A,FALSE,"Sheet1";"odcr",#N/A,FALSE,"Sheet1";"trip1r",#N/A,FALSE,"Sheet1";"trip2r",#N/A,FALSE,"Sheet1";"trip3r",#N/A,FALSE,"Sheet1";"trip4r",#N/A,FALSE,"Sheet1"}</definedName>
    <definedName name="eraseme1" localSheetId="2" hidden="1">{"laborr",#N/A,FALSE,"Sheet1";"sumr",#N/A,FALSE,"Sheet1";"odcr",#N/A,FALSE,"Sheet1";"trip1r",#N/A,FALSE,"Sheet1";"trip2r",#N/A,FALSE,"Sheet1";"trip3r",#N/A,FALSE,"Sheet1";"trip4r",#N/A,FALSE,"Sheet1"}</definedName>
    <definedName name="eraseme1" hidden="1">{"laborr",#N/A,FALSE,"Sheet1";"sumr",#N/A,FALSE,"Sheet1";"odcr",#N/A,FALSE,"Sheet1";"trip1r",#N/A,FALSE,"Sheet1";"trip2r",#N/A,FALSE,"Sheet1";"trip3r",#N/A,FALSE,"Sheet1";"trip4r",#N/A,FALSE,"Sheet1"}</definedName>
    <definedName name="eraseme2" localSheetId="2" hidden="1">{"cptwor",#N/A,FALSE,"CP";"cpthreer",#N/A,FALSE,"CP";"sumr",#N/A,FALSE,"CP";"odcr",#N/A,FALSE,"CP"}</definedName>
    <definedName name="eraseme2" hidden="1">{"cptwor",#N/A,FALSE,"CP";"cpthreer",#N/A,FALSE,"CP";"sumr",#N/A,FALSE,"CP";"odcr",#N/A,FALSE,"CP"}</definedName>
    <definedName name="eraseme3" localSheetId="2" hidden="1">{"laborr",#N/A,FALSE,"Sheet1";"sumr",#N/A,FALSE,"Sheet1";"odcr",#N/A,FALSE,"Sheet1";"trip1r",#N/A,FALSE,"Sheet1"}</definedName>
    <definedName name="eraseme3" hidden="1">{"laborr",#N/A,FALSE,"Sheet1";"sumr",#N/A,FALSE,"Sheet1";"odcr",#N/A,FALSE,"Sheet1";"trip1r",#N/A,FALSE,"Sheet1"}</definedName>
    <definedName name="eraseme4" localSheetId="2" hidden="1">{"laborr",#N/A,FALSE,"costprop";"sumr",#N/A,FALSE,"costprop";"odcr",#N/A,FALSE,"costprop";"trip1r",#N/A,FALSE,"costprop";"trip2r",#N/A,FALSE,"costprop"}</definedName>
    <definedName name="eraseme4" hidden="1">{"laborr",#N/A,FALSE,"costprop";"sumr",#N/A,FALSE,"costprop";"odcr",#N/A,FALSE,"costprop";"trip1r",#N/A,FALSE,"costprop";"trip2r",#N/A,FALSE,"costprop"}</definedName>
    <definedName name="eraseme5" localSheetId="2" hidden="1">{"laborr",#N/A,FALSE,"costprop";"sumr",#N/A,FALSE,"costprop";"odcr",#N/A,FALSE,"costprop";"trip1r",#N/A,FALSE,"costprop";"trip2r",#N/A,FALSE,"costprop";"trip3r",#N/A,FALSE,"costprop"}</definedName>
    <definedName name="eraseme5" hidden="1">{"laborr",#N/A,FALSE,"costprop";"sumr",#N/A,FALSE,"costprop";"odcr",#N/A,FALSE,"costprop";"trip1r",#N/A,FALSE,"costprop";"trip2r",#N/A,FALSE,"costprop";"trip3r",#N/A,FALSE,"costprop"}</definedName>
    <definedName name="eraseme6" localSheetId="2" hidden="1">{"par",#N/A,FALSE,"PA";"odcr",#N/A,FALSE,"PA";"paxr",#N/A,FALSE,"PA"}</definedName>
    <definedName name="eraseme6" hidden="1">{"par",#N/A,FALSE,"PA";"odcr",#N/A,FALSE,"PA";"paxr",#N/A,FALSE,"PA"}</definedName>
    <definedName name="eraseme7" localSheetId="2" hidden="1">{"PAGE1",#N/A,FALSE,"CPFFMSTR";"PAGE2",#N/A,FALSE,"CPFFMSTR"}</definedName>
    <definedName name="eraseme7" hidden="1">{"PAGE1",#N/A,FALSE,"CPFFMSTR";"PAGE2",#N/A,FALSE,"CPFFMSTR"}</definedName>
    <definedName name="erwe" localSheetId="2" hidden="1">{"PAGE1",#N/A,FALSE,"CPFFMSTR";"PAGE2",#N/A,FALSE,"CPFFMSTR"}</definedName>
    <definedName name="erwe" hidden="1">{"PAGE1",#N/A,FALSE,"CPFFMSTR";"PAGE2",#N/A,FALSE,"CPFFMSTR"}</definedName>
    <definedName name="FASBResults1" localSheetId="2" hidden="1">{#N/A,#N/A,FALSE,"Input";#N/A,#N/A,FALSE,"LastYearInput";#N/A,#N/A,FALSE,"NextYearData";#N/A,#N/A,FALSE,"NPPC";#N/A,#N/A,FALSE,"ReconPC";#N/A,#N/A,FALSE,"PSCAmort";#N/A,#N/A,FALSE,"FASBGL";#N/A,#N/A,FALSE,"FAS132";#N/A,#N/A,FALSE,"AML";#N/A,#N/A,FALSE,"FAS35"}</definedName>
    <definedName name="FASBResults1" hidden="1">{#N/A,#N/A,FALSE,"Input";#N/A,#N/A,FALSE,"LastYearInput";#N/A,#N/A,FALSE,"NextYearData";#N/A,#N/A,FALSE,"NPPC";#N/A,#N/A,FALSE,"ReconPC";#N/A,#N/A,FALSE,"PSCAmort";#N/A,#N/A,FALSE,"FASBGL";#N/A,#N/A,FALSE,"FAS132";#N/A,#N/A,FALSE,"AML";#N/A,#N/A,FALSE,"FAS35"}</definedName>
    <definedName name="FASBResults7" localSheetId="2" hidden="1">{#N/A,#N/A,FALSE,"Input";#N/A,#N/A,FALSE,"LastYearInput";#N/A,#N/A,FALSE,"NextYearData";#N/A,#N/A,FALSE,"NPPC";#N/A,#N/A,FALSE,"ReconPC";#N/A,#N/A,FALSE,"PSCAmort";#N/A,#N/A,FALSE,"FASBGL";#N/A,#N/A,FALSE,"FAS132";#N/A,#N/A,FALSE,"AML";#N/A,#N/A,FALSE,"FAS35"}</definedName>
    <definedName name="FASBResults7" hidden="1">{#N/A,#N/A,FALSE,"Input";#N/A,#N/A,FALSE,"LastYearInput";#N/A,#N/A,FALSE,"NextYearData";#N/A,#N/A,FALSE,"NPPC";#N/A,#N/A,FALSE,"ReconPC";#N/A,#N/A,FALSE,"PSCAmort";#N/A,#N/A,FALSE,"FASBGL";#N/A,#N/A,FALSE,"FAS132";#N/A,#N/A,FALSE,"AML";#N/A,#N/A,FALSE,"FAS35"}</definedName>
    <definedName name="FASBResults7a" localSheetId="2" hidden="1">{#N/A,#N/A,FALSE,"Input";#N/A,#N/A,FALSE,"LastYearInput";#N/A,#N/A,FALSE,"NextYearData";#N/A,#N/A,FALSE,"NPPC";#N/A,#N/A,FALSE,"ReconPC";#N/A,#N/A,FALSE,"PSCAmort";#N/A,#N/A,FALSE,"FASBGL";#N/A,#N/A,FALSE,"FAS132";#N/A,#N/A,FALSE,"AML";#N/A,#N/A,FALSE,"FAS35"}</definedName>
    <definedName name="FASBResults7a" hidden="1">{#N/A,#N/A,FALSE,"Input";#N/A,#N/A,FALSE,"LastYearInput";#N/A,#N/A,FALSE,"NextYearData";#N/A,#N/A,FALSE,"NPPC";#N/A,#N/A,FALSE,"ReconPC";#N/A,#N/A,FALSE,"PSCAmort";#N/A,#N/A,FALSE,"FASBGL";#N/A,#N/A,FALSE,"FAS132";#N/A,#N/A,FALSE,"AML";#N/A,#N/A,FALSE,"FAS35"}</definedName>
    <definedName name="Fasbresults7b" localSheetId="2" hidden="1">{#N/A,#N/A,FALSE,"Input";#N/A,#N/A,FALSE,"LastYearInput";#N/A,#N/A,FALSE,"NextYearData";#N/A,#N/A,FALSE,"NPPC";#N/A,#N/A,FALSE,"ReconPC";#N/A,#N/A,FALSE,"PSCAmort";#N/A,#N/A,FALSE,"FASBGL";#N/A,#N/A,FALSE,"FAS132";#N/A,#N/A,FALSE,"AML";#N/A,#N/A,FALSE,"FAS35"}</definedName>
    <definedName name="Fasbresults7b" hidden="1">{#N/A,#N/A,FALSE,"Input";#N/A,#N/A,FALSE,"LastYearInput";#N/A,#N/A,FALSE,"NextYearData";#N/A,#N/A,FALSE,"NPPC";#N/A,#N/A,FALSE,"ReconPC";#N/A,#N/A,FALSE,"PSCAmort";#N/A,#N/A,FALSE,"FASBGL";#N/A,#N/A,FALSE,"FAS132";#N/A,#N/A,FALSE,"AML";#N/A,#N/A,FALSE,"FAS35"}</definedName>
    <definedName name="fasdf" localSheetId="2" hidden="1">{"PAGE1",#N/A,FALSE,"CPFFMSTR";"PAGE2",#N/A,FALSE,"CPFFMSTR"}</definedName>
    <definedName name="fasdf" hidden="1">{"PAGE1",#N/A,FALSE,"CPFFMSTR";"PAGE2",#N/A,FALSE,"CPFFMSTR"}</definedName>
    <definedName name="fff" localSheetId="1" hidden="1">#REF!</definedName>
    <definedName name="fff" hidden="1">#REF!</definedName>
    <definedName name="FGH" localSheetId="2" hidden="1">{"PAGE1",#N/A,FALSE,"CPFFMSTR";"PAGE2",#N/A,FALSE,"CPFFMSTR"}</definedName>
    <definedName name="FGH" hidden="1">{"PAGE1",#N/A,FALSE,"CPFFMSTR";"PAGE2",#N/A,FALSE,"CPFFMSTR"}</definedName>
    <definedName name="Fred" localSheetId="2" hidden="1">{"Cover Page",#N/A,FALSE,"NIST-1263 Cover Page";"Cover Page Back",#N/A,FALSE,"NIST-1263 Cover Page";#N/A,#N/A,FALSE,"NIST-1263 Page 3";#N/A,#N/A,FALSE,"NIST-1263 Page 4"}</definedName>
    <definedName name="Fred" localSheetId="1" hidden="1">{"Cover Page",#N/A,FALSE,"NIST-1263 Cover Page";"Cover Page Back",#N/A,FALSE,"NIST-1263 Cover Page";#N/A,#N/A,FALSE,"NIST-1263 Page 3";#N/A,#N/A,FALSE,"NIST-1263 Page 4"}</definedName>
    <definedName name="Fred" hidden="1">{"Cover Page",#N/A,FALSE,"NIST-1263 Cover Page";"Cover Page Back",#N/A,FALSE,"NIST-1263 Cover Page";#N/A,#N/A,FALSE,"NIST-1263 Page 3";#N/A,#N/A,FALSE,"NIST-1263 Page 4"}</definedName>
    <definedName name="FundingResults7"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a"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a"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b"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b" hidden="1">{#N/A,#N/A,FALSE,"Input";#N/A,#N/A,FALSE,"LastYearInput";#N/A,#N/A,FALSE,"NextYearData";#N/A,#N/A,FALSE,"Summary";#N/A,#N/A,FALSE,"Quart";#N/A,#N/A,FALSE,"UAL";#N/A,#N/A,FALSE,"AVA";#N/A,#N/A,FALSE,"CL";#N/A,#N/A,FALSE,"CBal";#N/A,#N/A,FALSE,"Min";#N/A,#N/A,FALSE,"AFC";#N/A,#N/A,FALSE,"FFL";#N/A,#N/A,FALSE,"Max";#N/A,#N/A,FALSE,"MinAmort";#N/A,#N/A,FALSE,"Exp";#N/A,#N/A,FALSE,"AssetRet"}</definedName>
    <definedName name="gf" hidden="1">#REF!</definedName>
    <definedName name="gggg" localSheetId="2" hidden="1">{"'Vietnam'!$E$21:$W$45","'Vietnam'!$E$21:$W$45"}</definedName>
    <definedName name="gggg" localSheetId="1" hidden="1">{"'Vietnam'!$E$21:$W$45","'Vietnam'!$E$21:$W$45"}</definedName>
    <definedName name="gggg" hidden="1">{"'Vietnam'!$E$21:$W$45","'Vietnam'!$E$21:$W$45"}</definedName>
    <definedName name="GraphResults7" localSheetId="2" hidden="1">{#N/A,#N/A,FALSE,"GraphInput";#N/A,#N/A,FALSE,"Grph_Contrib";#N/A,#N/A,FALSE,"Grph_Fund";#N/A,#N/A,FALSE,"Grph_FAS87";#N/A,#N/A,FALSE,"Grph_FAS35";#N/A,#N/A,FALSE,"Grph_PI";#N/A,#N/A,FALSE,"Grph_Asset";#N/A,#N/A,FALSE,"Grph_Invest"}</definedName>
    <definedName name="GraphResults7" hidden="1">{#N/A,#N/A,FALSE,"GraphInput";#N/A,#N/A,FALSE,"Grph_Contrib";#N/A,#N/A,FALSE,"Grph_Fund";#N/A,#N/A,FALSE,"Grph_FAS87";#N/A,#N/A,FALSE,"Grph_FAS35";#N/A,#N/A,FALSE,"Grph_PI";#N/A,#N/A,FALSE,"Grph_Asset";#N/A,#N/A,FALSE,"Grph_Invest"}</definedName>
    <definedName name="GraphResults7b" localSheetId="2" hidden="1">{#N/A,#N/A,FALSE,"GraphInput";#N/A,#N/A,FALSE,"Grph_Contrib";#N/A,#N/A,FALSE,"Grph_Fund";#N/A,#N/A,FALSE,"Grph_FAS87";#N/A,#N/A,FALSE,"Grph_FAS35";#N/A,#N/A,FALSE,"Grph_PI";#N/A,#N/A,FALSE,"Grph_Asset";#N/A,#N/A,FALSE,"Grph_Invest"}</definedName>
    <definedName name="GraphResults7b" hidden="1">{#N/A,#N/A,FALSE,"GraphInput";#N/A,#N/A,FALSE,"Grph_Contrib";#N/A,#N/A,FALSE,"Grph_Fund";#N/A,#N/A,FALSE,"Grph_FAS87";#N/A,#N/A,FALSE,"Grph_FAS35";#N/A,#N/A,FALSE,"Grph_PI";#N/A,#N/A,FALSE,"Grph_Asset";#N/A,#N/A,FALSE,"Grph_Invest"}</definedName>
    <definedName name="GraphResutls7b" localSheetId="2" hidden="1">{#N/A,#N/A,FALSE,"GraphInput";#N/A,#N/A,FALSE,"Grph_Contrib";#N/A,#N/A,FALSE,"Grph_Fund";#N/A,#N/A,FALSE,"Grph_FAS87";#N/A,#N/A,FALSE,"Grph_FAS35";#N/A,#N/A,FALSE,"Grph_PI";#N/A,#N/A,FALSE,"Grph_Asset";#N/A,#N/A,FALSE,"Grph_Invest"}</definedName>
    <definedName name="GraphResutls7b" hidden="1">{#N/A,#N/A,FALSE,"GraphInput";#N/A,#N/A,FALSE,"Grph_Contrib";#N/A,#N/A,FALSE,"Grph_Fund";#N/A,#N/A,FALSE,"Grph_FAS87";#N/A,#N/A,FALSE,"Grph_FAS35";#N/A,#N/A,FALSE,"Grph_PI";#N/A,#N/A,FALSE,"Grph_Asset";#N/A,#N/A,FALSE,"Grph_Invest"}</definedName>
    <definedName name="GSDFG" localSheetId="2" hidden="1">{"PAGE1",#N/A,FALSE,"CPFFMSTR";"PAGE2",#N/A,FALSE,"CPFFMSTR"}</definedName>
    <definedName name="GSDFG" hidden="1">{"PAGE1",#N/A,FALSE,"CPFFMSTR";"PAGE2",#N/A,FALSE,"CPFFMSTR"}</definedName>
    <definedName name="Hello" localSheetId="1" hidden="1">#REF!</definedName>
    <definedName name="Hello" hidden="1">#REF!</definedName>
    <definedName name="HGJ" localSheetId="2" hidden="1">{"PAGE1",#N/A,FALSE,"CPFFMSTR";"PAGE2",#N/A,FALSE,"CPFFMSTR"}</definedName>
    <definedName name="HGJ" hidden="1">{"PAGE1",#N/A,FALSE,"CPFFMSTR";"PAGE2",#N/A,FALSE,"CPFFMSTR"}</definedName>
    <definedName name="hhh" localSheetId="2" hidden="1">{#N/A,#N/A,FALSE,"Input";#N/A,#N/A,FALSE,"LastYearInput";#N/A,#N/A,FALSE,"NextYearData";#N/A,#N/A,FALSE,"NPPC";#N/A,#N/A,FALSE,"ReconPC";#N/A,#N/A,FALSE,"PSCAmort";#N/A,#N/A,FALSE,"FASBGL";#N/A,#N/A,FALSE,"FAS132";#N/A,#N/A,FALSE,"AML";#N/A,#N/A,FALSE,"FAS35"}</definedName>
    <definedName name="hhh" hidden="1">{#N/A,#N/A,FALSE,"Input";#N/A,#N/A,FALSE,"LastYearInput";#N/A,#N/A,FALSE,"NextYearData";#N/A,#N/A,FALSE,"NPPC";#N/A,#N/A,FALSE,"ReconPC";#N/A,#N/A,FALSE,"PSCAmort";#N/A,#N/A,FALSE,"FASBGL";#N/A,#N/A,FALSE,"FAS132";#N/A,#N/A,FALSE,"AML";#N/A,#N/A,FALSE,"FAS35"}</definedName>
    <definedName name="hhhh" localSheetId="2" hidden="1">{"'Vietnam'!$E$21:$W$45","'Vietnam'!$E$21:$W$45"}</definedName>
    <definedName name="hhhh" localSheetId="1" hidden="1">{"'Vietnam'!$E$21:$W$45","'Vietnam'!$E$21:$W$45"}</definedName>
    <definedName name="hhhh" hidden="1">{"'Vietnam'!$E$21:$W$45","'Vietnam'!$E$21:$W$45"}</definedName>
    <definedName name="hi" localSheetId="2" hidden="1">{#N/A,#N/A,FALSE,"fy95";#N/A,#N/A,FALSE,"fy96";#N/A,#N/A,FALSE,"ty96";#N/A,#N/A,FALSE,"total";#N/A,#N/A,FALSE,"EAC"}</definedName>
    <definedName name="hi" hidden="1">{#N/A,#N/A,FALSE,"fy95";#N/A,#N/A,FALSE,"fy96";#N/A,#N/A,FALSE,"ty96";#N/A,#N/A,FALSE,"total";#N/A,#N/A,FALSE,"EAC"}</definedName>
    <definedName name="Hour" localSheetId="2" hidden="1">{"GFY 1997 Summary",#N/A,FALSE,"Summary";"GFY 1998 Summary",#N/A,FALSE,"Summary";"GFY 1999 Summary",#N/A,FALSE,"Summary";"GFY 2000 Summary",#N/A,FALSE,"Summary"}</definedName>
    <definedName name="Hour" hidden="1">{"GFY 1997 Summary",#N/A,FALSE,"Summary";"GFY 1998 Summary",#N/A,FALSE,"Summary";"GFY 1999 Summary",#N/A,FALSE,"Summary";"GFY 2000 Summary",#N/A,FALSE,"Summary"}</definedName>
    <definedName name="hour1" localSheetId="2" hidden="1">{"GFY 1997 Summary",#N/A,FALSE,"Summary";"GFY 1998 Summary",#N/A,FALSE,"Summary";"GFY 1999 Summary",#N/A,FALSE,"Summary";"GFY 2000 Summary",#N/A,FALSE,"Summary"}</definedName>
    <definedName name="hour1" hidden="1">{"GFY 1997 Summary",#N/A,FALSE,"Summary";"GFY 1998 Summary",#N/A,FALSE,"Summary";"GFY 1999 Summary",#N/A,FALSE,"Summary";"GFY 2000 Summary",#N/A,FALSE,"Summary"}</definedName>
    <definedName name="hour23" localSheetId="2" hidden="1">{"GFY 1997 Summary",#N/A,FALSE,"Summary";"GFY 1998 Summary",#N/A,FALSE,"Summary";"GFY 1999 Summary",#N/A,FALSE,"Summary";"GFY 2000 Summary",#N/A,FALSE,"Summary"}</definedName>
    <definedName name="hour23" hidden="1">{"GFY 1997 Summary",#N/A,FALSE,"Summary";"GFY 1998 Summary",#N/A,FALSE,"Summary";"GFY 1999 Summary",#N/A,FALSE,"Summary";"GFY 2000 Summary",#N/A,FALSE,"Summary"}</definedName>
    <definedName name="Hours" localSheetId="2" hidden="1">{"GFY 1997 Summary",#N/A,FALSE,"Summary";"GFY 1998 Summary",#N/A,FALSE,"Summary";"GFY 1999 Summary",#N/A,FALSE,"Summary";"GFY 2000 Summary",#N/A,FALSE,"Summary"}</definedName>
    <definedName name="Hours" hidden="1">{"GFY 1997 Summary",#N/A,FALSE,"Summary";"GFY 1998 Summary",#N/A,FALSE,"Summary";"GFY 1999 Summary",#N/A,FALSE,"Summary";"GFY 2000 Summary",#N/A,FALSE,"Summary"}</definedName>
    <definedName name="HRIS.ecp" localSheetId="2" hidden="1">{"Page 2",#N/A,FALSE,"2000";"Page 1",#N/A,FALSE,"2000"}</definedName>
    <definedName name="HRIS.ecp" localSheetId="1" hidden="1">{"Page 2",#N/A,FALSE,"2000";"Page 1",#N/A,FALSE,"2000"}</definedName>
    <definedName name="HRIS.ecp" hidden="1">{"Page 2",#N/A,FALSE,"2000";"Page 1",#N/A,FALSE,"2000"}</definedName>
    <definedName name="HTML_CodePage" hidden="1">1252</definedName>
    <definedName name="HTML_Control" localSheetId="2" hidden="1">{"'Year 8'!$A$1:$L$22"}</definedName>
    <definedName name="HTML_Control" localSheetId="1" hidden="1">{"'Year 8'!$A$1:$L$22"}</definedName>
    <definedName name="HTML_Control" hidden="1">{"'Year 8'!$A$1:$L$22"}</definedName>
    <definedName name="HTML_Control1" localSheetId="2" hidden="1">{"'Vietnam'!$E$21:$W$45","'Vietnam'!$E$21:$W$45"}</definedName>
    <definedName name="HTML_Control1" localSheetId="1" hidden="1">{"'Vietnam'!$E$21:$W$45","'Vietnam'!$E$21:$W$45"}</definedName>
    <definedName name="HTML_Control1" hidden="1">{"'Vietnam'!$E$21:$W$45","'Vietnam'!$E$21:$W$45"}</definedName>
    <definedName name="HTML_Control2" localSheetId="2" hidden="1">{"'Vietnam'!$E$21:$W$45","'Vietnam'!$E$21:$W$45"}</definedName>
    <definedName name="HTML_Control2" localSheetId="1" hidden="1">{"'Vietnam'!$E$21:$W$45","'Vietnam'!$E$21:$W$45"}</definedName>
    <definedName name="HTML_Control2" hidden="1">{"'Vietnam'!$E$21:$W$45","'Vietnam'!$E$21:$W$45"}</definedName>
    <definedName name="HTML_Control3" localSheetId="2" hidden="1">{"'Vietnam'!$E$21:$W$45","'Vietnam'!$E$21:$W$45"}</definedName>
    <definedName name="HTML_Control3" localSheetId="1" hidden="1">{"'Vietnam'!$E$21:$W$45","'Vietnam'!$E$21:$W$45"}</definedName>
    <definedName name="HTML_Control3" hidden="1">{"'Vietnam'!$E$21:$W$45","'Vietnam'!$E$21:$W$45"}</definedName>
    <definedName name="HTML_COntrol4" localSheetId="2" hidden="1">{"'Vietnam'!$E$21:$W$45","'Vietnam'!$E$21:$W$45"}</definedName>
    <definedName name="HTML_COntrol4" localSheetId="1" hidden="1">{"'Vietnam'!$E$21:$W$45","'Vietnam'!$E$21:$W$45"}</definedName>
    <definedName name="HTML_COntrol4" hidden="1">{"'Vietnam'!$E$21:$W$45","'Vietnam'!$E$21:$W$45"}</definedName>
    <definedName name="HTML_Control5" localSheetId="2" hidden="1">{"'Vietnam'!$E$21:$W$45","'Vietnam'!$E$21:$W$45"}</definedName>
    <definedName name="HTML_Control5" localSheetId="1" hidden="1">{"'Vietnam'!$E$21:$W$45","'Vietnam'!$E$21:$W$45"}</definedName>
    <definedName name="HTML_Control5" hidden="1">{"'Vietnam'!$E$21:$W$45","'Vietnam'!$E$21:$W$45"}</definedName>
    <definedName name="HTML_Description" hidden="1">""</definedName>
    <definedName name="HTML_Email" hidden="1">""</definedName>
    <definedName name="HTML_Header" hidden="1">"Year 8"</definedName>
    <definedName name="HTML_LastUpdate" hidden="1">"2/7/00"</definedName>
    <definedName name="HTML_LineAfter" hidden="1">FALSE</definedName>
    <definedName name="HTML_LineBefore" hidden="1">FALSE</definedName>
    <definedName name="HTML_Name" hidden="1">"Dorothy Cestrone"</definedName>
    <definedName name="HTML_OBDlg2" hidden="1">TRUE</definedName>
    <definedName name="HTML_OBDlg4" hidden="1">TRUE</definedName>
    <definedName name="HTML_OS" hidden="1">0</definedName>
    <definedName name="HTML_PathFile" hidden="1">"C:\My Documents\MyHTML.htm"</definedName>
    <definedName name="HTML_Title" hidden="1">"Millennia8"</definedName>
    <definedName name="HTML1_10" hidden="1">""</definedName>
    <definedName name="HTML1_11" hidden="1">1</definedName>
    <definedName name="HTML1_2" hidden="1">1</definedName>
    <definedName name="HTML1_3" hidden="1">"AN$"</definedName>
    <definedName name="HTML1_4" hidden="1">"LAN Inst"</definedName>
    <definedName name="HTML1_5" hidden="1">""</definedName>
    <definedName name="HTML1_6" hidden="1">-4146</definedName>
    <definedName name="HTML1_7" hidden="1">-4146</definedName>
    <definedName name="HTML1_8" hidden="1">"7/31/96"</definedName>
    <definedName name="HTML1_9" hidden="1">"Jonathan Schembor/Andersen Con."</definedName>
    <definedName name="HTML2_10" hidden="1">""</definedName>
    <definedName name="HTML2_11" hidden="1">1</definedName>
    <definedName name="HTML2_2" hidden="1">1</definedName>
    <definedName name="HTML2_3" hidden="1">"AN$"</definedName>
    <definedName name="HTML2_4" hidden="1">"50 Node"</definedName>
    <definedName name="HTML2_5" hidden="1">""</definedName>
    <definedName name="HTML2_6" hidden="1">-4146</definedName>
    <definedName name="HTML2_7" hidden="1">-4146</definedName>
    <definedName name="HTML2_8" hidden="1">"7/31/96"</definedName>
    <definedName name="HTML2_9" hidden="1">"Jonathan Schembor/Andersen Con."</definedName>
    <definedName name="HTML3_10" hidden="1">""</definedName>
    <definedName name="HTML3_11" hidden="1">1</definedName>
    <definedName name="HTML3_2" hidden="1">1</definedName>
    <definedName name="HTML3_3" hidden="1">"AN$"</definedName>
    <definedName name="HTML3_4" hidden="1">"Maint"</definedName>
    <definedName name="HTML3_5" hidden="1">""</definedName>
    <definedName name="HTML3_6" hidden="1">-4146</definedName>
    <definedName name="HTML3_7" hidden="1">-4146</definedName>
    <definedName name="HTML3_8" hidden="1">"7/31/96"</definedName>
    <definedName name="HTML3_9" hidden="1">"Jonathan Schembor/Andersen Con."</definedName>
    <definedName name="HTML4_10" hidden="1">""</definedName>
    <definedName name="HTML4_11" hidden="1">1</definedName>
    <definedName name="HTML4_2" hidden="1">1</definedName>
    <definedName name="HTML4_3" hidden="1">"AN$"</definedName>
    <definedName name="HTML4_4" hidden="1">"Support"</definedName>
    <definedName name="HTML4_5" hidden="1">""</definedName>
    <definedName name="HTML4_6" hidden="1">-4146</definedName>
    <definedName name="HTML4_7" hidden="1">-4146</definedName>
    <definedName name="HTML4_8" hidden="1">"7/31/96"</definedName>
    <definedName name="HTML4_9" hidden="1">"Jonathan Schembor/Andersen Con."</definedName>
    <definedName name="HTML5_10" hidden="1">""</definedName>
    <definedName name="HTML5_11" hidden="1">1</definedName>
    <definedName name="HTML5_2" hidden="1">1</definedName>
    <definedName name="HTML5_3" hidden="1">"AN$"</definedName>
    <definedName name="HTML5_4" hidden="1">"1st Pass"</definedName>
    <definedName name="HTML5_5" hidden="1">""</definedName>
    <definedName name="HTML5_6" hidden="1">-4146</definedName>
    <definedName name="HTML5_7" hidden="1">-4146</definedName>
    <definedName name="HTML5_8" hidden="1">"7/31/96"</definedName>
    <definedName name="HTML5_9" hidden="1">"Jonathan Schembor/Andersen Con."</definedName>
    <definedName name="HTMLCount" hidden="1">5</definedName>
    <definedName name="iiii" localSheetId="2" hidden="1">{"'Vietnam'!$E$21:$W$45","'Vietnam'!$E$21:$W$45"}</definedName>
    <definedName name="iiii" localSheetId="1" hidden="1">{"'Vietnam'!$E$21:$W$45","'Vietnam'!$E$21:$W$45"}</definedName>
    <definedName name="iiii" hidden="1">{"'Vietnam'!$E$21:$W$45","'Vietnam'!$E$21:$W$45"}</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40357.3801157406</definedName>
    <definedName name="IQ_NTM" hidden="1">6000</definedName>
    <definedName name="IQ_TODAY" hidden="1">0</definedName>
    <definedName name="IQ_WEEK" hidden="1">50000</definedName>
    <definedName name="IQ_YTD" hidden="1">3000</definedName>
    <definedName name="IQ_YTDMONTH" hidden="1">130000</definedName>
    <definedName name="J" hidden="1">#REF!</definedName>
    <definedName name="JH" localSheetId="2" hidden="1">{"PAGE1",#N/A,FALSE,"CPFFMSTR";"PAGE2",#N/A,FALSE,"CPFFMSTR"}</definedName>
    <definedName name="JH" hidden="1">{"PAGE1",#N/A,FALSE,"CPFFMSTR";"PAGE2",#N/A,FALSE,"CPFFMSTR"}</definedName>
    <definedName name="jk" hidden="1">#REF!</definedName>
    <definedName name="JKHJ" localSheetId="2" hidden="1">{"PAGE1",#N/A,FALSE,"CPFFMSTR";"PAGE2",#N/A,FALSE,"CPFFMSTR"}</definedName>
    <definedName name="JKHJ" hidden="1">{"PAGE1",#N/A,FALSE,"CPFFMSTR";"PAGE2",#N/A,FALSE,"CPFFMSTR"}</definedName>
    <definedName name="JUICE" hidden="1">#REF!</definedName>
    <definedName name="ki" localSheetId="2" hidden="1">{#N/A,#N/A,FALSE,"fy95";#N/A,#N/A,FALSE,"fy96";#N/A,#N/A,FALSE,"ty96";#N/A,#N/A,FALSE,"total";#N/A,#N/A,FALSE,"EAC"}</definedName>
    <definedName name="ki" hidden="1">{#N/A,#N/A,FALSE,"fy95";#N/A,#N/A,FALSE,"fy96";#N/A,#N/A,FALSE,"ty96";#N/A,#N/A,FALSE,"total";#N/A,#N/A,FALSE,"EAC"}</definedName>
    <definedName name="LAB" localSheetId="2" hidden="1">{"GFY 97",#N/A,FALSE,"SCRA LABOR";"GFY 98",#N/A,FALSE,"SCRA LABOR";"GFY 99",#N/A,FALSE,"SCRA LABOR";"GFY 00",#N/A,FALSE,"SCRA LABOR"}</definedName>
    <definedName name="LAB" localSheetId="1" hidden="1">{"GFY 97",#N/A,FALSE,"SCRA LABOR";"GFY 98",#N/A,FALSE,"SCRA LABOR";"GFY 99",#N/A,FALSE,"SCRA LABOR";"GFY 00",#N/A,FALSE,"SCRA LABOR"}</definedName>
    <definedName name="LAB" hidden="1">{"GFY 97",#N/A,FALSE,"SCRA LABOR";"GFY 98",#N/A,FALSE,"SCRA LABOR";"GFY 99",#N/A,FALSE,"SCRA LABOR";"GFY 00",#N/A,FALSE,"SCRA LABOR"}</definedName>
    <definedName name="lo" localSheetId="2" hidden="1">{#N/A,#N/A,FALSE,"fy95";#N/A,#N/A,FALSE,"fy96";#N/A,#N/A,FALSE,"ty96";#N/A,#N/A,FALSE,"total";#N/A,#N/A,FALSE,"EAC"}</definedName>
    <definedName name="lo" hidden="1">{#N/A,#N/A,FALSE,"fy95";#N/A,#N/A,FALSE,"fy96";#N/A,#N/A,FALSE,"ty96";#N/A,#N/A,FALSE,"total";#N/A,#N/A,FALSE,"EAC"}</definedName>
    <definedName name="mat" localSheetId="2" hidden="1">{"BASE",#N/A,FALSE,"CE BY WBS";"OPTION",#N/A,FALSE,"CE BY WBS"}</definedName>
    <definedName name="mat" localSheetId="1" hidden="1">{"BASE",#N/A,FALSE,"CE BY WBS";"OPTION",#N/A,FALSE,"CE BY WBS"}</definedName>
    <definedName name="mat" hidden="1">{"BASE",#N/A,FALSE,"CE BY WBS";"OPTION",#N/A,FALSE,"CE BY WBS"}</definedName>
    <definedName name="MATERIAL2" localSheetId="2" hidden="1">{"BASE",#N/A,FALSE,"CE BY WBS";"OPTION",#N/A,FALSE,"CE BY WBS"}</definedName>
    <definedName name="MATERIAL2" localSheetId="1" hidden="1">{"BASE",#N/A,FALSE,"CE BY WBS";"OPTION",#N/A,FALSE,"CE BY WBS"}</definedName>
    <definedName name="MATERIAL2" hidden="1">{"BASE",#N/A,FALSE,"CE BY WBS";"OPTION",#N/A,FALSE,"CE BY WBS"}</definedName>
    <definedName name="MNTHOPT" localSheetId="2" hidden="1">{"GFY 97",#N/A,FALSE,"MONTHLY FLOW (OPTION)";"GFY 98",#N/A,FALSE,"MONTHLY FLOW (OPTION)";"GFY 99",#N/A,FALSE,"MONTHLY FLOW (OPTION)";"GFY 00",#N/A,FALSE,"MONTHLY FLOW (OPTION)";"TTL PROGRAM",#N/A,FALSE,"MONTHLY FLOW (OPTION)"}</definedName>
    <definedName name="MNTHOPT" localSheetId="1" hidden="1">{"GFY 97",#N/A,FALSE,"MONTHLY FLOW (OPTION)";"GFY 98",#N/A,FALSE,"MONTHLY FLOW (OPTION)";"GFY 99",#N/A,FALSE,"MONTHLY FLOW (OPTION)";"GFY 00",#N/A,FALSE,"MONTHLY FLOW (OPTION)";"TTL PROGRAM",#N/A,FALSE,"MONTHLY FLOW (OPTION)"}</definedName>
    <definedName name="MNTHOPT" hidden="1">{"GFY 97",#N/A,FALSE,"MONTHLY FLOW (OPTION)";"GFY 98",#N/A,FALSE,"MONTHLY FLOW (OPTION)";"GFY 99",#N/A,FALSE,"MONTHLY FLOW (OPTION)";"GFY 00",#N/A,FALSE,"MONTHLY FLOW (OPTION)";"TTL PROGRAM",#N/A,FALSE,"MONTHLY FLOW (OPTION)"}</definedName>
    <definedName name="monthly2" localSheetId="2" hidden="1">{#N/A,#N/A,FALSE,"Page 1";#N/A,#N/A,FALSE,"Page 2";#N/A,#N/A,FALSE,"cm &amp; itd analysis";#N/A,#N/A,FALSE,"PROGRAM MGT";#N/A,#N/A,FALSE,"BASELINE";#N/A,#N/A,FALSE,"BAS V2.0";#N/A,#N/A,FALSE,"BAS V2.5";#N/A,#N/A,FALSE,"BAS V3.0";#N/A,#N/A,FALSE,"TOTAL"}</definedName>
    <definedName name="monthly2" hidden="1">{#N/A,#N/A,FALSE,"Page 1";#N/A,#N/A,FALSE,"Page 2";#N/A,#N/A,FALSE,"cm &amp; itd analysis";#N/A,#N/A,FALSE,"PROGRAM MGT";#N/A,#N/A,FALSE,"BASELINE";#N/A,#N/A,FALSE,"BAS V2.0";#N/A,#N/A,FALSE,"BAS V2.5";#N/A,#N/A,FALSE,"BAS V3.0";#N/A,#N/A,FALSE,"TOTAL"}</definedName>
    <definedName name="Mthl" localSheetId="2" hidden="1">{"GFY 97",#N/A,FALSE,"MONTHLY FLOW";"GFY 98",#N/A,FALSE,"MONTHLY FLOW";"GFY 99",#N/A,FALSE,"MONTHLY FLOW";"TOTAL PROGRAM",#N/A,FALSE,"MONTHLY FLOW"}</definedName>
    <definedName name="Mthl" localSheetId="1" hidden="1">{"GFY 97",#N/A,FALSE,"MONTHLY FLOW";"GFY 98",#N/A,FALSE,"MONTHLY FLOW";"GFY 99",#N/A,FALSE,"MONTHLY FLOW";"TOTAL PROGRAM",#N/A,FALSE,"MONTHLY FLOW"}</definedName>
    <definedName name="Mthl" hidden="1">{"GFY 97",#N/A,FALSE,"MONTHLY FLOW";"GFY 98",#N/A,FALSE,"MONTHLY FLOW";"GFY 99",#N/A,FALSE,"MONTHLY FLOW";"TOTAL PROGRAM",#N/A,FALSE,"MONTHLY FLOW"}</definedName>
    <definedName name="MTHLY" localSheetId="2" hidden="1">{"GFY 97",#N/A,FALSE,"MONTHLY FLOW";"GFY 98",#N/A,FALSE,"MONTHLY FLOW";"GFY 99",#N/A,FALSE,"MONTHLY FLOW";"TOTAL PROGRAM",#N/A,FALSE,"MONTHLY FLOW"}</definedName>
    <definedName name="MTHLY" localSheetId="1" hidden="1">{"GFY 97",#N/A,FALSE,"MONTHLY FLOW";"GFY 98",#N/A,FALSE,"MONTHLY FLOW";"GFY 99",#N/A,FALSE,"MONTHLY FLOW";"TOTAL PROGRAM",#N/A,FALSE,"MONTHLY FLOW"}</definedName>
    <definedName name="MTHLY" hidden="1">{"GFY 97",#N/A,FALSE,"MONTHLY FLOW";"GFY 98",#N/A,FALSE,"MONTHLY FLOW";"GFY 99",#N/A,FALSE,"MONTHLY FLOW";"TOTAL PROGRAM",#N/A,FALSE,"MONTHLY FLOW"}</definedName>
    <definedName name="name" localSheetId="2" hidden="1">{#N/A,#N/A,FALSE,"ManLoading"}</definedName>
    <definedName name="name" hidden="1">{#N/A,#N/A,FALSE,"ManLoading"}</definedName>
    <definedName name="NEW" localSheetId="2" hidden="1">{"GFY SUMMARY","ATT. A",FALSE,"TOTALS";"GFY 95","GFY 95",FALSE,"TOTALS";"GFY 96","GFY 96",FALSE,"TOTALS";"GFY 97","GFY 97",FALSE,"TOTALS"}</definedName>
    <definedName name="NEW" localSheetId="1" hidden="1">{"GFY SUMMARY","ATT. A",FALSE,"TOTALS";"GFY 95","GFY 95",FALSE,"TOTALS";"GFY 96","GFY 96",FALSE,"TOTALS";"GFY 97","GFY 97",FALSE,"TOTALS"}</definedName>
    <definedName name="NEW" hidden="1">{"GFY SUMMARY","ATT. A",FALSE,"TOTALS";"GFY 95","GFY 95",FALSE,"TOTALS";"GFY 96","GFY 96",FALSE,"TOTALS";"GFY 97","GFY 97",FALSE,"TOTALS"}</definedName>
    <definedName name="no" localSheetId="2" hidden="1">{#N/A,#N/A,FALSE,"ManLoading"}</definedName>
    <definedName name="no" hidden="1">{#N/A,#N/A,FALSE,"ManLoading"}</definedName>
    <definedName name="none" localSheetId="2" hidden="1">{#N/A,#N/A,FALSE,"ManLoading"}</definedName>
    <definedName name="none" hidden="1">{#N/A,#N/A,FALSE,"ManLoading"}</definedName>
    <definedName name="Order2" hidden="1">255</definedName>
    <definedName name="PAGE4" localSheetId="2" hidden="1">{"actuals_1",#N/A,FALSE,"CO 1 YRS";"burden_1",#N/A,FALSE,"CO 1 YRS";"input",#N/A,FALSE,"INPUT"}</definedName>
    <definedName name="PAGE4" hidden="1">{"actuals_1",#N/A,FALSE,"CO 1 YRS";"burden_1",#N/A,FALSE,"CO 1 YRS";"input",#N/A,FALSE,"INPUT"}</definedName>
    <definedName name="_xlnm.Print_Area" localSheetId="2">'Cost Summary'!$A$1:$AO$327</definedName>
    <definedName name="_xlnm.Print_Area" localSheetId="5">'Do Not Use or Delete'!$A$1:$K$29</definedName>
    <definedName name="_xlnm.Print_Area" localSheetId="3">'Fully Burdened Labor Rates'!$A$1:$Q$216</definedName>
    <definedName name="_xlnm.Print_Area" localSheetId="4">'Hours Check - FOR GOVT USE'!$A$1:$T$59</definedName>
    <definedName name="_xlnm.Print_Area" localSheetId="1">'Indirect Rates and Fee'!$A$1:$Q$34</definedName>
    <definedName name="_xlnm.Print_Area" localSheetId="6">'Minimum Direct Labor Rates'!$A$1:$B$29</definedName>
    <definedName name="_xlnm.Print_Titles" localSheetId="2">'Cost Summary'!$A:$B,'Cost Summary'!$1:$7</definedName>
    <definedName name="proposed" localSheetId="2" hidden="1">{#N/A,#N/A,FALSE,"ManLoading"}</definedName>
    <definedName name="proposed" hidden="1">{#N/A,#N/A,FALSE,"ManLoading"}</definedName>
    <definedName name="q" localSheetId="2" hidden="1">{#N/A,#N/A,FALSE,"fy95";#N/A,#N/A,FALSE,"fy96";#N/A,#N/A,FALSE,"ty96";#N/A,#N/A,FALSE,"total";#N/A,#N/A,FALSE,"EAC"}</definedName>
    <definedName name="q" hidden="1">{#N/A,#N/A,FALSE,"fy95";#N/A,#N/A,FALSE,"fy96";#N/A,#N/A,FALSE,"ty96";#N/A,#N/A,FALSE,"total";#N/A,#N/A,FALSE,"EAC"}</definedName>
    <definedName name="qqqq" localSheetId="2" hidden="1">{"'Vietnam'!$E$21:$W$45","'Vietnam'!$E$21:$W$45"}</definedName>
    <definedName name="qqqq" localSheetId="1" hidden="1">{"'Vietnam'!$E$21:$W$45","'Vietnam'!$E$21:$W$45"}</definedName>
    <definedName name="qqqq" hidden="1">{"'Vietnam'!$E$21:$W$45","'Vietnam'!$E$21:$W$45"}</definedName>
    <definedName name="RFP.018" localSheetId="2" hidden="1">{"Page 2",#N/A,FALSE,"2000";"Page 1",#N/A,FALSE,"2000"}</definedName>
    <definedName name="RFP.018" localSheetId="1" hidden="1">{"Page 2",#N/A,FALSE,"2000";"Page 1",#N/A,FALSE,"2000"}</definedName>
    <definedName name="RFP.018" hidden="1">{"Page 2",#N/A,FALSE,"2000";"Page 1",#N/A,FALSE,"2000"}</definedName>
    <definedName name="RFP.Y018" localSheetId="2" hidden="1">{"Page 2",#N/A,FALSE,"2000";"Page 1",#N/A,FALSE,"2000"}</definedName>
    <definedName name="RFP.Y018" localSheetId="1" hidden="1">{"Page 2",#N/A,FALSE,"2000";"Page 1",#N/A,FALSE,"2000"}</definedName>
    <definedName name="RFP.Y018" hidden="1">{"Page 2",#N/A,FALSE,"2000";"Page 1",#N/A,FALSE,"2000"}</definedName>
    <definedName name="RISK2" localSheetId="2" hidden="1">{#N/A,#N/A,FALSE,"SALES";#N/A,#N/A,FALSE,"EARNINGS";#N/A,#N/A,FALSE,"ORDERS";#N/A,#N/A,FALSE,"CONT AWARDS";#N/A,#N/A,FALSE,"RISK";#N/A,#N/A,FALSE,"FIX PRICE";#N/A,#N/A,FALSE,"AWARD FEE";#N/A,#N/A,FALSE,"B&amp;P";#N/A,#N/A,FALSE,"HEADCOUNT";#N/A,#N/A,FALSE,"CAPITAL"}</definedName>
    <definedName name="RISK2" hidden="1">{#N/A,#N/A,FALSE,"SALES";#N/A,#N/A,FALSE,"EARNINGS";#N/A,#N/A,FALSE,"ORDERS";#N/A,#N/A,FALSE,"CONT AWARDS";#N/A,#N/A,FALSE,"RISK";#N/A,#N/A,FALSE,"FIX PRICE";#N/A,#N/A,FALSE,"AWARD FEE";#N/A,#N/A,FALSE,"B&amp;P";#N/A,#N/A,FALSE,"HEADCOUNT";#N/A,#N/A,FALSE,"CAPITAL"}</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rrr" localSheetId="2" hidden="1">{"'Vietnam'!$E$21:$W$45","'Vietnam'!$E$21:$W$45"}</definedName>
    <definedName name="rrrr" localSheetId="1" hidden="1">{"'Vietnam'!$E$21:$W$45","'Vietnam'!$E$21:$W$45"}</definedName>
    <definedName name="rrrr" hidden="1">{"'Vietnam'!$E$21:$W$45","'Vietnam'!$E$21:$W$45"}</definedName>
    <definedName name="RYUK" localSheetId="2" hidden="1">{"PAGE1",#N/A,FALSE,"CPFFMSTR";"PAGE2",#N/A,FALSE,"CPFFMSTR"}</definedName>
    <definedName name="RYUK" hidden="1">{"PAGE1",#N/A,FALSE,"CPFFMSTR";"PAGE2",#N/A,FALSE,"CPFFMSTR"}</definedName>
    <definedName name="s" localSheetId="1" hidden="1">#REF!</definedName>
    <definedName name="s" hidden="1">#REF!</definedName>
    <definedName name="sdfg" localSheetId="2" hidden="1">{"PAGE1",#N/A,FALSE,"CPFFMSTR";"PAGE2",#N/A,FALSE,"CPFFMSTR"}</definedName>
    <definedName name="sdfg" hidden="1">{"PAGE1",#N/A,FALSE,"CPFFMSTR";"PAGE2",#N/A,FALSE,"CPFFMSTR"}</definedName>
    <definedName name="sf" hidden="1">#REF!</definedName>
    <definedName name="SFG" localSheetId="2" hidden="1">{"PAGE1",#N/A,FALSE,"CPFFMSTR";"PAGE2",#N/A,FALSE,"CPFFMSTR"}</definedName>
    <definedName name="SFG" hidden="1">{"PAGE1",#N/A,FALSE,"CPFFMSTR";"PAGE2",#N/A,FALSE,"CPFFMSTR"}</definedName>
    <definedName name="ss" hidden="1">#REF!</definedName>
    <definedName name="staffing2" localSheetId="2" hidden="1">{#N/A,#N/A,FALSE,"Assessment";#N/A,#N/A,FALSE,"Staffing";#N/A,#N/A,FALSE,"Hires";#N/A,#N/A,FALSE,"Assumptions"}</definedName>
    <definedName name="staffing2" localSheetId="1" hidden="1">{#N/A,#N/A,FALSE,"Assessment";#N/A,#N/A,FALSE,"Staffing";#N/A,#N/A,FALSE,"Hires";#N/A,#N/A,FALSE,"Assumptions"}</definedName>
    <definedName name="staffing2" hidden="1">{#N/A,#N/A,FALSE,"Assessment";#N/A,#N/A,FALSE,"Staffing";#N/A,#N/A,FALSE,"Hires";#N/A,#N/A,FALSE,"Assumptions"}</definedName>
    <definedName name="Staffing3" localSheetId="2" hidden="1">{#N/A,#N/A,FALSE,"Assessment";#N/A,#N/A,FALSE,"Staffing";#N/A,#N/A,FALSE,"Hires";#N/A,#N/A,FALSE,"Assumptions"}</definedName>
    <definedName name="Staffing3" localSheetId="1" hidden="1">{#N/A,#N/A,FALSE,"Assessment";#N/A,#N/A,FALSE,"Staffing";#N/A,#N/A,FALSE,"Hires";#N/A,#N/A,FALSE,"Assumptions"}</definedName>
    <definedName name="Staffing3" hidden="1">{#N/A,#N/A,FALSE,"Assessment";#N/A,#N/A,FALSE,"Staffing";#N/A,#N/A,FALSE,"Hires";#N/A,#N/A,FALSE,"Assumptions"}</definedName>
    <definedName name="STOP1" hidden="1">#REF!</definedName>
    <definedName name="STOPS" hidden="1">#REF!</definedName>
    <definedName name="sub" localSheetId="2" hidden="1">{"Cover Page",#N/A,FALSE,"NIST-1263 Cover Page";"Cover Page Back",#N/A,FALSE,"NIST-1263 Cover Page";#N/A,#N/A,FALSE,"NIST-1263 Page 3";#N/A,#N/A,FALSE,"NIST-1263 Page 4"}</definedName>
    <definedName name="sub" localSheetId="1" hidden="1">{"Cover Page",#N/A,FALSE,"NIST-1263 Cover Page";"Cover Page Back",#N/A,FALSE,"NIST-1263 Cover Page";#N/A,#N/A,FALSE,"NIST-1263 Page 3";#N/A,#N/A,FALSE,"NIST-1263 Page 4"}</definedName>
    <definedName name="sub" hidden="1">{"Cover Page",#N/A,FALSE,"NIST-1263 Cover Page";"Cover Page Back",#N/A,FALSE,"NIST-1263 Cover Page";#N/A,#N/A,FALSE,"NIST-1263 Page 3";#N/A,#N/A,FALSE,"NIST-1263 Page 4"}</definedName>
    <definedName name="Subcontractors" localSheetId="2" hidden="1">{"Cover Page",#N/A,FALSE,"NIST-1263 Cover Page";"Cover Page Back",#N/A,FALSE,"NIST-1263 Cover Page";#N/A,#N/A,FALSE,"NIST-1263 Page 3";#N/A,#N/A,FALSE,"NIST-1263 Page 4"}</definedName>
    <definedName name="Subcontractors" localSheetId="1" hidden="1">{"Cover Page",#N/A,FALSE,"NIST-1263 Cover Page";"Cover Page Back",#N/A,FALSE,"NIST-1263 Cover Page";#N/A,#N/A,FALSE,"NIST-1263 Page 3";#N/A,#N/A,FALSE,"NIST-1263 Page 4"}</definedName>
    <definedName name="Subcontractors" hidden="1">{"Cover Page",#N/A,FALSE,"NIST-1263 Cover Page";"Cover Page Back",#N/A,FALSE,"NIST-1263 Cover Page";#N/A,#N/A,FALSE,"NIST-1263 Page 3";#N/A,#N/A,FALSE,"NIST-1263 Page 4"}</definedName>
    <definedName name="TableName">"Dummy"</definedName>
    <definedName name="Temp" localSheetId="2" hidden="1">{#N/A,#N/A,FALSE,"ManLoading"}</definedName>
    <definedName name="Temp" hidden="1">{#N/A,#N/A,FALSE,"ManLoading"}</definedName>
    <definedName name="Temp_2" localSheetId="2" hidden="1">{#N/A,#N/A,FALSE,"Assessment";#N/A,#N/A,FALSE,"Staffing";#N/A,#N/A,FALSE,"Hires";#N/A,#N/A,FALSE,"Assumptions"}</definedName>
    <definedName name="Temp_2" localSheetId="1" hidden="1">{#N/A,#N/A,FALSE,"Assessment";#N/A,#N/A,FALSE,"Staffing";#N/A,#N/A,FALSE,"Hires";#N/A,#N/A,FALSE,"Assumptions"}</definedName>
    <definedName name="Temp_2" hidden="1">{#N/A,#N/A,FALSE,"Assessment";#N/A,#N/A,FALSE,"Staffing";#N/A,#N/A,FALSE,"Hires";#N/A,#N/A,FALSE,"Assumptions"}</definedName>
    <definedName name="Temp_3" localSheetId="2" hidden="1">{#N/A,#N/A,FALSE,"Assessment";#N/A,#N/A,FALSE,"Staffing";#N/A,#N/A,FALSE,"Hires";#N/A,#N/A,FALSE,"Assumptions"}</definedName>
    <definedName name="Temp_3" localSheetId="1" hidden="1">{#N/A,#N/A,FALSE,"Assessment";#N/A,#N/A,FALSE,"Staffing";#N/A,#N/A,FALSE,"Hires";#N/A,#N/A,FALSE,"Assumptions"}</definedName>
    <definedName name="Temp_3" hidden="1">{#N/A,#N/A,FALSE,"Assessment";#N/A,#N/A,FALSE,"Staffing";#N/A,#N/A,FALSE,"Hires";#N/A,#N/A,FALSE,"Assumptions"}</definedName>
    <definedName name="test" localSheetId="2" hidden="1">{"Cover Page",#N/A,FALSE,"NIST-1263 Cover Page";"Cover Page Back",#N/A,FALSE,"NIST-1263 Cover Page";#N/A,#N/A,FALSE,"NIST-1263 Page 3";#N/A,#N/A,FALSE,"NIST-1263 Page 4"}</definedName>
    <definedName name="test" localSheetId="1" hidden="1">{"Cover Page",#N/A,FALSE,"NIST-1263 Cover Page";"Cover Page Back",#N/A,FALSE,"NIST-1263 Cover Page";#N/A,#N/A,FALSE,"NIST-1263 Page 3";#N/A,#N/A,FALSE,"NIST-1263 Page 4"}</definedName>
    <definedName name="test" hidden="1">{"Cover Page",#N/A,FALSE,"NIST-1263 Cover Page";"Cover Page Back",#N/A,FALSE,"NIST-1263 Cover Page";#N/A,#N/A,FALSE,"NIST-1263 Page 3";#N/A,#N/A,FALSE,"NIST-1263 Page 4"}</definedName>
    <definedName name="test1" localSheetId="2" hidden="1">{"commercial profit",#N/A,FALSE,"GA97"}</definedName>
    <definedName name="test1" localSheetId="1" hidden="1">{"commercial profit",#N/A,FALSE,"GA97"}</definedName>
    <definedName name="test1" hidden="1">{"commercial profit",#N/A,FALSE,"GA97"}</definedName>
    <definedName name="test2" localSheetId="2" hidden="1">{"commercial rate calculation",#N/A,FALSE,"GA97"}</definedName>
    <definedName name="test2" localSheetId="1" hidden="1">{"commercial rate calculation",#N/A,FALSE,"GA97"}</definedName>
    <definedName name="test2" hidden="1">{"commercial rate calculation",#N/A,FALSE,"GA97"}</definedName>
    <definedName name="test3" localSheetId="2" hidden="1">{#N/A,#N/A,FALSE,"GA97"}</definedName>
    <definedName name="test3" localSheetId="1" hidden="1">{#N/A,#N/A,FALSE,"GA97"}</definedName>
    <definedName name="test3" hidden="1">{#N/A,#N/A,FALSE,"GA97"}</definedName>
    <definedName name="test4" localSheetId="2" hidden="1">{"G A expense entry",#N/A,FALSE,"GA97"}</definedName>
    <definedName name="test4" localSheetId="1" hidden="1">{"G A expense entry",#N/A,FALSE,"GA97"}</definedName>
    <definedName name="test4" hidden="1">{"G A expense entry",#N/A,FALSE,"GA97"}</definedName>
    <definedName name="test5" localSheetId="2" hidden="1">{"government rate calculation",#N/A,FALSE,"GA97"}</definedName>
    <definedName name="test5" localSheetId="1" hidden="1">{"government rate calculation",#N/A,FALSE,"GA97"}</definedName>
    <definedName name="test5" hidden="1">{"government rate calculation",#N/A,FALSE,"GA97"}</definedName>
    <definedName name="test6" localSheetId="2" hidden="1">{"projected revenue",#N/A,FALSE,"GA97"}</definedName>
    <definedName name="test6" localSheetId="1" hidden="1">{"projected revenue",#N/A,FALSE,"GA97"}</definedName>
    <definedName name="test6" hidden="1">{"projected revenue",#N/A,FALSE,"GA97"}</definedName>
    <definedName name="trsty" localSheetId="2" hidden="1">{"PAGE1",#N/A,FALSE,"CPFFMSTR";"PAGE2",#N/A,FALSE,"CPFFMSTR"}</definedName>
    <definedName name="trsty" hidden="1">{"PAGE1",#N/A,FALSE,"CPFFMSTR";"PAGE2",#N/A,FALSE,"CPFFMSTR"}</definedName>
    <definedName name="WBSSUMM" localSheetId="2" hidden="1">{"BASE",#N/A,FALSE,"WBS SUMMARY";"OPTION",#N/A,FALSE,"WBS SUMMARY"}</definedName>
    <definedName name="WBSSUMM" localSheetId="1" hidden="1">{"BASE",#N/A,FALSE,"WBS SUMMARY";"OPTION",#N/A,FALSE,"WBS SUMMARY"}</definedName>
    <definedName name="WBSSUMM" hidden="1">{"BASE",#N/A,FALSE,"WBS SUMMARY";"OPTION",#N/A,FALSE,"WBS SUMMARY"}</definedName>
    <definedName name="WERT" localSheetId="2" hidden="1">{"PAGE1",#N/A,FALSE,"CPFFMSTR";"PAGE2",#N/A,FALSE,"CPFFMSTR"}</definedName>
    <definedName name="WERT" hidden="1">{"PAGE1",#N/A,FALSE,"CPFFMSTR";"PAGE2",#N/A,FALSE,"CPFFMSTR"}</definedName>
    <definedName name="wrn.ACC_Cars_125K_Co1." localSheetId="2" hidden="1">{"ACC_Cars_125K_PA",#N/A,FALSE,"ACC Cars Co1 125K ";"ACC_Cars_125K_Prop",#N/A,FALSE,"ACC Cars Co1 125K "}</definedName>
    <definedName name="wrn.ACC_Cars_125K_Co1." hidden="1">{"ACC_Cars_125K_PA",#N/A,FALSE,"ACC Cars Co1 125K ";"ACC_Cars_125K_Prop",#N/A,FALSE,"ACC Cars Co1 125K "}</definedName>
    <definedName name="wrn.ACC_Cars_400K_Co1." localSheetId="2" hidden="1">{"ACC_Cars_400K_PA",#N/A,FALSE,"ACC Cars Co1 400K";"ACC_Cars_400K_Prop",#N/A,FALSE,"ACC Cars Co1 400K"}</definedName>
    <definedName name="wrn.ACC_Cars_400K_Co1." hidden="1">{"ACC_Cars_400K_PA",#N/A,FALSE,"ACC Cars Co1 400K";"ACC_Cars_400K_Prop",#N/A,FALSE,"ACC Cars Co1 400K"}</definedName>
    <definedName name="wrn.ACC_Cars_Travel_125K." localSheetId="2" hidden="1">{"PAGE1",#N/A,FALSE,"ACC_CARS Travel 125K";"PAGE2",#N/A,FALSE,"ACC_CARS Travel 125K"}</definedName>
    <definedName name="wrn.ACC_Cars_Travel_125K." hidden="1">{"PAGE1",#N/A,FALSE,"ACC_CARS Travel 125K";"PAGE2",#N/A,FALSE,"ACC_CARS Travel 125K"}</definedName>
    <definedName name="wrn.ACC_CARS_Travel_400K." localSheetId="2" hidden="1">{"Page1",#N/A,FALSE,"ACC_CARS Travel 400K";"Page2",#N/A,FALSE,"ACC_CARS Travel 400K"}</definedName>
    <definedName name="wrn.ACC_CARS_Travel_400K." hidden="1">{"Page1",#N/A,FALSE,"ACC_CARS Travel 400K";"Page2",#N/A,FALSE,"ACC_CARS Travel 400K"}</definedName>
    <definedName name="wrn.All._.Forms." localSheetId="2" hidden="1">{"Cover Page",#N/A,FALSE,"NIST-1263 Cover Page";"Cover Page Back",#N/A,FALSE,"NIST-1263 Cover Page";#N/A,#N/A,FALSE,"NIST-1263 Page 3";#N/A,#N/A,FALSE,"NIST-1263 Page 4"}</definedName>
    <definedName name="wrn.All._.Forms." localSheetId="1" hidden="1">{"Cover Page",#N/A,FALSE,"NIST-1263 Cover Page";"Cover Page Back",#N/A,FALSE,"NIST-1263 Cover Page";#N/A,#N/A,FALSE,"NIST-1263 Page 3";#N/A,#N/A,FALSE,"NIST-1263 Page 4"}</definedName>
    <definedName name="wrn.All._.Forms." hidden="1">{"Cover Page",#N/A,FALSE,"NIST-1263 Cover Page";"Cover Page Back",#N/A,FALSE,"NIST-1263 Cover Page";#N/A,#N/A,FALSE,"NIST-1263 Page 3";#N/A,#N/A,FALSE,"NIST-1263 Page 4"}</definedName>
    <definedName name="wrn.ALL_EXCL_SAL." localSheetId="2" hidden="1">{#N/A,#N/A,FALSE,"TOT G&amp;A";#N/A,#N/A,FALSE,"1";#N/A,#N/A,FALSE,"2";#N/A,#N/A,FALSE,"3";#N/A,#N/A,FALSE,"4";#N/A,#N/A,FALSE,"5";#N/A,#N/A,FALSE,"6";#N/A,#N/A,FALSE,"7";#N/A,#N/A,FALSE,"11";#N/A,#N/A,FALSE,"13";#N/A,#N/A,FALSE,"14";#N/A,#N/A,FALSE,"21"}</definedName>
    <definedName name="wrn.ALL_EXCL_SAL." hidden="1">{#N/A,#N/A,FALSE,"TOT G&amp;A";#N/A,#N/A,FALSE,"1";#N/A,#N/A,FALSE,"2";#N/A,#N/A,FALSE,"3";#N/A,#N/A,FALSE,"4";#N/A,#N/A,FALSE,"5";#N/A,#N/A,FALSE,"6";#N/A,#N/A,FALSE,"7";#N/A,#N/A,FALSE,"11";#N/A,#N/A,FALSE,"13";#N/A,#N/A,FALSE,"14";#N/A,#N/A,FALSE,"21"}</definedName>
    <definedName name="wrn.AllResults."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1"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1"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2"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Backup." localSheetId="2" hidden="1">{#N/A,#N/A,FALSE,"Labor Dump";#N/A,#N/A,FALSE,"CO 1 Yrs";#N/A,#N/A,FALSE,"INPUT"}</definedName>
    <definedName name="wrn.Backup." hidden="1">{#N/A,#N/A,FALSE,"Labor Dump";#N/A,#N/A,FALSE,"CO 1 Yrs";#N/A,#N/A,FALSE,"INPUT"}</definedName>
    <definedName name="wrn.BARB." localSheetId="2" hidden="1">{#N/A,#N/A,FALSE,"FAC_RATE.XLS";#N/A,#N/A,FALSE,"TFC";#N/A,#N/A,FALSE,"SETA";#N/A,#N/A,FALSE,"ESC";#N/A,#N/A,FALSE,"MHX.XLS";#N/A,#N/A,FALSE,"DOM_G&amp;A"}</definedName>
    <definedName name="wrn.BARB." hidden="1">{#N/A,#N/A,FALSE,"FAC_RATE.XLS";#N/A,#N/A,FALSE,"TFC";#N/A,#N/A,FALSE,"SETA";#N/A,#N/A,FALSE,"ESC";#N/A,#N/A,FALSE,"MHX.XLS";#N/A,#N/A,FALSE,"DOM_G&amp;A"}</definedName>
    <definedName name="wrn.CCB_JDISS." localSheetId="2" hidden="1">{"Pre_CCB",#N/A,FALSE,"Pre CCB Pkg ";"CCB_Memb_Notbk",#N/A,FALSE,"CCB_Memb_Notebk";"CCB_Handouts",#N/A,FALSE,"Handouts";"JDISS_Brochure",#N/A,FALSE,"JDISS_Brochure";"JDISS_Minutes",#N/A,FALSE,"JDISS_Minutes";"Total_JDISS",#N/A,FALSE,"Total JDISS"}</definedName>
    <definedName name="wrn.CCB_JDISS." hidden="1">{"Pre_CCB",#N/A,FALSE,"Pre CCB Pkg ";"CCB_Memb_Notbk",#N/A,FALSE,"CCB_Memb_Notebk";"CCB_Handouts",#N/A,FALSE,"Handouts";"JDISS_Brochure",#N/A,FALSE,"JDISS_Brochure";"JDISS_Minutes",#N/A,FALSE,"JDISS_Minutes";"Total_JDISS",#N/A,FALSE,"Total JDISS"}</definedName>
    <definedName name="wrn.CE._.BY._.WBS." localSheetId="2" hidden="1">{"BASE",#N/A,FALSE,"CE BY WBS";"OPTION",#N/A,FALSE,"CE BY WBS"}</definedName>
    <definedName name="wrn.CE._.BY._.WBS." localSheetId="1" hidden="1">{"BASE",#N/A,FALSE,"CE BY WBS";"OPTION",#N/A,FALSE,"CE BY WBS"}</definedName>
    <definedName name="wrn.CE._.BY._.WBS." hidden="1">{"BASE",#N/A,FALSE,"CE BY WBS";"OPTION",#N/A,FALSE,"CE BY WBS"}</definedName>
    <definedName name="wrn.commercial._.profit." localSheetId="2" hidden="1">{"commercial profit",#N/A,FALSE,"GA97"}</definedName>
    <definedName name="wrn.commercial._.profit." localSheetId="1" hidden="1">{"commercial profit",#N/A,FALSE,"GA97"}</definedName>
    <definedName name="wrn.commercial._.profit." hidden="1">{"commercial profit",#N/A,FALSE,"GA97"}</definedName>
    <definedName name="wrn.commercial._.rate._.calculation." localSheetId="2" hidden="1">{"commercial rate calculation",#N/A,FALSE,"GA97"}</definedName>
    <definedName name="wrn.commercial._.rate._.calculation." localSheetId="1" hidden="1">{"commercial rate calculation",#N/A,FALSE,"GA97"}</definedName>
    <definedName name="wrn.commercial._.rate._.calculation." hidden="1">{"commercial rate calculation",#N/A,FALSE,"GA97"}</definedName>
    <definedName name="wrn.CONTRACTS." localSheetId="2" hidden="1">{"CONTRACTS",#N/A,FALSE,"8401detail"}</definedName>
    <definedName name="wrn.CONTRACTS." hidden="1">{"CONTRACTS",#N/A,FALSE,"8401detail"}</definedName>
    <definedName name="wrn.costprop." localSheetId="2" hidden="1">{"laborr",#N/A,FALSE,"Sheet1";"sumr",#N/A,FALSE,"Sheet1";"odcr",#N/A,FALSE,"Sheet1";"trip1r",#N/A,FALSE,"Sheet1";"trip2r",#N/A,FALSE,"Sheet1";"trip3r",#N/A,FALSE,"Sheet1";"trip4r",#N/A,FALSE,"Sheet1"}</definedName>
    <definedName name="wrn.costprop." hidden="1">{"laborr",#N/A,FALSE,"Sheet1";"sumr",#N/A,FALSE,"Sheet1";"odcr",#N/A,FALSE,"Sheet1";"trip1r",#N/A,FALSE,"Sheet1";"trip2r",#N/A,FALSE,"Sheet1";"trip3r",#N/A,FALSE,"Sheet1";"trip4r",#N/A,FALSE,"Sheet1"}</definedName>
    <definedName name="wrn.costprt0." localSheetId="2" hidden="1">{"cptwor",#N/A,FALSE,"CP";"cpthreer",#N/A,FALSE,"CP";"sumr",#N/A,FALSE,"CP";"odcr",#N/A,FALSE,"CP"}</definedName>
    <definedName name="wrn.costprt0." hidden="1">{"cptwor",#N/A,FALSE,"CP";"cpthreer",#N/A,FALSE,"CP";"sumr",#N/A,FALSE,"CP";"odcr",#N/A,FALSE,"CP"}</definedName>
    <definedName name="wrn.costprt1." localSheetId="2" hidden="1">{"laborr",#N/A,FALSE,"Sheet1";"sumr",#N/A,FALSE,"Sheet1";"odcr",#N/A,FALSE,"Sheet1";"trip1r",#N/A,FALSE,"Sheet1"}</definedName>
    <definedName name="wrn.costprt1." hidden="1">{"laborr",#N/A,FALSE,"Sheet1";"sumr",#N/A,FALSE,"Sheet1";"odcr",#N/A,FALSE,"Sheet1";"trip1r",#N/A,FALSE,"Sheet1"}</definedName>
    <definedName name="wrn.costprt2." localSheetId="2" hidden="1">{"laborr",#N/A,FALSE,"costprop";"sumr",#N/A,FALSE,"costprop";"odcr",#N/A,FALSE,"costprop";"trip1r",#N/A,FALSE,"costprop";"trip2r",#N/A,FALSE,"costprop"}</definedName>
    <definedName name="wrn.costprt2." hidden="1">{"laborr",#N/A,FALSE,"costprop";"sumr",#N/A,FALSE,"costprop";"odcr",#N/A,FALSE,"costprop";"trip1r",#N/A,FALSE,"costprop";"trip2r",#N/A,FALSE,"costprop"}</definedName>
    <definedName name="wrn.costprt3." localSheetId="2" hidden="1">{"laborr",#N/A,FALSE,"costprop";"sumr",#N/A,FALSE,"costprop";"odcr",#N/A,FALSE,"costprop";"trip1r",#N/A,FALSE,"costprop";"trip2r",#N/A,FALSE,"costprop";"trip3r",#N/A,FALSE,"costprop"}</definedName>
    <definedName name="wrn.costprt3." hidden="1">{"laborr",#N/A,FALSE,"costprop";"sumr",#N/A,FALSE,"costprop";"odcr",#N/A,FALSE,"costprop";"trip1r",#N/A,FALSE,"costprop";"trip2r",#N/A,FALSE,"costprop";"trip3r",#N/A,FALSE,"costprop"}</definedName>
    <definedName name="wrn.divisional._.overhead._.entry." localSheetId="2" hidden="1">{#N/A,#N/A,FALSE,"GA97"}</definedName>
    <definedName name="wrn.divisional._.overhead._.entry." localSheetId="1" hidden="1">{#N/A,#N/A,FALSE,"GA97"}</definedName>
    <definedName name="wrn.divisional._.overhead._.entry." hidden="1">{#N/A,#N/A,FALSE,"GA97"}</definedName>
    <definedName name="wrn.Dolan_Co1." localSheetId="2" hidden="1">{"DolanCo1_PA",#N/A,FALSE,"Tina Dolan";"DolanCo1_Prop",#N/A,FALSE,"Tina Dolan"}</definedName>
    <definedName name="wrn.Dolan_Co1." hidden="1">{"DolanCo1_PA",#N/A,FALSE,"Tina Dolan";"DolanCo1_Prop",#N/A,FALSE,"Tina Dolan"}</definedName>
    <definedName name="wrn.Ebron_350K." localSheetId="2" hidden="1">{"Prop_350K",#N/A,FALSE,"Ebron-350K";"PA_350K",#N/A,FALSE,"Ebron-350K";"Ebron350KTrvl",#N/A,FALSE,"Ebrons Travel 350k"}</definedName>
    <definedName name="wrn.Ebron_350K." hidden="1">{"Prop_350K",#N/A,FALSE,"Ebron-350K";"PA_350K",#N/A,FALSE,"Ebron-350K";"Ebron350KTrvl",#N/A,FALSE,"Ebrons Travel 350k"}</definedName>
    <definedName name="wrn.Ebron_Co1." localSheetId="2" hidden="1">{"EbronCo1_PA",#N/A,FALSE,"Ebrons Task Co1";"EbronCo1_Prop",#N/A,FALSE,"Ebrons Task Co1";"Ebron316KTrvl",#N/A,FALSE,"Ebrons Travel 316k"}</definedName>
    <definedName name="wrn.Ebron_Co1." hidden="1">{"EbronCo1_PA",#N/A,FALSE,"Ebrons Task Co1";"EbronCo1_Prop",#N/A,FALSE,"Ebrons Task Co1";"Ebron316KTrvl",#N/A,FALSE,"Ebrons Travel 316k"}</definedName>
    <definedName name="wrn.Ebron_Co5." localSheetId="2" hidden="1">{"EbronCo5_PA",#N/A,FALSE,"Ebrons Task Co5";"EbronCo5_Prop",#N/A,FALSE,"Ebrons Task Co5"}</definedName>
    <definedName name="wrn.Ebron_Co5." hidden="1">{"EbronCo5_PA",#N/A,FALSE,"Ebrons Task Co5";"EbronCo5_Prop",#N/A,FALSE,"Ebrons Task Co5"}</definedName>
    <definedName name="wrn.ED." localSheetId="2" hidden="1">{"FAC_RATE",#N/A,FALSE,"FAC_RATE.XLS";#N/A,#N/A,FALSE,"SETA";#N/A,#N/A,FALSE,"SSC_SPA";#N/A,#N/A,FALSE,"SSC_NEMA";#N/A,#N/A,FALSE,"MHX.XLS";#N/A,#N/A,FALSE,"DOM_G&amp;A"}</definedName>
    <definedName name="wrn.ED." hidden="1">{"FAC_RATE",#N/A,FALSE,"FAC_RATE.XLS";#N/A,#N/A,FALSE,"SETA";#N/A,#N/A,FALSE,"SSC_SPA";#N/A,#N/A,FALSE,"SSC_NEMA";#N/A,#N/A,FALSE,"MHX.XLS";#N/A,#N/A,FALSE,"DOM_G&amp;A"}</definedName>
    <definedName name="wrn.ENTIRE._.PROPOSAL." localSheetId="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1"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xecutive._.Reports." localSheetId="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enditures._.Graph." localSheetId="2" hidden="1">{"Graphics View",#N/A,FALSE,"Task Order Status"}</definedName>
    <definedName name="wrn.Expenditures._.Graph." hidden="1">{"Graphics View",#N/A,FALSE,"Task Order Status"}</definedName>
    <definedName name="wrn.extrnal._.reporting." localSheetId="2" hidden="1">{"outside reptg",#N/A,FALSE,"ovhd summary"}</definedName>
    <definedName name="wrn.extrnal._.reporting." hidden="1">{"outside reptg",#N/A,FALSE,"ovhd summary"}</definedName>
    <definedName name="wrn.FASBR1" localSheetId="2" hidden="1">{#N/A,#N/A,FALSE,"Input";#N/A,#N/A,FALSE,"LastYearInput";#N/A,#N/A,FALSE,"NextYearData";#N/A,#N/A,FALSE,"NPPC";#N/A,#N/A,FALSE,"ReconPC";#N/A,#N/A,FALSE,"PSCAmort";#N/A,#N/A,FALSE,"FASBGL";#N/A,#N/A,FALSE,"FAS132";#N/A,#N/A,FALSE,"AML";#N/A,#N/A,FALSE,"FAS35"}</definedName>
    <definedName name="wrn.FASBR1" hidden="1">{#N/A,#N/A,FALSE,"Input";#N/A,#N/A,FALSE,"LastYearInput";#N/A,#N/A,FALSE,"NextYearData";#N/A,#N/A,FALSE,"NPPC";#N/A,#N/A,FALSE,"ReconPC";#N/A,#N/A,FALSE,"PSCAmort";#N/A,#N/A,FALSE,"FASBGL";#N/A,#N/A,FALSE,"FAS132";#N/A,#N/A,FALSE,"AML";#N/A,#N/A,FALSE,"FAS35"}</definedName>
    <definedName name="wrn.FASBR2" localSheetId="2" hidden="1">{#N/A,#N/A,FALSE,"Input";#N/A,#N/A,FALSE,"LastYearInput";#N/A,#N/A,FALSE,"NextYearData";#N/A,#N/A,FALSE,"NPPC";#N/A,#N/A,FALSE,"ReconPC";#N/A,#N/A,FALSE,"PSCAmort";#N/A,#N/A,FALSE,"FASBGL";#N/A,#N/A,FALSE,"FAS132";#N/A,#N/A,FALSE,"AML";#N/A,#N/A,FALSE,"FAS35"}</definedName>
    <definedName name="wrn.FASBR2" hidden="1">{#N/A,#N/A,FALSE,"Input";#N/A,#N/A,FALSE,"LastYearInput";#N/A,#N/A,FALSE,"NextYearData";#N/A,#N/A,FALSE,"NPPC";#N/A,#N/A,FALSE,"ReconPC";#N/A,#N/A,FALSE,"PSCAmort";#N/A,#N/A,FALSE,"FASBGL";#N/A,#N/A,FALSE,"FAS132";#N/A,#N/A,FALSE,"AML";#N/A,#N/A,FALSE,"FAS35"}</definedName>
    <definedName name="wrn.FASBResults." localSheetId="2" hidden="1">{#N/A,#N/A,FALSE,"Input";#N/A,#N/A,FALSE,"LastYearInput";#N/A,#N/A,FALSE,"NextYearData";#N/A,#N/A,FALSE,"NPPC";#N/A,#N/A,FALSE,"ReconPC";#N/A,#N/A,FALSE,"PSCAmort";#N/A,#N/A,FALSE,"FASBGL";#N/A,#N/A,FALSE,"FAS132";#N/A,#N/A,FALSE,"AML";#N/A,#N/A,FALSE,"FAS35"}</definedName>
    <definedName name="wrn.FASBResults." hidden="1">{#N/A,#N/A,FALSE,"Input";#N/A,#N/A,FALSE,"LastYearInput";#N/A,#N/A,FALSE,"NextYearData";#N/A,#N/A,FALSE,"NPPC";#N/A,#N/A,FALSE,"ReconPC";#N/A,#N/A,FALSE,"PSCAmort";#N/A,#N/A,FALSE,"FASBGL";#N/A,#N/A,FALSE,"FAS132";#N/A,#N/A,FALSE,"AML";#N/A,#N/A,FALSE,"FAS35"}</definedName>
    <definedName name="wrn.FASBResults2" localSheetId="2" hidden="1">{#N/A,#N/A,FALSE,"Input";#N/A,#N/A,FALSE,"LastYearInput";#N/A,#N/A,FALSE,"NextYearData";#N/A,#N/A,FALSE,"NPPC";#N/A,#N/A,FALSE,"ReconPC";#N/A,#N/A,FALSE,"PSCAmort";#N/A,#N/A,FALSE,"FASBGL";#N/A,#N/A,FALSE,"FAS132";#N/A,#N/A,FALSE,"AML";#N/A,#N/A,FALSE,"FAS35"}</definedName>
    <definedName name="wrn.FASBResults2" hidden="1">{#N/A,#N/A,FALSE,"Input";#N/A,#N/A,FALSE,"LastYearInput";#N/A,#N/A,FALSE,"NextYearData";#N/A,#N/A,FALSE,"NPPC";#N/A,#N/A,FALSE,"ReconPC";#N/A,#N/A,FALSE,"PSCAmort";#N/A,#N/A,FALSE,"FASBGL";#N/A,#N/A,FALSE,"FAS132";#N/A,#N/A,FALSE,"AML";#N/A,#N/A,FALSE,"FAS35"}</definedName>
    <definedName name="Wrn.FASBResults3" localSheetId="2" hidden="1">{#N/A,#N/A,FALSE,"Input";#N/A,#N/A,FALSE,"LastYearInput";#N/A,#N/A,FALSE,"NextYearData";#N/A,#N/A,FALSE,"NPPC";#N/A,#N/A,FALSE,"ReconPC";#N/A,#N/A,FALSE,"PSCAmort";#N/A,#N/A,FALSE,"FASBGL";#N/A,#N/A,FALSE,"FAS132";#N/A,#N/A,FALSE,"AML";#N/A,#N/A,FALSE,"FAS35"}</definedName>
    <definedName name="Wrn.FASBResults3" hidden="1">{#N/A,#N/A,FALSE,"Input";#N/A,#N/A,FALSE,"LastYearInput";#N/A,#N/A,FALSE,"NextYearData";#N/A,#N/A,FALSE,"NPPC";#N/A,#N/A,FALSE,"ReconPC";#N/A,#N/A,FALSE,"PSCAmort";#N/A,#N/A,FALSE,"FASBGL";#N/A,#N/A,FALSE,"FAS132";#N/A,#N/A,FALSE,"AML";#N/A,#N/A,FALSE,"FAS35"}</definedName>
    <definedName name="wrn.FASBResults4" localSheetId="2" hidden="1">{#N/A,#N/A,FALSE,"Input";#N/A,#N/A,FALSE,"LastYearInput";#N/A,#N/A,FALSE,"NextYearData";#N/A,#N/A,FALSE,"NPPC";#N/A,#N/A,FALSE,"ReconPC";#N/A,#N/A,FALSE,"PSCAmort";#N/A,#N/A,FALSE,"FASBGL";#N/A,#N/A,FALSE,"FAS132";#N/A,#N/A,FALSE,"AML";#N/A,#N/A,FALSE,"FAS35"}</definedName>
    <definedName name="wrn.FASBResults4" hidden="1">{#N/A,#N/A,FALSE,"Input";#N/A,#N/A,FALSE,"LastYearInput";#N/A,#N/A,FALSE,"NextYearData";#N/A,#N/A,FALSE,"NPPC";#N/A,#N/A,FALSE,"ReconPC";#N/A,#N/A,FALSE,"PSCAmort";#N/A,#N/A,FALSE,"FASBGL";#N/A,#N/A,FALSE,"FAS132";#N/A,#N/A,FALSE,"AML";#N/A,#N/A,FALSE,"FAS35"}</definedName>
    <definedName name="wrn.FERN." localSheetId="2" hidden="1">{#N/A,#N/A,FALSE,"FAC_RATE.XLS";#N/A,#N/A,FALSE,"ISC";#N/A,#N/A,FALSE,"SETA";#N/A,#N/A,FALSE,"MHX.XLS";#N/A,#N/A,FALSE,"DOM_G&amp;A"}</definedName>
    <definedName name="wrn.FERN." hidden="1">{#N/A,#N/A,FALSE,"FAC_RATE.XLS";#N/A,#N/A,FALSE,"ISC";#N/A,#N/A,FALSE,"SETA";#N/A,#N/A,FALSE,"MHX.XLS";#N/A,#N/A,FALSE,"DOM_G&amp;A"}</definedName>
    <definedName name="wrn.financial." localSheetId="2" hidden="1">{"income stmt",#N/A,FALSE,"INCOME STATEMENT";"balance sheet",#N/A,FALSE,"INCOME STATEMENT"}</definedName>
    <definedName name="wrn.financial." hidden="1">{"income stmt",#N/A,FALSE,"INCOME STATEMENT";"balance sheet",#N/A,FALSE,"INCOME STATEMENT"}</definedName>
    <definedName name="wrn.Financials." localSheetId="2" hidden="1">{#N/A,#N/A,FALSE,"Year";#N/A,#N/A,FALSE,"AC Fiscal Year";#N/A,#N/A,FALSE,"Financials By Line of Business";#N/A,#N/A,FALSE,"Line of Business Review";#N/A,#N/A,FALSE,"Activity Review";#N/A,#N/A,FALSE,"Financials By Custom Resource";#N/A,#N/A,FALSE,"Custom Resource Review"}</definedName>
    <definedName name="wrn.Financials." localSheetId="1" hidden="1">{#N/A,#N/A,FALSE,"Year";#N/A,#N/A,FALSE,"AC Fiscal Year";#N/A,#N/A,FALSE,"Financials By Line of Business";#N/A,#N/A,FALSE,"Line of Business Review";#N/A,#N/A,FALSE,"Activity Review";#N/A,#N/A,FALSE,"Financials By Custom Resource";#N/A,#N/A,FALSE,"Custom Resource Review"}</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undingResults."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1"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1"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3"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3" hidden="1">{#N/A,#N/A,FALSE,"Input";#N/A,#N/A,FALSE,"LastYearInput";#N/A,#N/A,FALSE,"NextYearData";#N/A,#N/A,FALSE,"Summary";#N/A,#N/A,FALSE,"Quart";#N/A,#N/A,FALSE,"UAL";#N/A,#N/A,FALSE,"AVA";#N/A,#N/A,FALSE,"CL";#N/A,#N/A,FALSE,"CBal";#N/A,#N/A,FALSE,"Min";#N/A,#N/A,FALSE,"AFC";#N/A,#N/A,FALSE,"FFL";#N/A,#N/A,FALSE,"Max";#N/A,#N/A,FALSE,"MinAmort";#N/A,#N/A,FALSE,"Exp";#N/A,#N/A,FALSE,"AssetRet"}</definedName>
    <definedName name="wrn.G._.A._.expense._.entry." localSheetId="2" hidden="1">{"G A expense entry",#N/A,FALSE,"GA97"}</definedName>
    <definedName name="wrn.G._.A._.expense._.entry." localSheetId="1" hidden="1">{"G A expense entry",#N/A,FALSE,"GA97"}</definedName>
    <definedName name="wrn.G._.A._.expense._.entry." hidden="1">{"G A expense entry",#N/A,FALSE,"GA97"}</definedName>
    <definedName name="wrn.GFY._.Summary._.Report." localSheetId="2" hidden="1">{"GFY 1997 Summary",#N/A,FALSE,"Summary";"GFY 1998 Summary",#N/A,FALSE,"Summary";"GFY 1999 Summary",#N/A,FALSE,"Summary";"GFY 2000 Summary",#N/A,FALSE,"Summary"}</definedName>
    <definedName name="wrn.GFY._.Summary._.Report." hidden="1">{"GFY 1997 Summary",#N/A,FALSE,"Summary";"GFY 1998 Summary",#N/A,FALSE,"Summary";"GFY 1999 Summary",#N/A,FALSE,"Summary";"GFY 2000 Summary",#N/A,FALSE,"Summary"}</definedName>
    <definedName name="wrn.government._.rate._.calculation." localSheetId="2" hidden="1">{"government rate calculation",#N/A,FALSE,"GA97"}</definedName>
    <definedName name="wrn.government._.rate._.calculation." localSheetId="1" hidden="1">{"government rate calculation",#N/A,FALSE,"GA97"}</definedName>
    <definedName name="wrn.government._.rate._.calculation." hidden="1">{"government rate calculation",#N/A,FALSE,"GA97"}</definedName>
    <definedName name="wrn.GraphResults." localSheetId="2" hidden="1">{#N/A,#N/A,FALSE,"GraphInput";#N/A,#N/A,FALSE,"Grph_Contrib";#N/A,#N/A,FALSE,"Grph_Fund";#N/A,#N/A,FALSE,"Grph_FAS87";#N/A,#N/A,FALSE,"Grph_FAS35";#N/A,#N/A,FALSE,"Grph_PI";#N/A,#N/A,FALSE,"Grph_Asset";#N/A,#N/A,FALSE,"Grph_Invest"}</definedName>
    <definedName name="wrn.GraphResults." hidden="1">{#N/A,#N/A,FALSE,"GraphInput";#N/A,#N/A,FALSE,"Grph_Contrib";#N/A,#N/A,FALSE,"Grph_Fund";#N/A,#N/A,FALSE,"Grph_FAS87";#N/A,#N/A,FALSE,"Grph_FAS35";#N/A,#N/A,FALSE,"Grph_PI";#N/A,#N/A,FALSE,"Grph_Asset";#N/A,#N/A,FALSE,"Grph_Invest"}</definedName>
    <definedName name="Wrn.GraphResults1" localSheetId="2" hidden="1">{#N/A,#N/A,FALSE,"GraphInput";#N/A,#N/A,FALSE,"Grph_Contrib";#N/A,#N/A,FALSE,"Grph_Fund";#N/A,#N/A,FALSE,"Grph_FAS87";#N/A,#N/A,FALSE,"Grph_FAS35";#N/A,#N/A,FALSE,"Grph_PI";#N/A,#N/A,FALSE,"Grph_Asset";#N/A,#N/A,FALSE,"Grph_Invest"}</definedName>
    <definedName name="Wrn.GraphResults1" hidden="1">{#N/A,#N/A,FALSE,"GraphInput";#N/A,#N/A,FALSE,"Grph_Contrib";#N/A,#N/A,FALSE,"Grph_Fund";#N/A,#N/A,FALSE,"Grph_FAS87";#N/A,#N/A,FALSE,"Grph_FAS35";#N/A,#N/A,FALSE,"Grph_PI";#N/A,#N/A,FALSE,"Grph_Asset";#N/A,#N/A,FALSE,"Grph_Invest"}</definedName>
    <definedName name="wrn.Graphresults3" localSheetId="2" hidden="1">{#N/A,#N/A,FALSE,"GraphInput";#N/A,#N/A,FALSE,"Grph_Contrib";#N/A,#N/A,FALSE,"Grph_Fund";#N/A,#N/A,FALSE,"Grph_FAS87";#N/A,#N/A,FALSE,"Grph_FAS35";#N/A,#N/A,FALSE,"Grph_PI";#N/A,#N/A,FALSE,"Grph_Asset";#N/A,#N/A,FALSE,"Grph_Invest"}</definedName>
    <definedName name="wrn.Graphresults3" hidden="1">{#N/A,#N/A,FALSE,"GraphInput";#N/A,#N/A,FALSE,"Grph_Contrib";#N/A,#N/A,FALSE,"Grph_Fund";#N/A,#N/A,FALSE,"Grph_FAS87";#N/A,#N/A,FALSE,"Grph_FAS35";#N/A,#N/A,FALSE,"Grph_PI";#N/A,#N/A,FALSE,"Grph_Asset";#N/A,#N/A,FALSE,"Grph_Invest"}</definedName>
    <definedName name="wrn.internal._.report." localSheetId="2" hidden="1">{"internal rptg",#N/A,FALSE,"ovhd summary"}</definedName>
    <definedName name="wrn.internal._.report." hidden="1">{"internal rptg",#N/A,FALSE,"ovhd summary"}</definedName>
    <definedName name="wrn.Invoice." localSheetId="2" hidden="1">{#N/A,#N/A,FALSE,"1034";#N/A,#N/A,FALSE,"Invoice"}</definedName>
    <definedName name="wrn.Invoice." hidden="1">{#N/A,#N/A,FALSE,"1034";#N/A,#N/A,FALSE,"Invoice"}</definedName>
    <definedName name="wrn.JDISS_Co1." localSheetId="2" hidden="1">{"JDISS_Co1",#N/A,FALSE,"JDISS_Co1";"JDISSCo1_PA",#N/A,FALSE,"JDISS_Co1"}</definedName>
    <definedName name="wrn.JDISS_Co1." hidden="1">{"JDISS_Co1",#N/A,FALSE,"JDISS_Co1";"JDISSCo1_PA",#N/A,FALSE,"JDISS_Co1"}</definedName>
    <definedName name="wrn.JIM." localSheetId="2" hidden="1">{"JIM",#N/A,FALSE,"8401detail"}</definedName>
    <definedName name="wrn.JIM." hidden="1">{"JIM",#N/A,FALSE,"8401detail"}</definedName>
    <definedName name="wrn.Jury." localSheetId="2" hidden="1">{#N/A,#N/A,FALSE,"Year";#N/A,#N/A,FALSE,"AC Fiscal Year";#N/A,#N/A,FALSE,"Hourly Rate By Activity";#N/A,#N/A,FALSE,"Hourly Rate By Custom Resource";#N/A,#N/A,FALSE,"Sensitivity Analysis";#N/A,#N/A,FALSE,"Overall Staffing Review"}</definedName>
    <definedName name="wrn.Jury." localSheetId="1"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LABOR." localSheetId="2" hidden="1">{"GFY 97",#N/A,FALSE,"SCRA LABOR";"GFY 98",#N/A,FALSE,"SCRA LABOR";"GFY 99",#N/A,FALSE,"SCRA LABOR";"GFY 00",#N/A,FALSE,"SCRA LABOR"}</definedName>
    <definedName name="wrn.LABOR." localSheetId="1" hidden="1">{"GFY 97",#N/A,FALSE,"SCRA LABOR";"GFY 98",#N/A,FALSE,"SCRA LABOR";"GFY 99",#N/A,FALSE,"SCRA LABOR";"GFY 00",#N/A,FALSE,"SCRA LABOR"}</definedName>
    <definedName name="wrn.LABOR." hidden="1">{"GFY 97",#N/A,FALSE,"SCRA LABOR";"GFY 98",#N/A,FALSE,"SCRA LABOR";"GFY 99",#N/A,FALSE,"SCRA LABOR";"GFY 00",#N/A,FALSE,"SCRA LABOR"}</definedName>
    <definedName name="wrn.Man._.Loading._.Sheet." localSheetId="2" hidden="1">{#N/A,#N/A,FALSE,"ManLoading"}</definedName>
    <definedName name="wrn.Man._.Loading._.Sheet." hidden="1">{#N/A,#N/A,FALSE,"ManLoading"}</definedName>
    <definedName name="wrn.MARC." localSheetId="2" hidden="1">{#N/A,#N/A,FALSE,"FAC_RATE.XLS";#N/A,#N/A,FALSE,"EIA";#N/A,#N/A,FALSE,"FCC";#N/A,#N/A,FALSE,"SETA";#N/A,#N/A,FALSE,"MHX.XLS";#N/A,#N/A,FALSE,"DOM_G&amp;A"}</definedName>
    <definedName name="wrn.MARC." hidden="1">{#N/A,#N/A,FALSE,"FAC_RATE.XLS";#N/A,#N/A,FALSE,"EIA";#N/A,#N/A,FALSE,"FCC";#N/A,#N/A,FALSE,"SETA";#N/A,#N/A,FALSE,"MHX.XLS";#N/A,#N/A,FALSE,"DOM_G&amp;A"}</definedName>
    <definedName name="wrn.Monthly." localSheetId="2" hidden="1">{"GFY 95","GFY 95",FALSE,"TOTALS";"GFY 96","GFY 96",FALSE,"TOTALS";"GFY 97","GFY 97",FALSE,"TOTALS"}</definedName>
    <definedName name="wrn.Monthly." localSheetId="1" hidden="1">{"GFY 95","GFY 95",FALSE,"TOTALS";"GFY 96","GFY 96",FALSE,"TOTALS";"GFY 97","GFY 97",FALSE,"TOTALS"}</definedName>
    <definedName name="wrn.Monthly." hidden="1">{"GFY 95","GFY 95",FALSE,"TOTALS";"GFY 96","GFY 96",FALSE,"TOTALS";"GFY 97","GFY 97",FALSE,"TOTALS"}</definedName>
    <definedName name="wrn.monthly2" localSheetId="2" hidden="1">{#N/A,#N/A,FALSE,"Page 1";#N/A,#N/A,FALSE,"Page 2";#N/A,#N/A,FALSE,"cm &amp; itd analysis";#N/A,#N/A,FALSE,"PROGRAM MGT";#N/A,#N/A,FALSE,"BASELINE";#N/A,#N/A,FALSE,"BAS V2.0";#N/A,#N/A,FALSE,"BAS V2.5";#N/A,#N/A,FALSE,"BAS V3.0";#N/A,#N/A,FALSE,"TOTAL"}</definedName>
    <definedName name="wrn.monthly2" hidden="1">{#N/A,#N/A,FALSE,"Page 1";#N/A,#N/A,FALSE,"Page 2";#N/A,#N/A,FALSE,"cm &amp; itd analysis";#N/A,#N/A,FALSE,"PROGRAM MGT";#N/A,#N/A,FALSE,"BASELINE";#N/A,#N/A,FALSE,"BAS V2.0";#N/A,#N/A,FALSE,"BAS V2.5";#N/A,#N/A,FALSE,"BAS V3.0";#N/A,#N/A,FALSE,"TOTAL"}</definedName>
    <definedName name="wrn.monthlyoption." localSheetId="2" hidden="1">{"GFY 97",#N/A,FALSE,"MONTHLY FLOW (OPTION)";"GFY 98",#N/A,FALSE,"MONTHLY FLOW (OPTION)";"GFY 99",#N/A,FALSE,"MONTHLY FLOW (OPTION)";"GFY 00",#N/A,FALSE,"MONTHLY FLOW (OPTION)";"TTL PROGRAM",#N/A,FALSE,"MONTHLY FLOW (OPTION)"}</definedName>
    <definedName name="wrn.monthlyoption." localSheetId="1" hidden="1">{"GFY 97",#N/A,FALSE,"MONTHLY FLOW (OPTION)";"GFY 98",#N/A,FALSE,"MONTHLY FLOW (OPTION)";"GFY 99",#N/A,FALSE,"MONTHLY FLOW (OPTION)";"GFY 00",#N/A,FALSE,"MONTHLY FLOW (OPTION)";"TTL PROGRAM",#N/A,FALSE,"MONTHLY FLOW (OPTION)"}</definedName>
    <definedName name="wrn.monthlyoption." hidden="1">{"GFY 97",#N/A,FALSE,"MONTHLY FLOW (OPTION)";"GFY 98",#N/A,FALSE,"MONTHLY FLOW (OPTION)";"GFY 99",#N/A,FALSE,"MONTHLY FLOW (OPTION)";"GFY 00",#N/A,FALSE,"MONTHLY FLOW (OPTION)";"TTL PROGRAM",#N/A,FALSE,"MONTHLY FLOW (OPTION)"}</definedName>
    <definedName name="wrn.PAODC." localSheetId="2" hidden="1">{"par",#N/A,FALSE,"PA";"odcr",#N/A,FALSE,"PA";"paxr",#N/A,FALSE,"PA"}</definedName>
    <definedName name="wrn.PAODC." hidden="1">{"par",#N/A,FALSE,"PA";"odcr",#N/A,FALSE,"PA";"paxr",#N/A,FALSE,"PA"}</definedName>
    <definedName name="wrn.Pearson_Co1." localSheetId="2" hidden="1">{"PearsonCo1_Prop",#N/A,FALSE,"Pearsons Task Co1";"PearsonCo1_PA",#N/A,FALSE,"Pearsons Task Co1"}</definedName>
    <definedName name="wrn.Pearson_Co1." hidden="1">{"PearsonCo1_Prop",#N/A,FALSE,"Pearsons Task Co1";"PearsonCo1_PA",#N/A,FALSE,"Pearsons Task Co1"}</definedName>
    <definedName name="wrn.Pearson_Co5." localSheetId="2" hidden="1">{"PearsonCo5_Prop",#N/A,FALSE,"Pearsons Task Co5";"PearsonCo5_PA",#N/A,FALSE,"Pearsons Task Co5"}</definedName>
    <definedName name="wrn.Pearson_Co5." hidden="1">{"PearsonCo5_Prop",#N/A,FALSE,"Pearsons Task Co5";"PearsonCo5_PA",#N/A,FALSE,"Pearsons Task Co5"}</definedName>
    <definedName name="wrn.PETE." localSheetId="2" hidden="1">{#N/A,#N/A,FALSE,"FAC_RATE.XLS";#N/A,#N/A,FALSE,"TFC";#N/A,#N/A,FALSE,"ISC";#N/A,#N/A,FALSE,"ESC";#N/A,#N/A,FALSE,"EIA";#N/A,#N/A,FALSE,"FCC";#N/A,#N/A,FALSE,"SETA";#N/A,#N/A,FALSE,"MSC";#N/A,#N/A,FALSE,"SSC_SPA";#N/A,#N/A,FALSE,"SSC_NEMA";#N/A,#N/A,FALSE,"MHX.XLS";#N/A,#N/A,FALSE,"DOM_G&amp;A"}</definedName>
    <definedName name="wrn.PETE." hidden="1">{#N/A,#N/A,FALSE,"FAC_RATE.XLS";#N/A,#N/A,FALSE,"TFC";#N/A,#N/A,FALSE,"ISC";#N/A,#N/A,FALSE,"ESC";#N/A,#N/A,FALSE,"EIA";#N/A,#N/A,FALSE,"FCC";#N/A,#N/A,FALSE,"SETA";#N/A,#N/A,FALSE,"MSC";#N/A,#N/A,FALSE,"SSC_SPA";#N/A,#N/A,FALSE,"SSC_NEMA";#N/A,#N/A,FALSE,"MHX.XLS";#N/A,#N/A,FALSE,"DOM_G&amp;A"}</definedName>
    <definedName name="wrn.PLAN._.PRINT." localSheetId="2" hidden="1">{#N/A,#N/A,FALSE,"SALES";#N/A,#N/A,FALSE,"EARNINGS";#N/A,#N/A,FALSE,"ORDERS";#N/A,#N/A,FALSE,"CONT AWARDS";#N/A,#N/A,FALSE,"RISK";#N/A,#N/A,FALSE,"FIX PRICE";#N/A,#N/A,FALSE,"AWARD FEE";#N/A,#N/A,FALSE,"B&amp;P";#N/A,#N/A,FALSE,"HEADCOUNT";#N/A,#N/A,FALSE,"CAPITAL"}</definedName>
    <definedName name="wrn.PLAN._.PRINT." hidden="1">{#N/A,#N/A,FALSE,"SALES";#N/A,#N/A,FALSE,"EARNINGS";#N/A,#N/A,FALSE,"ORDERS";#N/A,#N/A,FALSE,"CONT AWARDS";#N/A,#N/A,FALSE,"RISK";#N/A,#N/A,FALSE,"FIX PRICE";#N/A,#N/A,FALSE,"AWARD FEE";#N/A,#N/A,FALSE,"B&amp;P";#N/A,#N/A,FALSE,"HEADCOUNT";#N/A,#N/A,FALSE,"CAPITAL"}</definedName>
    <definedName name="wrn.portfoli2" localSheetId="2" hidden="1">{#N/A,#N/A,FALSE,"fy95";#N/A,#N/A,FALSE,"fy96";#N/A,#N/A,FALSE,"ty96";#N/A,#N/A,FALSE,"total";#N/A,#N/A,FALSE,"EAC"}</definedName>
    <definedName name="wrn.portfoli2" hidden="1">{#N/A,#N/A,FALSE,"fy95";#N/A,#N/A,FALSE,"fy96";#N/A,#N/A,FALSE,"ty96";#N/A,#N/A,FALSE,"total";#N/A,#N/A,FALSE,"EAC"}</definedName>
    <definedName name="wrn.Portfolio." localSheetId="2" hidden="1">{#N/A,#N/A,FALSE,"fy95";#N/A,#N/A,FALSE,"fy96";#N/A,#N/A,FALSE,"ty96";#N/A,#N/A,FALSE,"total";#N/A,#N/A,FALSE,"EAC"}</definedName>
    <definedName name="wrn.Portfolio." hidden="1">{#N/A,#N/A,FALSE,"fy95";#N/A,#N/A,FALSE,"fy96";#N/A,#N/A,FALSE,"ty96";#N/A,#N/A,FALSE,"total";#N/A,#N/A,FALSE,"EAC"}</definedName>
    <definedName name="wrn.portfolio1" localSheetId="2" hidden="1">{#N/A,#N/A,FALSE,"fy95";#N/A,#N/A,FALSE,"fy96";#N/A,#N/A,FALSE,"ty96";#N/A,#N/A,FALSE,"total";#N/A,#N/A,FALSE,"EAC"}</definedName>
    <definedName name="wrn.portfolio1" hidden="1">{#N/A,#N/A,FALSE,"fy95";#N/A,#N/A,FALSE,"fy96";#N/A,#N/A,FALSE,"ty96";#N/A,#N/A,FALSE,"total";#N/A,#N/A,FALSE,"EAC"}</definedName>
    <definedName name="wrn.Portfolio1." localSheetId="2" hidden="1">{#N/A,#N/A,FALSE,"fy95";#N/A,#N/A,FALSE,"fy96";#N/A,#N/A,FALSE,"ty96";#N/A,#N/A,FALSE,"total";#N/A,#N/A,FALSE,"EAC"}</definedName>
    <definedName name="wrn.Portfolio1." hidden="1">{#N/A,#N/A,FALSE,"fy95";#N/A,#N/A,FALSE,"fy96";#N/A,#N/A,FALSE,"ty96";#N/A,#N/A,FALSE,"total";#N/A,#N/A,FALSE,"EAC"}</definedName>
    <definedName name="wrn.portfolio11" localSheetId="2" hidden="1">{#N/A,#N/A,FALSE,"fy95";#N/A,#N/A,FALSE,"fy96";#N/A,#N/A,FALSE,"ty96";#N/A,#N/A,FALSE,"total";#N/A,#N/A,FALSE,"EAC"}</definedName>
    <definedName name="wrn.portfolio11" hidden="1">{#N/A,#N/A,FALSE,"fy95";#N/A,#N/A,FALSE,"fy96";#N/A,#N/A,FALSE,"ty96";#N/A,#N/A,FALSE,"total";#N/A,#N/A,FALSE,"EAC"}</definedName>
    <definedName name="wrn.portfolio2" localSheetId="2" hidden="1">{#N/A,#N/A,FALSE,"fy95";#N/A,#N/A,FALSE,"fy96";#N/A,#N/A,FALSE,"ty96";#N/A,#N/A,FALSE,"total";#N/A,#N/A,FALSE,"EAC"}</definedName>
    <definedName name="wrn.portfolio2" hidden="1">{#N/A,#N/A,FALSE,"fy95";#N/A,#N/A,FALSE,"fy96";#N/A,#N/A,FALSE,"ty96";#N/A,#N/A,FALSE,"total";#N/A,#N/A,FALSE,"EAC"}</definedName>
    <definedName name="wrn.portfolioa" localSheetId="2" hidden="1">{#N/A,#N/A,FALSE,"fy95";#N/A,#N/A,FALSE,"fy96";#N/A,#N/A,FALSE,"ty96";#N/A,#N/A,FALSE,"total";#N/A,#N/A,FALSE,"EAC"}</definedName>
    <definedName name="wrn.portfolioa" hidden="1">{#N/A,#N/A,FALSE,"fy95";#N/A,#N/A,FALSE,"fy96";#N/A,#N/A,FALSE,"ty96";#N/A,#N/A,FALSE,"total";#N/A,#N/A,FALSE,"EAC"}</definedName>
    <definedName name="wrn.Portfolioa." localSheetId="2" hidden="1">{#N/A,#N/A,FALSE,"fy95";#N/A,#N/A,FALSE,"fy96";#N/A,#N/A,FALSE,"ty96";#N/A,#N/A,FALSE,"total";#N/A,#N/A,FALSE,"EAC"}</definedName>
    <definedName name="wrn.Portfolioa." hidden="1">{#N/A,#N/A,FALSE,"fy95";#N/A,#N/A,FALSE,"fy96";#N/A,#N/A,FALSE,"ty96";#N/A,#N/A,FALSE,"total";#N/A,#N/A,FALSE,"EAC"}</definedName>
    <definedName name="wrn.Portfoliob." localSheetId="2" hidden="1">{#N/A,#N/A,FALSE,"fy95";#N/A,#N/A,FALSE,"fy96";#N/A,#N/A,FALSE,"ty96";#N/A,#N/A,FALSE,"total";#N/A,#N/A,FALSE,"EAC"}</definedName>
    <definedName name="wrn.Portfoliob." hidden="1">{#N/A,#N/A,FALSE,"fy95";#N/A,#N/A,FALSE,"fy96";#N/A,#N/A,FALSE,"ty96";#N/A,#N/A,FALSE,"total";#N/A,#N/A,FALSE,"EAC"}</definedName>
    <definedName name="wrn.price." localSheetId="2" hidden="1">{"PAGE1",#N/A,FALSE,"CPFFMSTR";"PAGE2",#N/A,FALSE,"CPFFMSTR"}</definedName>
    <definedName name="wrn.price." localSheetId="1" hidden="1">{"PAGE1",#N/A,FALSE,"CPFFMSTR";"PAGE2",#N/A,FALSE,"CPFFMSTR"}</definedName>
    <definedName name="wrn.price." hidden="1">{"PAGE1",#N/A,FALSE,"CPFFMSTR";"PAGE2",#N/A,FALSE,"CPFFMSTR"}</definedName>
    <definedName name="wrn.Print." localSheetId="2"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1"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ALL." localSheetId="2" hidden="1">{"ORIG",#N/A,FALSE,"Sheet1";"GOVT LABOR",#N/A,FALSE,"Sheet1";"INT LABOR",#N/A,FALSE,"Sheet1"}</definedName>
    <definedName name="wrn.PRINT._.ALL." localSheetId="1" hidden="1">{"ORIG",#N/A,FALSE,"Sheet1";"GOVT LABOR",#N/A,FALSE,"Sheet1";"INT LABOR",#N/A,FALSE,"Sheet1"}</definedName>
    <definedName name="wrn.PRINT._.ALL." hidden="1">{"ORIG",#N/A,FALSE,"Sheet1";"GOVT LABOR",#N/A,FALSE,"Sheet1";"INT LABOR",#N/A,FALSE,"Sheet1"}</definedName>
    <definedName name="wrn.print._.form." localSheetId="2" hidden="1">{"Form 1263 Total",#N/A,FALSE,"NIST-1263 Total"}</definedName>
    <definedName name="wrn.print._.form." localSheetId="1" hidden="1">{"Form 1263 Total",#N/A,FALSE,"NIST-1263 Total"}</definedName>
    <definedName name="wrn.print._.form." hidden="1">{"Form 1263 Total",#N/A,FALSE,"NIST-1263 Total"}</definedName>
    <definedName name="wrn.projected._.revenue." localSheetId="2" hidden="1">{"projected revenue",#N/A,FALSE,"GA97"}</definedName>
    <definedName name="wrn.projected._.revenue." localSheetId="1" hidden="1">{"projected revenue",#N/A,FALSE,"GA97"}</definedName>
    <definedName name="wrn.projected._.revenue." hidden="1">{"projected revenue",#N/A,FALSE,"GA97"}</definedName>
    <definedName name="wrn.proposal." localSheetId="2" hidden="1">{"summary",#N/A,TRUE,"SUMMARY";"travel_1",#N/A,TRUE,"TRAVEL";"travel_2",#N/A,TRUE,"TRAVEL";"travel_3",#N/A,TRUE,"TRAVEL";"material",#N/A,TRUE,"MATERIALS &amp; EQUIP"}</definedName>
    <definedName name="wrn.proposal." hidden="1">{"summary",#N/A,TRUE,"SUMMARY";"travel_1",#N/A,TRUE,"TRAVEL";"travel_2",#N/A,TRUE,"TRAVEL";"travel_3",#N/A,TRUE,"TRAVEL";"material",#N/A,TRUE,"MATERIALS &amp; EQUIP"}</definedName>
    <definedName name="wrn.proposala" localSheetId="2" hidden="1">{"summary",#N/A,TRUE,"SUMMARY";"travel_1",#N/A,TRUE,"TRAVEL";"travel_2",#N/A,TRUE,"TRAVEL";"travel_3",#N/A,TRUE,"TRAVEL";"material",#N/A,TRUE,"MATERIALS &amp; EQUIP"}</definedName>
    <definedName name="wrn.proposala" hidden="1">{"summary",#N/A,TRUE,"SUMMARY";"travel_1",#N/A,TRUE,"TRAVEL";"travel_2",#N/A,TRUE,"TRAVEL";"travel_3",#N/A,TRUE,"TRAVEL";"material",#N/A,TRUE,"MATERIALS &amp; EQUIP"}</definedName>
    <definedName name="wrn.Rate._.Reports." localSheetId="2" hidden="1">{#N/A,#N/A,FALSE,"Monthly Rate By Activity";#N/A,#N/A,FALSE,"Hourly Rate By Activity";#N/A,#N/A,FALSE,"Monthly Rate By Custom Resource";#N/A,#N/A,FALSE,"Hourly Rate By Custom Resource"}</definedName>
    <definedName name="wrn.Rate._.Reports." localSheetId="1"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ippert." localSheetId="2"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OSE." localSheetId="2" hidden="1">{"Page 2",#N/A,FALSE,"2000";"Page 1",#N/A,FALSE,"2000"}</definedName>
    <definedName name="wrn.ROSE." localSheetId="1" hidden="1">{"Page 2",#N/A,FALSE,"2000";"Page 1",#N/A,FALSE,"2000"}</definedName>
    <definedName name="wrn.ROSE." hidden="1">{"Page 2",#N/A,FALSE,"2000";"Page 1",#N/A,FALSE,"2000"}</definedName>
    <definedName name="wrn.SCOTT." localSheetId="2" hidden="1">{#N/A,#N/A,FALSE,"FAC_RATE.XLS";#N/A,#N/A,FALSE,"SETA";#N/A,#N/A,FALSE,"MSC";#N/A,#N/A,FALSE,"MHX.XLS"}</definedName>
    <definedName name="wrn.SCOTT." hidden="1">{#N/A,#N/A,FALSE,"FAC_RATE.XLS";#N/A,#N/A,FALSE,"SETA";#N/A,#N/A,FALSE,"MSC";#N/A,#N/A,FALSE,"MHX.XLS"}</definedName>
    <definedName name="wrn.Seal._.Team._.J6." localSheetId="2" hidden="1">{"Seal Team J6 Sum",#N/A,FALSE,"Seal Team Summary";"Seal Team J6",#N/A,FALSE,"Seal Team ";"Seal Team ODC J6",#N/A,FALSE,"Seal Team ODCs";"Seal Team Trvl J6",#N/A,FALSE," Seal Team Trvl"}</definedName>
    <definedName name="wrn.Seal._.Team._.J6." hidden="1">{"Seal Team J6 Sum",#N/A,FALSE,"Seal Team Summary";"Seal Team J6",#N/A,FALSE,"Seal Team ";"Seal Team ODC J6",#N/A,FALSE,"Seal Team ODCs";"Seal Team Trvl J6",#N/A,FALSE," Seal Team Trvl"}</definedName>
    <definedName name="wrn.Sheet1.Shhet8." localSheetId="2" hidden="1">{#N/A,#N/A,FALSE,"Sheet1"}</definedName>
    <definedName name="wrn.Sheet1.Shhet8." localSheetId="1" hidden="1">{#N/A,#N/A,FALSE,"Sheet1"}</definedName>
    <definedName name="wrn.Sheet1.Shhet8." hidden="1">{#N/A,#N/A,FALSE,"Sheet1"}</definedName>
    <definedName name="wrn.ssr05." localSheetId="2" hidden="1">{#N/A,#N/A,FALSE,"SUP";#N/A,#N/A,FALSE,"DAP";#N/A,#N/A,FALSE,"FIFO";#N/A,#N/A,FALSE,"FTA";#N/A,#N/A,FALSE,"SSR ROLLUP"}</definedName>
    <definedName name="wrn.ssr05." hidden="1">{#N/A,#N/A,FALSE,"SUP";#N/A,#N/A,FALSE,"DAP";#N/A,#N/A,FALSE,"FIFO";#N/A,#N/A,FALSE,"FTA";#N/A,#N/A,FALSE,"SSR ROLLUP"}</definedName>
    <definedName name="wrn.ssr051." localSheetId="2" hidden="1">{#N/A,#N/A,FALSE,"SUP";#N/A,#N/A,FALSE,"DAP";#N/A,#N/A,FALSE,"FIFO";#N/A,#N/A,FALSE,"FTA";#N/A,#N/A,FALSE,"SSR ROLLUP"}</definedName>
    <definedName name="wrn.ssr051." hidden="1">{#N/A,#N/A,FALSE,"SUP";#N/A,#N/A,FALSE,"DAP";#N/A,#N/A,FALSE,"FIFO";#N/A,#N/A,FALSE,"FTA";#N/A,#N/A,FALSE,"SSR ROLLUP"}</definedName>
    <definedName name="wrn.ssr05b." localSheetId="2" hidden="1">{#N/A,#N/A,FALSE,"SUP";#N/A,#N/A,FALSE,"DAP";#N/A,#N/A,FALSE,"FIFO";#N/A,#N/A,FALSE,"FTA";#N/A,#N/A,FALSE,"SSR ROLLUP"}</definedName>
    <definedName name="wrn.ssr05b." hidden="1">{#N/A,#N/A,FALSE,"SUP";#N/A,#N/A,FALSE,"DAP";#N/A,#N/A,FALSE,"FIFO";#N/A,#N/A,FALSE,"FTA";#N/A,#N/A,FALSE,"SSR ROLLUP"}</definedName>
    <definedName name="wrn.ssr06" localSheetId="2" hidden="1">{#N/A,#N/A,FALSE,"SUP";#N/A,#N/A,FALSE,"DAP";#N/A,#N/A,FALSE,"FIFO";#N/A,#N/A,FALSE,"FTA";#N/A,#N/A,FALSE,"SSR ROLLUP"}</definedName>
    <definedName name="wrn.ssr06" hidden="1">{#N/A,#N/A,FALSE,"SUP";#N/A,#N/A,FALSE,"DAP";#N/A,#N/A,FALSE,"FIFO";#N/A,#N/A,FALSE,"FTA";#N/A,#N/A,FALSE,"SSR ROLLUP"}</definedName>
    <definedName name="wrn.ssr06a" localSheetId="2" hidden="1">{#N/A,#N/A,FALSE,"SUP";#N/A,#N/A,FALSE,"DAP";#N/A,#N/A,FALSE,"FIFO";#N/A,#N/A,FALSE,"FTA";#N/A,#N/A,FALSE,"SSR ROLLUP"}</definedName>
    <definedName name="wrn.ssr06a" hidden="1">{#N/A,#N/A,FALSE,"SUP";#N/A,#N/A,FALSE,"DAP";#N/A,#N/A,FALSE,"FIFO";#N/A,#N/A,FALSE,"FTA";#N/A,#N/A,FALSE,"SSR ROLLUP"}</definedName>
    <definedName name="wrn.Staffing." localSheetId="2" hidden="1">{#N/A,#N/A,FALSE,"Assessment";#N/A,#N/A,FALSE,"Staffing";#N/A,#N/A,FALSE,"Hires";#N/A,#N/A,FALSE,"Assumptions"}</definedName>
    <definedName name="wrn.Staffing." localSheetId="1" hidden="1">{#N/A,#N/A,FALSE,"Assessment";#N/A,#N/A,FALSE,"Staffing";#N/A,#N/A,FALSE,"Hires";#N/A,#N/A,FALSE,"Assumptions"}</definedName>
    <definedName name="wrn.Staffing." hidden="1">{#N/A,#N/A,FALSE,"Assessment";#N/A,#N/A,FALSE,"Staffing";#N/A,#N/A,FALSE,"Hires";#N/A,#N/A,FALSE,"Assumptions"}</definedName>
    <definedName name="wrn.Staffing._.Inputs." localSheetId="2" hidden="1">{#N/A,#N/A,FALSE,"Overall Staffing Review";#N/A,#N/A,FALSE,"Detailed Resource Mix Review";#N/A,#N/A,FALSE,"Detailed Pyramid Review";#N/A,#N/A,FALSE,"Hours By Activity";#N/A,#N/A,FALSE,"Hours By Custom Resource"}</definedName>
    <definedName name="wrn.Staffing._.Inputs." localSheetId="1"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1" localSheetId="2" hidden="1">{#N/A,#N/A,FALSE,"Assessment";#N/A,#N/A,FALSE,"Staffing";#N/A,#N/A,FALSE,"Hires";#N/A,#N/A,FALSE,"Assumptions"}</definedName>
    <definedName name="wrn.Staffing1" localSheetId="1" hidden="1">{#N/A,#N/A,FALSE,"Assessment";#N/A,#N/A,FALSE,"Staffing";#N/A,#N/A,FALSE,"Hires";#N/A,#N/A,FALSE,"Assumptions"}</definedName>
    <definedName name="wrn.Staffing1" hidden="1">{#N/A,#N/A,FALSE,"Assessment";#N/A,#N/A,FALSE,"Staffing";#N/A,#N/A,FALSE,"Hires";#N/A,#N/A,FALSE,"Assumptions"}</definedName>
    <definedName name="wrn.Supplemental._.Information." localSheetId="2" hidden="1">{#N/A,#N/A,FALSE,"Assumptions";#N/A,#N/A,FALSE,"DNP Expense Summary";#N/A,#N/A,FALSE,"Sensitivity Analysis"}</definedName>
    <definedName name="wrn.Supplemental._.Information." localSheetId="1" hidden="1">{#N/A,#N/A,FALSE,"Assumptions";#N/A,#N/A,FALSE,"DNP Expense Summary";#N/A,#N/A,FALSE,"Sensitivity Analysis"}</definedName>
    <definedName name="wrn.Supplemental._.Information." hidden="1">{#N/A,#N/A,FALSE,"Assumptions";#N/A,#N/A,FALSE,"DNP Expense Summary";#N/A,#N/A,FALSE,"Sensitivity Analysis"}</definedName>
    <definedName name="wrn.Task._.Order._.Status." localSheetId="2" hidden="1">{"Text View",#N/A,FALSE,"Task Order Status"}</definedName>
    <definedName name="wrn.Task._.Order._.Status." hidden="1">{"Text View",#N/A,FALSE,"Task Order Status"}</definedName>
    <definedName name="wrn.TOP._.LEVEL." localSheetId="2" hidden="1">{"GFY SUMMARY","ATT. A",FALSE,"TOTALS";"GFY 95","GFY 95",FALSE,"TOTALS";"GFY 96","GFY 96",FALSE,"TOTALS";"GFY 97","GFY 97",FALSE,"TOTALS"}</definedName>
    <definedName name="wrn.TOP._.LEVEL." localSheetId="1" hidden="1">{"GFY SUMMARY","ATT. A",FALSE,"TOTALS";"GFY 95","GFY 95",FALSE,"TOTALS";"GFY 96","GFY 96",FALSE,"TOTALS";"GFY 97","GFY 97",FALSE,"TOTALS"}</definedName>
    <definedName name="wrn.TOP._.LEVEL." hidden="1">{"GFY SUMMARY","ATT. A",FALSE,"TOTALS";"GFY 95","GFY 95",FALSE,"TOTALS";"GFY 96","GFY 96",FALSE,"TOTALS";"GFY 97","GFY 97",FALSE,"TOTALS"}</definedName>
    <definedName name="wrn.wbs._.summary." localSheetId="2" hidden="1">{"BASE",#N/A,FALSE,"WBS SUMMARY";"OPTION",#N/A,FALSE,"WBS SUMMARY"}</definedName>
    <definedName name="wrn.wbs._.summary." localSheetId="1" hidden="1">{"BASE",#N/A,FALSE,"WBS SUMMARY";"OPTION",#N/A,FALSE,"WBS SUMMARY"}</definedName>
    <definedName name="wrn.wbs._.summary." hidden="1">{"BASE",#N/A,FALSE,"WBS SUMMARY";"OPTION",#N/A,FALSE,"WBS SUMMARY"}</definedName>
    <definedName name="wrn.ZONI." localSheetId="2" hidden="1">{"ZONI",#N/A,FALSE,"8401detail"}</definedName>
    <definedName name="wrn.ZONI." hidden="1">{"ZONI",#N/A,FALSE,"8401detail"}</definedName>
    <definedName name="wrn.zonib" localSheetId="2" hidden="1">{"ZONI",#N/A,FALSE,"8401detail"}</definedName>
    <definedName name="wrn.zonib" hidden="1">{"ZONI",#N/A,FALSE,"8401detail"}</definedName>
    <definedName name="wrn1.price." localSheetId="2" hidden="1">{"PAGE1",#N/A,FALSE,"CPFFMSTR";"PAGE2",#N/A,FALSE,"CPFFMSTR"}</definedName>
    <definedName name="wrn1.price." hidden="1">{"PAGE1",#N/A,FALSE,"CPFFMSTR";"PAGE2",#N/A,FALSE,"CPFFMSTR"}</definedName>
    <definedName name="wwww" localSheetId="2" hidden="1">{"'Vietnam'!$E$21:$W$45","'Vietnam'!$E$21:$W$45"}</definedName>
    <definedName name="wwww" localSheetId="1" hidden="1">{"'Vietnam'!$E$21:$W$45","'Vietnam'!$E$21:$W$45"}</definedName>
    <definedName name="wwww" hidden="1">{"'Vietnam'!$E$21:$W$45","'Vietnam'!$E$21:$W$45"}</definedName>
    <definedName name="x" localSheetId="2" hidden="1">{"outside reptg",#N/A,FALSE,"ovhd summary"}</definedName>
    <definedName name="x" hidden="1">{"outside reptg",#N/A,FALSE,"ovhd summary"}</definedName>
    <definedName name="XFDTGH" localSheetId="2" hidden="1">{"PAGE1",#N/A,FALSE,"CPFFMSTR";"PAGE2",#N/A,FALSE,"CPFFMSTR"}</definedName>
    <definedName name="XFDTGH" hidden="1">{"PAGE1",#N/A,FALSE,"CPFFMSTR";"PAGE2",#N/A,FALSE,"CPFFMSTR"}</definedName>
    <definedName name="XGH" localSheetId="2" hidden="1">{"PAGE1",#N/A,FALSE,"CPFFMSTR";"PAGE2",#N/A,FALSE,"CPFFMSTR"}</definedName>
    <definedName name="XGH" hidden="1">{"PAGE1",#N/A,FALSE,"CPFFMSTR";"PAGE2",#N/A,FALSE,"CPFFMSTR"}</definedName>
    <definedName name="XGHXF" localSheetId="2" hidden="1">{"PAGE1",#N/A,FALSE,"CPFFMSTR";"PAGE2",#N/A,FALSE,"CPFFMSTR"}</definedName>
    <definedName name="XGHXF" hidden="1">{"PAGE1",#N/A,FALSE,"CPFFMSTR";"PAGE2",#N/A,FALSE,"CPFFMSTR"}</definedName>
    <definedName name="xvcb" localSheetId="2" hidden="1">{"PAGE1",#N/A,FALSE,"CPFFMSTR";"PAGE2",#N/A,FALSE,"CPFFMSTR"}</definedName>
    <definedName name="xvcb" hidden="1">{"PAGE1",#N/A,FALSE,"CPFFMSTR";"PAGE2",#N/A,FALSE,"CPFFMSTR"}</definedName>
    <definedName name="XX" localSheetId="2" hidden="1">{"Page 2",#N/A,FALSE,"2000";"Page 1",#N/A,FALSE,"2000"}</definedName>
    <definedName name="XX" localSheetId="1" hidden="1">{"Page 2",#N/A,FALSE,"2000";"Page 1",#N/A,FALSE,"2000"}</definedName>
    <definedName name="XX" hidden="1">{"Page 2",#N/A,FALSE,"2000";"Page 1",#N/A,FALSE,"2000"}</definedName>
    <definedName name="xxx" localSheetId="2" hidden="1">{"Page 2",#N/A,FALSE,"2000";"Page 1",#N/A,FALSE,"2000"}</definedName>
    <definedName name="xxx" localSheetId="1" hidden="1">{"Page 2",#N/A,FALSE,"2000";"Page 1",#N/A,FALSE,"2000"}</definedName>
    <definedName name="xxx" hidden="1">{"Page 2",#N/A,FALSE,"2000";"Page 1",#N/A,FALSE,"2000"}</definedName>
    <definedName name="xxx1" localSheetId="2" hidden="1">{"ACC_Cars_400K_PA",#N/A,FALSE,"ACC Cars Co1 400K";"ACC_Cars_400K_Prop",#N/A,FALSE,"ACC Cars Co1 400K"}</definedName>
    <definedName name="xxx1" hidden="1">{"ACC_Cars_400K_PA",#N/A,FALSE,"ACC Cars Co1 400K";"ACC_Cars_400K_Prop",#N/A,FALSE,"ACC Cars Co1 400K"}</definedName>
    <definedName name="xxxx" localSheetId="2" hidden="1">{"'Vietnam'!$E$21:$W$45","'Vietnam'!$E$21:$W$45"}</definedName>
    <definedName name="xxxx" localSheetId="1" hidden="1">{"'Vietnam'!$E$21:$W$45","'Vietnam'!$E$21:$W$45"}</definedName>
    <definedName name="xxxx" hidden="1">{"'Vietnam'!$E$21:$W$45","'Vietnam'!$E$21:$W$45"}</definedName>
    <definedName name="yes" localSheetId="2" hidden="1">{#N/A,#N/A,FALSE,"ManLoading"}</definedName>
    <definedName name="yes" hidden="1">{#N/A,#N/A,FALSE,"ManLoading"}</definedName>
    <definedName name="yyyy" localSheetId="2" hidden="1">{"'Vietnam'!$E$21:$W$45","'Vietnam'!$E$21:$W$45"}</definedName>
    <definedName name="yyyy" localSheetId="1" hidden="1">{"'Vietnam'!$E$21:$W$45","'Vietnam'!$E$21:$W$45"}</definedName>
    <definedName name="yyyy" hidden="1">{"'Vietnam'!$E$21:$W$45","'Vietnam'!$E$21:$W$45"}</definedName>
    <definedName name="ZDFR" localSheetId="2" hidden="1">{"PAGE1",#N/A,FALSE,"CPFFMSTR";"PAGE2",#N/A,FALSE,"CPFFMSTR"}</definedName>
    <definedName name="ZDFR" hidden="1">{"PAGE1",#N/A,FALSE,"CPFFMSTR";"PAGE2",#N/A,FALSE,"CPFFMSTR"}</definedName>
    <definedName name="zzzz" localSheetId="2" hidden="1">{"'Vietnam'!$E$21:$W$45","'Vietnam'!$E$21:$W$45"}</definedName>
    <definedName name="zzzz" localSheetId="1" hidden="1">{"'Vietnam'!$E$21:$W$45","'Vietnam'!$E$21:$W$45"}</definedName>
    <definedName name="zzzz" hidden="1">{"'Vietnam'!$E$21:$W$45","'Vietnam'!$E$21:$W$45"}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0" i="10" l="1"/>
  <c r="Q58" i="10"/>
  <c r="Q56" i="10"/>
  <c r="Q54" i="10"/>
  <c r="Q52" i="10"/>
  <c r="Q50" i="10"/>
  <c r="Q48" i="10"/>
  <c r="Q46" i="10"/>
  <c r="Q44" i="10"/>
  <c r="Q42" i="10"/>
  <c r="Q40" i="10"/>
  <c r="Q38" i="10"/>
  <c r="Q36" i="10"/>
  <c r="Q34" i="10"/>
  <c r="Q32" i="10"/>
  <c r="Q30" i="10"/>
  <c r="Q28" i="10"/>
  <c r="Q26" i="10"/>
  <c r="Q24" i="10"/>
  <c r="Q22" i="10"/>
  <c r="Q20" i="10"/>
  <c r="Q18" i="10"/>
  <c r="Q16" i="10"/>
  <c r="Q14" i="10"/>
  <c r="Q12" i="10"/>
  <c r="Q10" i="10"/>
  <c r="Q8" i="10"/>
  <c r="Q6" i="10"/>
  <c r="Q4" i="10"/>
  <c r="Q59" i="10"/>
  <c r="Q57" i="10"/>
  <c r="Q55" i="10"/>
  <c r="Q53" i="10"/>
  <c r="Q51" i="10"/>
  <c r="Q49" i="10"/>
  <c r="Q47" i="10"/>
  <c r="Q45" i="10"/>
  <c r="Q43" i="10"/>
  <c r="Q41" i="10"/>
  <c r="Q39" i="10"/>
  <c r="Q37" i="10"/>
  <c r="Q33" i="10"/>
  <c r="Q31" i="10"/>
  <c r="Q29" i="10"/>
  <c r="Q27" i="10"/>
  <c r="Q25" i="10"/>
  <c r="Q23" i="10"/>
  <c r="Q21" i="10"/>
  <c r="Q19" i="10"/>
  <c r="Q17" i="10"/>
  <c r="Q15" i="10"/>
  <c r="Q13" i="10"/>
  <c r="Q11" i="10"/>
  <c r="Q9" i="10"/>
  <c r="Q7" i="10"/>
  <c r="Q5" i="10"/>
  <c r="O60" i="10"/>
  <c r="O58" i="10"/>
  <c r="O56" i="10"/>
  <c r="O54" i="10"/>
  <c r="O52" i="10"/>
  <c r="O50" i="10"/>
  <c r="O48" i="10"/>
  <c r="O46" i="10"/>
  <c r="O44" i="10"/>
  <c r="O42" i="10"/>
  <c r="O40" i="10"/>
  <c r="O38" i="10"/>
  <c r="O36" i="10"/>
  <c r="O34" i="10"/>
  <c r="O32" i="10"/>
  <c r="O30" i="10"/>
  <c r="O28" i="10"/>
  <c r="O26" i="10"/>
  <c r="O24" i="10"/>
  <c r="O22" i="10"/>
  <c r="O20" i="10"/>
  <c r="O18" i="10"/>
  <c r="O16" i="10"/>
  <c r="O14" i="10"/>
  <c r="O12" i="10"/>
  <c r="O10" i="10"/>
  <c r="O8" i="10"/>
  <c r="O6" i="10"/>
  <c r="O4" i="10"/>
  <c r="O59" i="10"/>
  <c r="O57" i="10"/>
  <c r="O55" i="10"/>
  <c r="O53" i="10"/>
  <c r="O51" i="10"/>
  <c r="O49" i="10"/>
  <c r="O47" i="10"/>
  <c r="O45" i="10"/>
  <c r="O43" i="10"/>
  <c r="O41" i="10"/>
  <c r="O39" i="10"/>
  <c r="O37" i="10"/>
  <c r="O33" i="10"/>
  <c r="O31" i="10"/>
  <c r="O29" i="10"/>
  <c r="O27" i="10"/>
  <c r="O25" i="10"/>
  <c r="O23" i="10"/>
  <c r="O21" i="10"/>
  <c r="O19" i="10"/>
  <c r="O17" i="10"/>
  <c r="O15" i="10"/>
  <c r="O13" i="10"/>
  <c r="O11" i="10"/>
  <c r="O9" i="10"/>
  <c r="O7" i="10"/>
  <c r="O5" i="10"/>
  <c r="M60" i="10"/>
  <c r="M58" i="10"/>
  <c r="M56" i="10"/>
  <c r="M54" i="10"/>
  <c r="M52" i="10"/>
  <c r="M50" i="10"/>
  <c r="M48" i="10"/>
  <c r="M46" i="10"/>
  <c r="M44" i="10"/>
  <c r="M42" i="10"/>
  <c r="M40" i="10"/>
  <c r="M38" i="10"/>
  <c r="M36" i="10"/>
  <c r="M34" i="10"/>
  <c r="M32" i="10"/>
  <c r="M30" i="10"/>
  <c r="M28" i="10"/>
  <c r="M26" i="10"/>
  <c r="M24" i="10"/>
  <c r="M22" i="10"/>
  <c r="M20" i="10"/>
  <c r="M18" i="10"/>
  <c r="M16" i="10"/>
  <c r="M14" i="10"/>
  <c r="M12" i="10"/>
  <c r="M10" i="10"/>
  <c r="M8" i="10"/>
  <c r="M6" i="10"/>
  <c r="M4" i="10"/>
  <c r="M59" i="10"/>
  <c r="M57" i="10"/>
  <c r="M55" i="10"/>
  <c r="M53" i="10"/>
  <c r="M51" i="10"/>
  <c r="M49" i="10"/>
  <c r="M47" i="10"/>
  <c r="M45" i="10"/>
  <c r="M43" i="10"/>
  <c r="M41" i="10"/>
  <c r="M39" i="10"/>
  <c r="M37" i="10"/>
  <c r="M33" i="10"/>
  <c r="M31" i="10"/>
  <c r="M29" i="10"/>
  <c r="M27" i="10"/>
  <c r="M25" i="10"/>
  <c r="M23" i="10"/>
  <c r="M21" i="10"/>
  <c r="M19" i="10"/>
  <c r="M17" i="10"/>
  <c r="M15" i="10"/>
  <c r="M13" i="10"/>
  <c r="M11" i="10"/>
  <c r="M9" i="10"/>
  <c r="M7" i="10"/>
  <c r="M5" i="10"/>
  <c r="K60" i="10"/>
  <c r="K58" i="10"/>
  <c r="K56" i="10"/>
  <c r="K54" i="10"/>
  <c r="K52" i="10"/>
  <c r="K50" i="10"/>
  <c r="K48" i="10"/>
  <c r="K46" i="10"/>
  <c r="K44" i="10"/>
  <c r="K42" i="10"/>
  <c r="K40" i="10"/>
  <c r="K38" i="10"/>
  <c r="K36" i="10"/>
  <c r="K34" i="10"/>
  <c r="K32" i="10"/>
  <c r="K30" i="10"/>
  <c r="K28" i="10"/>
  <c r="K26" i="10"/>
  <c r="K24" i="10"/>
  <c r="K22" i="10"/>
  <c r="K20" i="10"/>
  <c r="K18" i="10"/>
  <c r="K16" i="10"/>
  <c r="K14" i="10"/>
  <c r="K12" i="10"/>
  <c r="K10" i="10"/>
  <c r="K8" i="10"/>
  <c r="K6" i="10"/>
  <c r="K4" i="10"/>
  <c r="K59" i="10"/>
  <c r="K57" i="10"/>
  <c r="K55" i="10"/>
  <c r="K53" i="10"/>
  <c r="K51" i="10"/>
  <c r="K49" i="10"/>
  <c r="K47" i="10"/>
  <c r="K45" i="10"/>
  <c r="K43" i="10"/>
  <c r="K41" i="10"/>
  <c r="K39" i="10"/>
  <c r="K37" i="10"/>
  <c r="K33" i="10"/>
  <c r="K31" i="10"/>
  <c r="K29" i="10"/>
  <c r="K27" i="10"/>
  <c r="K25" i="10"/>
  <c r="K23" i="10"/>
  <c r="K21" i="10"/>
  <c r="K19" i="10"/>
  <c r="K17" i="10"/>
  <c r="K15" i="10"/>
  <c r="K13" i="10"/>
  <c r="K11" i="10"/>
  <c r="K9" i="10"/>
  <c r="K7" i="10"/>
  <c r="K5" i="10"/>
  <c r="Q35" i="10"/>
  <c r="O35" i="10"/>
  <c r="M35" i="10"/>
  <c r="K35" i="10"/>
  <c r="I35" i="10"/>
  <c r="I37" i="10"/>
  <c r="I60" i="10"/>
  <c r="I58" i="10"/>
  <c r="I56" i="10"/>
  <c r="I54" i="10"/>
  <c r="I52" i="10"/>
  <c r="I50" i="10"/>
  <c r="I48" i="10"/>
  <c r="I46" i="10"/>
  <c r="I44" i="10"/>
  <c r="I42" i="10"/>
  <c r="I40" i="10"/>
  <c r="I38" i="10"/>
  <c r="I36" i="10"/>
  <c r="I8" i="10"/>
  <c r="I34" i="10"/>
  <c r="I32" i="10"/>
  <c r="I30" i="10"/>
  <c r="I28" i="10"/>
  <c r="I26" i="10"/>
  <c r="I24" i="10"/>
  <c r="I22" i="10"/>
  <c r="I20" i="10"/>
  <c r="I18" i="10"/>
  <c r="I16" i="10"/>
  <c r="I14" i="10"/>
  <c r="I12" i="10"/>
  <c r="I10" i="10"/>
  <c r="I6" i="10"/>
  <c r="I4" i="10"/>
  <c r="I59" i="10"/>
  <c r="I57" i="10"/>
  <c r="I55" i="10"/>
  <c r="I53" i="10"/>
  <c r="I51" i="10"/>
  <c r="I49" i="10"/>
  <c r="I47" i="10"/>
  <c r="I45" i="10"/>
  <c r="I43" i="10"/>
  <c r="I41" i="10"/>
  <c r="I39" i="10"/>
  <c r="G36" i="10"/>
  <c r="R36" i="10"/>
  <c r="V36" i="10"/>
  <c r="I27" i="10"/>
  <c r="I33" i="10"/>
  <c r="I31" i="10"/>
  <c r="I29" i="10"/>
  <c r="I25" i="10"/>
  <c r="I23" i="10"/>
  <c r="I21" i="10"/>
  <c r="I19" i="10"/>
  <c r="I17" i="10"/>
  <c r="I15" i="10"/>
  <c r="I13" i="10"/>
  <c r="I11" i="10"/>
  <c r="I9" i="10"/>
  <c r="I7" i="10"/>
  <c r="I5" i="10"/>
  <c r="S36" i="10" l="1"/>
  <c r="T36" i="10" s="1"/>
  <c r="G35" i="10"/>
  <c r="G33" i="10"/>
  <c r="G60" i="10"/>
  <c r="G58" i="10"/>
  <c r="G56" i="10"/>
  <c r="G54" i="10"/>
  <c r="G28" i="10"/>
  <c r="G30" i="10"/>
  <c r="G32" i="10"/>
  <c r="G34" i="10"/>
  <c r="G38" i="10"/>
  <c r="G40" i="10"/>
  <c r="G42" i="10"/>
  <c r="G44" i="10"/>
  <c r="G46" i="10"/>
  <c r="G48" i="10"/>
  <c r="G50" i="10"/>
  <c r="G52" i="10"/>
  <c r="G26" i="10"/>
  <c r="G24" i="10"/>
  <c r="G22" i="10"/>
  <c r="G20" i="10"/>
  <c r="G18" i="10"/>
  <c r="G16" i="10"/>
  <c r="G14" i="10"/>
  <c r="G12" i="10"/>
  <c r="G10" i="10"/>
  <c r="G8" i="10"/>
  <c r="G4" i="10"/>
  <c r="G6" i="10"/>
  <c r="G5" i="10"/>
  <c r="G7" i="10"/>
  <c r="G9" i="10"/>
  <c r="G11" i="10"/>
  <c r="G13" i="10"/>
  <c r="G15" i="10"/>
  <c r="G17" i="10"/>
  <c r="G19" i="10"/>
  <c r="G21" i="10"/>
  <c r="G23" i="10"/>
  <c r="G25" i="10"/>
  <c r="G27" i="10"/>
  <c r="G29" i="10"/>
  <c r="G31" i="10"/>
  <c r="G37" i="10"/>
  <c r="G39" i="10"/>
  <c r="G41" i="10"/>
  <c r="G43" i="10"/>
  <c r="G45" i="10"/>
  <c r="G47" i="10"/>
  <c r="G49" i="10"/>
  <c r="G51" i="10"/>
  <c r="G53" i="10"/>
  <c r="G55" i="10"/>
  <c r="G57" i="10"/>
  <c r="G59" i="10"/>
  <c r="Q3" i="10"/>
  <c r="O3" i="10"/>
  <c r="M3" i="10"/>
  <c r="K3" i="10"/>
  <c r="I3" i="10"/>
  <c r="G3" i="10"/>
  <c r="S60" i="10" l="1"/>
  <c r="R60" i="10"/>
  <c r="V60" i="10"/>
  <c r="R58" i="10"/>
  <c r="V58" i="10"/>
  <c r="R56" i="10"/>
  <c r="V56" i="10"/>
  <c r="R54" i="10"/>
  <c r="V54" i="10"/>
  <c r="R52" i="10"/>
  <c r="V52" i="10"/>
  <c r="R50" i="10"/>
  <c r="V50" i="10"/>
  <c r="R48" i="10"/>
  <c r="V48" i="10"/>
  <c r="R46" i="10"/>
  <c r="V46" i="10"/>
  <c r="R44" i="10"/>
  <c r="V44" i="10"/>
  <c r="R42" i="10"/>
  <c r="V42" i="10"/>
  <c r="R40" i="10"/>
  <c r="V40" i="10"/>
  <c r="R38" i="10"/>
  <c r="V38" i="10"/>
  <c r="R34" i="10"/>
  <c r="V34" i="10"/>
  <c r="R32" i="10"/>
  <c r="V32" i="10"/>
  <c r="R30" i="10"/>
  <c r="V30" i="10"/>
  <c r="R28" i="10"/>
  <c r="V28" i="10"/>
  <c r="R26" i="10"/>
  <c r="V26" i="10"/>
  <c r="R24" i="10"/>
  <c r="V24" i="10"/>
  <c r="R22" i="10"/>
  <c r="V22" i="10"/>
  <c r="R20" i="10"/>
  <c r="V20" i="10"/>
  <c r="R18" i="10"/>
  <c r="V18" i="10"/>
  <c r="R16" i="10"/>
  <c r="V16" i="10"/>
  <c r="R14" i="10"/>
  <c r="V14" i="10"/>
  <c r="R12" i="10"/>
  <c r="V12" i="10"/>
  <c r="R10" i="10"/>
  <c r="V10" i="10"/>
  <c r="R8" i="10"/>
  <c r="V8" i="10"/>
  <c r="R6" i="10"/>
  <c r="V6" i="10"/>
  <c r="R4" i="10"/>
  <c r="V4" i="10"/>
  <c r="T60" i="10" l="1"/>
  <c r="S58" i="10"/>
  <c r="T58" i="10" s="1"/>
  <c r="S56" i="10"/>
  <c r="T56" i="10" s="1"/>
  <c r="S54" i="10"/>
  <c r="T54" i="10" s="1"/>
  <c r="S52" i="10"/>
  <c r="T52" i="10" s="1"/>
  <c r="S48" i="10"/>
  <c r="T48" i="10" s="1"/>
  <c r="S50" i="10"/>
  <c r="T50" i="10" s="1"/>
  <c r="S46" i="10"/>
  <c r="T46" i="10" s="1"/>
  <c r="S44" i="10"/>
  <c r="T44" i="10" s="1"/>
  <c r="S42" i="10"/>
  <c r="T42" i="10" s="1"/>
  <c r="S40" i="10"/>
  <c r="T40" i="10" s="1"/>
  <c r="S38" i="10"/>
  <c r="T38" i="10" s="1"/>
  <c r="S34" i="10"/>
  <c r="T34" i="10" s="1"/>
  <c r="S32" i="10"/>
  <c r="T32" i="10" s="1"/>
  <c r="S28" i="10"/>
  <c r="T28" i="10" s="1"/>
  <c r="S30" i="10"/>
  <c r="T30" i="10" s="1"/>
  <c r="S26" i="10"/>
  <c r="T26" i="10" s="1"/>
  <c r="S22" i="10"/>
  <c r="T22" i="10" s="1"/>
  <c r="S24" i="10"/>
  <c r="T24" i="10" s="1"/>
  <c r="S18" i="10"/>
  <c r="T18" i="10" s="1"/>
  <c r="S20" i="10"/>
  <c r="T20" i="10" s="1"/>
  <c r="S14" i="10"/>
  <c r="T14" i="10" s="1"/>
  <c r="S16" i="10"/>
  <c r="T16" i="10" s="1"/>
  <c r="S12" i="10"/>
  <c r="T12" i="10" s="1"/>
  <c r="S10" i="10"/>
  <c r="T10" i="10" s="1"/>
  <c r="S6" i="10"/>
  <c r="T6" i="10" s="1"/>
  <c r="S8" i="10"/>
  <c r="T8" i="10" s="1"/>
  <c r="S4" i="10"/>
  <c r="T4" i="10" s="1"/>
  <c r="V62" i="10" l="1"/>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3" i="10"/>
  <c r="V304" i="10"/>
  <c r="V305" i="10"/>
  <c r="V306" i="10"/>
  <c r="V307" i="10"/>
  <c r="V308" i="10"/>
  <c r="V309" i="10"/>
  <c r="V310" i="10"/>
  <c r="V311" i="10"/>
  <c r="V312" i="10"/>
  <c r="V313" i="10"/>
  <c r="V314" i="10"/>
  <c r="V315" i="10"/>
  <c r="V316" i="10"/>
  <c r="V317" i="10"/>
  <c r="V318" i="10"/>
  <c r="V319" i="10"/>
  <c r="V320" i="10"/>
  <c r="V321" i="10"/>
  <c r="V322" i="10"/>
  <c r="V323" i="10"/>
  <c r="V324" i="10"/>
  <c r="V325" i="10"/>
  <c r="V326" i="10"/>
  <c r="V327" i="10"/>
  <c r="V328" i="10"/>
  <c r="V329" i="10"/>
  <c r="V330" i="10"/>
  <c r="V331" i="10"/>
  <c r="V332" i="10"/>
  <c r="V333" i="10"/>
  <c r="V334" i="10"/>
  <c r="V335" i="10"/>
  <c r="V336" i="10"/>
  <c r="V337" i="10"/>
  <c r="V338" i="10"/>
  <c r="V339" i="10"/>
  <c r="V340" i="10"/>
  <c r="V341" i="10"/>
  <c r="V342" i="10"/>
  <c r="V343" i="10"/>
  <c r="V344" i="10"/>
  <c r="V345" i="10"/>
  <c r="V346" i="10"/>
  <c r="V347" i="10"/>
  <c r="V348" i="10"/>
  <c r="V349" i="10"/>
  <c r="V350" i="10"/>
  <c r="V351" i="10"/>
  <c r="V352" i="10"/>
  <c r="V353" i="10"/>
  <c r="V354" i="10"/>
  <c r="V355" i="10"/>
  <c r="V356" i="10"/>
  <c r="V357" i="10"/>
  <c r="V358" i="10"/>
  <c r="V359" i="10"/>
  <c r="V360" i="10"/>
  <c r="V361" i="10"/>
  <c r="V362" i="10"/>
  <c r="V363" i="10"/>
  <c r="V364" i="10"/>
  <c r="V365" i="10"/>
  <c r="V366" i="10"/>
  <c r="V367" i="10"/>
  <c r="V368" i="10"/>
  <c r="V369" i="10"/>
  <c r="V370" i="10"/>
  <c r="V371" i="10"/>
  <c r="V372" i="10"/>
  <c r="V373" i="10"/>
  <c r="V374" i="10"/>
  <c r="V375" i="10"/>
  <c r="V376" i="10"/>
  <c r="V377" i="10"/>
  <c r="V378" i="10"/>
  <c r="V379" i="10"/>
  <c r="V380" i="10"/>
  <c r="V381" i="10"/>
  <c r="V382" i="10"/>
  <c r="V383" i="10"/>
  <c r="V384" i="10"/>
  <c r="V385" i="10"/>
  <c r="V386" i="10"/>
  <c r="V387" i="10"/>
  <c r="V388" i="10"/>
  <c r="V389" i="10"/>
  <c r="V390" i="10"/>
  <c r="V391" i="10"/>
  <c r="V392" i="10"/>
  <c r="V393" i="10"/>
  <c r="V394" i="10"/>
  <c r="V395" i="10"/>
  <c r="V396" i="10"/>
  <c r="V397" i="10"/>
  <c r="V398" i="10"/>
  <c r="V399" i="10"/>
  <c r="V400" i="10"/>
  <c r="V401" i="10"/>
  <c r="V402" i="10"/>
  <c r="V403" i="10"/>
  <c r="V404" i="10"/>
  <c r="V405" i="10"/>
  <c r="V406" i="10"/>
  <c r="V407" i="10"/>
  <c r="V408" i="10"/>
  <c r="V409" i="10"/>
  <c r="V410" i="10"/>
  <c r="V411" i="10"/>
  <c r="V412" i="10"/>
  <c r="V413" i="10"/>
  <c r="V414" i="10"/>
  <c r="V415" i="10"/>
  <c r="V416" i="10"/>
  <c r="V417" i="10"/>
  <c r="V418" i="10"/>
  <c r="V419" i="10"/>
  <c r="V420" i="10"/>
  <c r="V421" i="10"/>
  <c r="V422" i="10"/>
  <c r="V423" i="10"/>
  <c r="V424" i="10"/>
  <c r="V425" i="10"/>
  <c r="V426" i="10"/>
  <c r="V427" i="10"/>
  <c r="V428" i="10"/>
  <c r="V429" i="10"/>
  <c r="V430" i="10"/>
  <c r="V431" i="10"/>
  <c r="V432" i="10"/>
  <c r="V433" i="10"/>
  <c r="V434" i="10"/>
  <c r="V435" i="10"/>
  <c r="V436" i="10"/>
  <c r="V437" i="10"/>
  <c r="V438" i="10"/>
  <c r="V439" i="10"/>
  <c r="V440" i="10"/>
  <c r="V441" i="10"/>
  <c r="V442" i="10"/>
  <c r="V443" i="10"/>
  <c r="V444" i="10"/>
  <c r="V445" i="10"/>
  <c r="V446" i="10"/>
  <c r="V447" i="10"/>
  <c r="V448" i="10"/>
  <c r="V449" i="10"/>
  <c r="V450" i="10"/>
  <c r="V451" i="10"/>
  <c r="V452" i="10"/>
  <c r="V453" i="10"/>
  <c r="V454" i="10"/>
  <c r="V455" i="10"/>
  <c r="V456" i="10"/>
  <c r="V457" i="10"/>
  <c r="V458" i="10"/>
  <c r="V459" i="10"/>
  <c r="V460" i="10"/>
  <c r="V461" i="10"/>
  <c r="V462" i="10"/>
  <c r="V463" i="10"/>
  <c r="V464" i="10"/>
  <c r="V465" i="10"/>
  <c r="V466" i="10"/>
  <c r="V467" i="10"/>
  <c r="V468" i="10"/>
  <c r="V469" i="10"/>
  <c r="V470" i="10"/>
  <c r="V471" i="10"/>
  <c r="V472" i="10"/>
  <c r="V473" i="10"/>
  <c r="V474" i="10"/>
  <c r="V475" i="10"/>
  <c r="V476" i="10"/>
  <c r="V477" i="10"/>
  <c r="V478" i="10"/>
  <c r="V479" i="10"/>
  <c r="V480" i="10"/>
  <c r="V481" i="10"/>
  <c r="V482" i="10"/>
  <c r="V483" i="10"/>
  <c r="V484" i="10"/>
  <c r="V485" i="10"/>
  <c r="V486" i="10"/>
  <c r="V487" i="10"/>
  <c r="V488" i="10"/>
  <c r="V489" i="10"/>
  <c r="V490" i="10"/>
  <c r="V491" i="10"/>
  <c r="V492" i="10"/>
  <c r="V493" i="10"/>
  <c r="V494" i="10"/>
  <c r="V495" i="10"/>
  <c r="V496" i="10"/>
  <c r="V497" i="10"/>
  <c r="V498" i="10"/>
  <c r="V499" i="10"/>
  <c r="V500" i="10"/>
  <c r="V501" i="10"/>
  <c r="V502" i="10"/>
  <c r="V503" i="10"/>
  <c r="V504" i="10"/>
  <c r="V505" i="10"/>
  <c r="V506" i="10"/>
  <c r="V507" i="10"/>
  <c r="V508" i="10"/>
  <c r="V509" i="10"/>
  <c r="V510" i="10"/>
  <c r="V511" i="10"/>
  <c r="V512" i="10"/>
  <c r="V513" i="10"/>
  <c r="V514" i="10"/>
  <c r="V515" i="10"/>
  <c r="V516" i="10"/>
  <c r="V517" i="10"/>
  <c r="V518" i="10"/>
  <c r="V519" i="10"/>
  <c r="V520" i="10"/>
  <c r="V521" i="10"/>
  <c r="V522" i="10"/>
  <c r="V523" i="10"/>
  <c r="V524" i="10"/>
  <c r="V525" i="10"/>
  <c r="V526" i="10"/>
  <c r="V527" i="10"/>
  <c r="V528" i="10"/>
  <c r="V529" i="10"/>
  <c r="V530" i="10"/>
  <c r="V531" i="10"/>
  <c r="V532" i="10"/>
  <c r="V533" i="10"/>
  <c r="V534" i="10"/>
  <c r="V535" i="10"/>
  <c r="V536" i="10"/>
  <c r="V537" i="10"/>
  <c r="V538" i="10"/>
  <c r="V539" i="10"/>
  <c r="V540" i="10"/>
  <c r="V541" i="10"/>
  <c r="V542" i="10"/>
  <c r="V543" i="10"/>
  <c r="V544" i="10"/>
  <c r="V545" i="10"/>
  <c r="V546" i="10"/>
  <c r="V547" i="10"/>
  <c r="V548" i="10"/>
  <c r="V549" i="10"/>
  <c r="V550" i="10"/>
  <c r="V551" i="10"/>
  <c r="V552" i="10"/>
  <c r="V553" i="10"/>
  <c r="V554" i="10"/>
  <c r="V555" i="10"/>
  <c r="V556" i="10"/>
  <c r="V557" i="10"/>
  <c r="V558" i="10"/>
  <c r="V559" i="10"/>
  <c r="V560" i="10"/>
  <c r="V561" i="10"/>
  <c r="V562" i="10"/>
  <c r="V563" i="10"/>
  <c r="V564" i="10"/>
  <c r="V565" i="10"/>
  <c r="V566" i="10"/>
  <c r="V567" i="10"/>
  <c r="V568" i="10"/>
  <c r="V569" i="10"/>
  <c r="V570" i="10"/>
  <c r="V571" i="10"/>
  <c r="V572" i="10"/>
  <c r="V573" i="10"/>
  <c r="V574" i="10"/>
  <c r="V575" i="10"/>
  <c r="V576" i="10"/>
  <c r="V577" i="10"/>
  <c r="V578" i="10"/>
  <c r="V579" i="10"/>
  <c r="V580" i="10"/>
  <c r="V581" i="10"/>
  <c r="V582" i="10"/>
  <c r="V583" i="10"/>
  <c r="V584" i="10"/>
  <c r="V585" i="10"/>
  <c r="V586" i="10"/>
  <c r="V587" i="10"/>
  <c r="V588" i="10"/>
  <c r="V589" i="10"/>
  <c r="V590" i="10"/>
  <c r="V591" i="10"/>
  <c r="V592" i="10"/>
  <c r="V593" i="10"/>
  <c r="V594" i="10"/>
  <c r="V595" i="10"/>
  <c r="V596" i="10"/>
  <c r="V597" i="10"/>
  <c r="V598" i="10"/>
  <c r="V599" i="10"/>
  <c r="V600" i="10"/>
  <c r="V601" i="10"/>
  <c r="V602" i="10"/>
  <c r="V603" i="10"/>
  <c r="V604" i="10"/>
  <c r="V605" i="10"/>
  <c r="V606" i="10"/>
  <c r="V607" i="10"/>
  <c r="V608" i="10"/>
  <c r="V609" i="10"/>
  <c r="V610" i="10"/>
  <c r="V611" i="10"/>
  <c r="V612" i="10"/>
  <c r="V613" i="10"/>
  <c r="V614" i="10"/>
  <c r="V615" i="10"/>
  <c r="V616" i="10"/>
  <c r="V617" i="10"/>
  <c r="V618" i="10"/>
  <c r="V619" i="10"/>
  <c r="V620" i="10"/>
  <c r="V621" i="10"/>
  <c r="V622" i="10"/>
  <c r="V623" i="10"/>
  <c r="V624" i="10"/>
  <c r="V625" i="10"/>
  <c r="V626" i="10"/>
  <c r="V627" i="10"/>
  <c r="V628" i="10"/>
  <c r="V629" i="10"/>
  <c r="V630" i="10"/>
  <c r="V631" i="10"/>
  <c r="V632" i="10"/>
  <c r="V633" i="10"/>
  <c r="V634" i="10"/>
  <c r="V635" i="10"/>
  <c r="V636" i="10"/>
  <c r="V637" i="10"/>
  <c r="V638" i="10"/>
  <c r="V639" i="10"/>
  <c r="V640" i="10"/>
  <c r="V641" i="10"/>
  <c r="V642" i="10"/>
  <c r="V643" i="10"/>
  <c r="V644" i="10"/>
  <c r="V645" i="10"/>
  <c r="V646" i="10"/>
  <c r="V647" i="10"/>
  <c r="V648" i="10"/>
  <c r="V649" i="10"/>
  <c r="V650" i="10"/>
  <c r="V651" i="10"/>
  <c r="V652" i="10"/>
  <c r="V653" i="10"/>
  <c r="V654" i="10"/>
  <c r="V655" i="10"/>
  <c r="V656" i="10"/>
  <c r="V657" i="10"/>
  <c r="V658" i="10"/>
  <c r="V659" i="10"/>
  <c r="V660" i="10"/>
  <c r="V661" i="10"/>
  <c r="V662" i="10"/>
  <c r="V663" i="10"/>
  <c r="V664" i="10"/>
  <c r="V665" i="10"/>
  <c r="V666" i="10"/>
  <c r="V667" i="10"/>
  <c r="V668" i="10"/>
  <c r="V669" i="10"/>
  <c r="V670" i="10"/>
  <c r="V671" i="10"/>
  <c r="V672" i="10"/>
  <c r="V673" i="10"/>
  <c r="V674" i="10"/>
  <c r="V675" i="10"/>
  <c r="V676" i="10"/>
  <c r="V677" i="10"/>
  <c r="V678" i="10"/>
  <c r="V679" i="10"/>
  <c r="V680" i="10"/>
  <c r="V681" i="10"/>
  <c r="V682" i="10"/>
  <c r="V683" i="10"/>
  <c r="V684" i="10"/>
  <c r="V685" i="10"/>
  <c r="V686" i="10"/>
  <c r="V687" i="10"/>
  <c r="V688" i="10"/>
  <c r="V689" i="10"/>
  <c r="V690" i="10"/>
  <c r="V691" i="10"/>
  <c r="V692" i="10"/>
  <c r="V693" i="10"/>
  <c r="V694" i="10"/>
  <c r="V695" i="10"/>
  <c r="V696" i="10"/>
  <c r="V697" i="10"/>
  <c r="V698" i="10"/>
  <c r="V699" i="10"/>
  <c r="V700" i="10"/>
  <c r="V701" i="10"/>
  <c r="V702" i="10"/>
  <c r="V703" i="10"/>
  <c r="V704" i="10"/>
  <c r="V705" i="10"/>
  <c r="V706" i="10"/>
  <c r="V707" i="10"/>
  <c r="V708" i="10"/>
  <c r="V709" i="10"/>
  <c r="V710" i="10"/>
  <c r="V711" i="10"/>
  <c r="V712" i="10"/>
  <c r="V713" i="10"/>
  <c r="V714" i="10"/>
  <c r="V715" i="10"/>
  <c r="V716" i="10"/>
  <c r="V717" i="10"/>
  <c r="V718" i="10"/>
  <c r="V719" i="10"/>
  <c r="V720" i="10"/>
  <c r="V721" i="10"/>
  <c r="V722" i="10"/>
  <c r="V723" i="10"/>
  <c r="V724" i="10"/>
  <c r="V725" i="10"/>
  <c r="V726" i="10"/>
  <c r="V727" i="10"/>
  <c r="V728" i="10"/>
  <c r="V729" i="10"/>
  <c r="V730" i="10"/>
  <c r="V731" i="10"/>
  <c r="V732" i="10"/>
  <c r="V733" i="10"/>
  <c r="V734" i="10"/>
  <c r="V735" i="10"/>
  <c r="V736" i="10"/>
  <c r="V737" i="10"/>
  <c r="V738" i="10"/>
  <c r="V739" i="10"/>
  <c r="V740" i="10"/>
  <c r="V741" i="10"/>
  <c r="V742" i="10"/>
  <c r="V743" i="10"/>
  <c r="V744" i="10"/>
  <c r="V745" i="10"/>
  <c r="V746" i="10"/>
  <c r="V747" i="10"/>
  <c r="V748" i="10"/>
  <c r="V749" i="10"/>
  <c r="V750" i="10"/>
  <c r="V751" i="10"/>
  <c r="V752" i="10"/>
  <c r="V753" i="10"/>
  <c r="V754" i="10"/>
  <c r="V755" i="10"/>
  <c r="V756" i="10"/>
  <c r="V757" i="10"/>
  <c r="V758" i="10"/>
  <c r="V759" i="10"/>
  <c r="V760" i="10"/>
  <c r="V761" i="10"/>
  <c r="V762" i="10"/>
  <c r="V763" i="10"/>
  <c r="V764" i="10"/>
  <c r="V765" i="10"/>
  <c r="V766" i="10"/>
  <c r="V767" i="10"/>
  <c r="V768" i="10"/>
  <c r="V769" i="10"/>
  <c r="V770" i="10"/>
  <c r="V771" i="10"/>
  <c r="V772" i="10"/>
  <c r="V773" i="10"/>
  <c r="V774" i="10"/>
  <c r="V775" i="10"/>
  <c r="V776" i="10"/>
  <c r="V777" i="10"/>
  <c r="V778" i="10"/>
  <c r="V779" i="10"/>
  <c r="V780" i="10"/>
  <c r="V781" i="10"/>
  <c r="V782" i="10"/>
  <c r="V783" i="10"/>
  <c r="V784" i="10"/>
  <c r="V785" i="10"/>
  <c r="V786" i="10"/>
  <c r="V787" i="10"/>
  <c r="V788" i="10"/>
  <c r="V789" i="10"/>
  <c r="V790" i="10"/>
  <c r="V791" i="10"/>
  <c r="V792" i="10"/>
  <c r="V793" i="10"/>
  <c r="V794" i="10"/>
  <c r="V795" i="10"/>
  <c r="V796" i="10"/>
  <c r="V797" i="10"/>
  <c r="V798" i="10"/>
  <c r="V799" i="10"/>
  <c r="V800" i="10"/>
  <c r="V801" i="10"/>
  <c r="V802" i="10"/>
  <c r="V803" i="10"/>
  <c r="V804" i="10"/>
  <c r="V805" i="10"/>
  <c r="V806" i="10"/>
  <c r="V807" i="10"/>
  <c r="V808" i="10"/>
  <c r="V809" i="10"/>
  <c r="V810" i="10"/>
  <c r="V811" i="10"/>
  <c r="V812" i="10"/>
  <c r="V813" i="10"/>
  <c r="V814" i="10"/>
  <c r="V815" i="10"/>
  <c r="V816" i="10"/>
  <c r="V817" i="10"/>
  <c r="V818" i="10"/>
  <c r="V819" i="10"/>
  <c r="V820" i="10"/>
  <c r="V821" i="10"/>
  <c r="V822" i="10"/>
  <c r="V823" i="10"/>
  <c r="V824" i="10"/>
  <c r="V825" i="10"/>
  <c r="V826" i="10"/>
  <c r="V827" i="10"/>
  <c r="V828" i="10"/>
  <c r="V829" i="10"/>
  <c r="V830" i="10"/>
  <c r="V831" i="10"/>
  <c r="V832" i="10"/>
  <c r="V833" i="10"/>
  <c r="V834" i="10"/>
  <c r="V835" i="10"/>
  <c r="V836" i="10"/>
  <c r="V837" i="10"/>
  <c r="V838" i="10"/>
  <c r="V839" i="10"/>
  <c r="V840" i="10"/>
  <c r="V841" i="10"/>
  <c r="V842" i="10"/>
  <c r="V843" i="10"/>
  <c r="V844" i="10"/>
  <c r="V845" i="10"/>
  <c r="V846" i="10"/>
  <c r="V847" i="10"/>
  <c r="V848" i="10"/>
  <c r="V849" i="10"/>
  <c r="V850" i="10"/>
  <c r="V851" i="10"/>
  <c r="V852" i="10"/>
  <c r="V853" i="10"/>
  <c r="V854" i="10"/>
  <c r="V855" i="10"/>
  <c r="V856" i="10"/>
  <c r="V857" i="10"/>
  <c r="V858" i="10"/>
  <c r="V859" i="10"/>
  <c r="V860" i="10"/>
  <c r="V861" i="10"/>
  <c r="V862" i="10"/>
  <c r="V863" i="10"/>
  <c r="V864" i="10"/>
  <c r="V865" i="10"/>
  <c r="V866" i="10"/>
  <c r="V867" i="10"/>
  <c r="V868" i="10"/>
  <c r="V869" i="10"/>
  <c r="V870" i="10"/>
  <c r="V871" i="10"/>
  <c r="V872" i="10"/>
  <c r="V873" i="10"/>
  <c r="V874" i="10"/>
  <c r="V875" i="10"/>
  <c r="V876" i="10"/>
  <c r="V877" i="10"/>
  <c r="V878" i="10"/>
  <c r="V879" i="10"/>
  <c r="V880" i="10"/>
  <c r="V881" i="10"/>
  <c r="V882" i="10"/>
  <c r="V883" i="10"/>
  <c r="V884" i="10"/>
  <c r="V885" i="10"/>
  <c r="V886" i="10"/>
  <c r="V887" i="10"/>
  <c r="V888" i="10"/>
  <c r="V889" i="10"/>
  <c r="V890" i="10"/>
  <c r="V891" i="10"/>
  <c r="V892" i="10"/>
  <c r="V893" i="10"/>
  <c r="V894" i="10"/>
  <c r="V895" i="10"/>
  <c r="V896" i="10"/>
  <c r="V897" i="10"/>
  <c r="V898" i="10"/>
  <c r="V899" i="10"/>
  <c r="V900" i="10"/>
  <c r="V901" i="10"/>
  <c r="V902" i="10"/>
  <c r="V903" i="10"/>
  <c r="V904" i="10"/>
  <c r="V905" i="10"/>
  <c r="V906" i="10"/>
  <c r="V907" i="10"/>
  <c r="V908" i="10"/>
  <c r="V909" i="10"/>
  <c r="V910" i="10"/>
  <c r="V911" i="10"/>
  <c r="V912" i="10"/>
  <c r="V913" i="10"/>
  <c r="V914" i="10"/>
  <c r="V915" i="10"/>
  <c r="V916" i="10"/>
  <c r="V917" i="10"/>
  <c r="V918" i="10"/>
  <c r="V919" i="10"/>
  <c r="V920" i="10"/>
  <c r="V921" i="10"/>
  <c r="V922" i="10"/>
  <c r="V923" i="10"/>
  <c r="V924" i="10"/>
  <c r="V925" i="10"/>
  <c r="V926" i="10"/>
  <c r="V927" i="10"/>
  <c r="V928" i="10"/>
  <c r="V929" i="10"/>
  <c r="V930" i="10"/>
  <c r="V931" i="10"/>
  <c r="V932" i="10"/>
  <c r="V933" i="10"/>
  <c r="V934" i="10"/>
  <c r="V935" i="10"/>
  <c r="V936" i="10"/>
  <c r="V937" i="10"/>
  <c r="V938" i="10"/>
  <c r="V939" i="10"/>
  <c r="V940" i="10"/>
  <c r="V941" i="10"/>
  <c r="V942" i="10"/>
  <c r="V943" i="10"/>
  <c r="V944" i="10"/>
  <c r="V945" i="10"/>
  <c r="V946" i="10"/>
  <c r="V947" i="10"/>
  <c r="V948" i="10"/>
  <c r="V949" i="10"/>
  <c r="V950" i="10"/>
  <c r="V951" i="10"/>
  <c r="V952" i="10"/>
  <c r="V953" i="10"/>
  <c r="V954" i="10"/>
  <c r="V955" i="10"/>
  <c r="V956" i="10"/>
  <c r="V957" i="10"/>
  <c r="V958" i="10"/>
  <c r="V959" i="10"/>
  <c r="V960" i="10"/>
  <c r="V961" i="10"/>
  <c r="V962" i="10"/>
  <c r="V963" i="10"/>
  <c r="V964" i="10"/>
  <c r="V965" i="10"/>
  <c r="V966" i="10"/>
  <c r="V967" i="10"/>
  <c r="V968" i="10"/>
  <c r="V969" i="10"/>
  <c r="V970" i="10"/>
  <c r="V971" i="10"/>
  <c r="V972" i="10"/>
  <c r="V973" i="10"/>
  <c r="V974" i="10"/>
  <c r="V975" i="10"/>
  <c r="V976" i="10"/>
  <c r="V977" i="10"/>
  <c r="V978" i="10"/>
  <c r="V979" i="10"/>
  <c r="V980" i="10"/>
  <c r="V981" i="10"/>
  <c r="V982" i="10"/>
  <c r="V983" i="10"/>
  <c r="V984" i="10"/>
  <c r="V985" i="10"/>
  <c r="V986" i="10"/>
  <c r="V987" i="10"/>
  <c r="V988" i="10"/>
  <c r="V989" i="10"/>
  <c r="V990" i="10"/>
  <c r="V991" i="10"/>
  <c r="V992" i="10"/>
  <c r="V993" i="10"/>
  <c r="V994" i="10"/>
  <c r="V995" i="10"/>
  <c r="V996" i="10"/>
  <c r="V997" i="10"/>
  <c r="V998" i="10"/>
  <c r="V999" i="10"/>
  <c r="V1000" i="10"/>
  <c r="V1001" i="10"/>
  <c r="V1002" i="10"/>
  <c r="V1003" i="10"/>
  <c r="V1004" i="10"/>
  <c r="V1005" i="10"/>
  <c r="V1006" i="10"/>
  <c r="V1007" i="10"/>
  <c r="V1008" i="10"/>
  <c r="V1009" i="10"/>
  <c r="V1010" i="10"/>
  <c r="V1011" i="10"/>
  <c r="V1012" i="10"/>
  <c r="V1013" i="10"/>
  <c r="V1014" i="10"/>
  <c r="V1015" i="10"/>
  <c r="V1016" i="10"/>
  <c r="V1017" i="10"/>
  <c r="V1018" i="10"/>
  <c r="V1019" i="10"/>
  <c r="V1020" i="10"/>
  <c r="V1021" i="10"/>
  <c r="V1022" i="10"/>
  <c r="V1023" i="10"/>
  <c r="V1024" i="10"/>
  <c r="V1025" i="10"/>
  <c r="V1026" i="10"/>
  <c r="V1027" i="10"/>
  <c r="V1028" i="10"/>
  <c r="V1029" i="10"/>
  <c r="V1030" i="10"/>
  <c r="V1031" i="10"/>
  <c r="V1032" i="10"/>
  <c r="V1033" i="10"/>
  <c r="V1034" i="10"/>
  <c r="V1035" i="10"/>
  <c r="V1036" i="10"/>
  <c r="V1037" i="10"/>
  <c r="V1038" i="10"/>
  <c r="V1039" i="10"/>
  <c r="V1040" i="10"/>
  <c r="V1041" i="10"/>
  <c r="V1042" i="10"/>
  <c r="V1043" i="10"/>
  <c r="V1044" i="10"/>
  <c r="V1045" i="10"/>
  <c r="V1046" i="10"/>
  <c r="V1047" i="10"/>
  <c r="V1048" i="10"/>
  <c r="V1049" i="10"/>
  <c r="V1050" i="10"/>
  <c r="V1051" i="10"/>
  <c r="V1052" i="10"/>
  <c r="V1053" i="10"/>
  <c r="V1054" i="10"/>
  <c r="V1055" i="10"/>
  <c r="V1056" i="10"/>
  <c r="V1057" i="10"/>
  <c r="V1058" i="10"/>
  <c r="V1059" i="10"/>
  <c r="V1060" i="10"/>
  <c r="V1061" i="10"/>
  <c r="V1062" i="10"/>
  <c r="V1063" i="10"/>
  <c r="V1064" i="10"/>
  <c r="V1065" i="10"/>
  <c r="V1066" i="10"/>
  <c r="V1067" i="10"/>
  <c r="V1068" i="10"/>
  <c r="V1069" i="10"/>
  <c r="V1070" i="10"/>
  <c r="V1071" i="10"/>
  <c r="V1072" i="10"/>
  <c r="V1073" i="10"/>
  <c r="V1074" i="10"/>
  <c r="V1075" i="10"/>
  <c r="V1076" i="10"/>
  <c r="V1077" i="10"/>
  <c r="V1078" i="10"/>
  <c r="V1079" i="10"/>
  <c r="V1080" i="10"/>
  <c r="V1081" i="10"/>
  <c r="V1082" i="10"/>
  <c r="V1083" i="10"/>
  <c r="V1084" i="10"/>
  <c r="V1085" i="10"/>
  <c r="V1086" i="10"/>
  <c r="V1087" i="10"/>
  <c r="V1088" i="10"/>
  <c r="V1089" i="10"/>
  <c r="V1090" i="10"/>
  <c r="V1091" i="10"/>
  <c r="V1092" i="10"/>
  <c r="V1093" i="10"/>
  <c r="V1094" i="10"/>
  <c r="V1095" i="10"/>
  <c r="V1096" i="10"/>
  <c r="V1097" i="10"/>
  <c r="V1098" i="10"/>
  <c r="V1099" i="10"/>
  <c r="V1100" i="10"/>
  <c r="V1101" i="10"/>
  <c r="V1102" i="10"/>
  <c r="V1103" i="10"/>
  <c r="V1104" i="10"/>
  <c r="V1105" i="10"/>
  <c r="V1106" i="10"/>
  <c r="V1107" i="10"/>
  <c r="V1108" i="10"/>
  <c r="V1109" i="10"/>
  <c r="V1110" i="10"/>
  <c r="V1111" i="10"/>
  <c r="V1112" i="10"/>
  <c r="V1113" i="10"/>
  <c r="V1114" i="10"/>
  <c r="V1115" i="10"/>
  <c r="V1116" i="10"/>
  <c r="V1117" i="10"/>
  <c r="V1118" i="10"/>
  <c r="V1119" i="10"/>
  <c r="V1120" i="10"/>
  <c r="V1121" i="10"/>
  <c r="V1122" i="10"/>
  <c r="V1123" i="10"/>
  <c r="V1124" i="10"/>
  <c r="V1125" i="10"/>
  <c r="V1126" i="10"/>
  <c r="V1127" i="10"/>
  <c r="V1128" i="10"/>
  <c r="V1129" i="10"/>
  <c r="V1130" i="10"/>
  <c r="V1131" i="10"/>
  <c r="V1132" i="10"/>
  <c r="V1133" i="10"/>
  <c r="V1134" i="10"/>
  <c r="V1135" i="10"/>
  <c r="V1136" i="10"/>
  <c r="V1137" i="10"/>
  <c r="V1138" i="10"/>
  <c r="V1139" i="10"/>
  <c r="V1140" i="10"/>
  <c r="V1141" i="10"/>
  <c r="V1142" i="10"/>
  <c r="V1143" i="10"/>
  <c r="V1144" i="10"/>
  <c r="V1145" i="10"/>
  <c r="V1146" i="10"/>
  <c r="V1147" i="10"/>
  <c r="V1148" i="10"/>
  <c r="V1149" i="10"/>
  <c r="V1150" i="10"/>
  <c r="V1151" i="10"/>
  <c r="V1152" i="10"/>
  <c r="V1153" i="10"/>
  <c r="V1154" i="10"/>
  <c r="V1155" i="10"/>
  <c r="V1156" i="10"/>
  <c r="V1157" i="10"/>
  <c r="V1158" i="10"/>
  <c r="V1159" i="10"/>
  <c r="V1160" i="10"/>
  <c r="V1161" i="10"/>
  <c r="V1162" i="10"/>
  <c r="V1163" i="10"/>
  <c r="V1164" i="10"/>
  <c r="V1165" i="10"/>
  <c r="V1166" i="10"/>
  <c r="V1167" i="10"/>
  <c r="V1168" i="10"/>
  <c r="V1169" i="10"/>
  <c r="V1170" i="10"/>
  <c r="V1171" i="10"/>
  <c r="V1172" i="10"/>
  <c r="V1173" i="10"/>
  <c r="V1174" i="10"/>
  <c r="V1175" i="10"/>
  <c r="V1176" i="10"/>
  <c r="V1177" i="10"/>
  <c r="V1178" i="10"/>
  <c r="V1179" i="10"/>
  <c r="V1180" i="10"/>
  <c r="V1181" i="10"/>
  <c r="V1182" i="10"/>
  <c r="V1183" i="10"/>
  <c r="V1184" i="10"/>
  <c r="V1185" i="10"/>
  <c r="V1186" i="10"/>
  <c r="V1187" i="10"/>
  <c r="V1188" i="10"/>
  <c r="V1189" i="10"/>
  <c r="V1190" i="10"/>
  <c r="V1191" i="10"/>
  <c r="V1192" i="10"/>
  <c r="V1193" i="10"/>
  <c r="V1194" i="10"/>
  <c r="V1195" i="10"/>
  <c r="V1196" i="10"/>
  <c r="V1197" i="10"/>
  <c r="V1198" i="10"/>
  <c r="V1199" i="10"/>
  <c r="V1200" i="10"/>
  <c r="V1201" i="10"/>
  <c r="V1202" i="10"/>
  <c r="V1203" i="10"/>
  <c r="V1204" i="10"/>
  <c r="V1205" i="10"/>
  <c r="V1206" i="10"/>
  <c r="V1207" i="10"/>
  <c r="V1208" i="10"/>
  <c r="V1209" i="10"/>
  <c r="V1210" i="10"/>
  <c r="V1211" i="10"/>
  <c r="V1212" i="10"/>
  <c r="V1213" i="10"/>
  <c r="V1214" i="10"/>
  <c r="V1215" i="10"/>
  <c r="V1216" i="10"/>
  <c r="V1217" i="10"/>
  <c r="V1218" i="10"/>
  <c r="V1219" i="10"/>
  <c r="V1220" i="10"/>
  <c r="V1221" i="10"/>
  <c r="V1222" i="10"/>
  <c r="V1223" i="10"/>
  <c r="V1224" i="10"/>
  <c r="V1225" i="10"/>
  <c r="V1226" i="10"/>
  <c r="V1227" i="10"/>
  <c r="V1228" i="10"/>
  <c r="V1229" i="10"/>
  <c r="V1230" i="10"/>
  <c r="V1231" i="10"/>
  <c r="V1232" i="10"/>
  <c r="V1233" i="10"/>
  <c r="V1234" i="10"/>
  <c r="V1235" i="10"/>
  <c r="V1236" i="10"/>
  <c r="V1237" i="10"/>
  <c r="V1238" i="10"/>
  <c r="V1239" i="10"/>
  <c r="V1240" i="10"/>
  <c r="V1241" i="10"/>
  <c r="V1242" i="10"/>
  <c r="V1243" i="10"/>
  <c r="V1244" i="10"/>
  <c r="V1245" i="10"/>
  <c r="V1246" i="10"/>
  <c r="V1247" i="10"/>
  <c r="V1248" i="10"/>
  <c r="V1249" i="10"/>
  <c r="V1250" i="10"/>
  <c r="V1251" i="10"/>
  <c r="V1252" i="10"/>
  <c r="V1253" i="10"/>
  <c r="V1254" i="10"/>
  <c r="V1255" i="10"/>
  <c r="V1256" i="10"/>
  <c r="V1257" i="10"/>
  <c r="V1258" i="10"/>
  <c r="V1259" i="10"/>
  <c r="V1260" i="10"/>
  <c r="V1261" i="10"/>
  <c r="V1262" i="10"/>
  <c r="V1263" i="10"/>
  <c r="V1264" i="10"/>
  <c r="V1265" i="10"/>
  <c r="V1266" i="10"/>
  <c r="V1267" i="10"/>
  <c r="V1268" i="10"/>
  <c r="V1269" i="10"/>
  <c r="V1270" i="10"/>
  <c r="V1271" i="10"/>
  <c r="V1272" i="10"/>
  <c r="V1273" i="10"/>
  <c r="V1274" i="10"/>
  <c r="V1275" i="10"/>
  <c r="V1276" i="10"/>
  <c r="V1277" i="10"/>
  <c r="V1278" i="10"/>
  <c r="V1279" i="10"/>
  <c r="V1280" i="10"/>
  <c r="V1281" i="10"/>
  <c r="V1282" i="10"/>
  <c r="V1283" i="10"/>
  <c r="V1284" i="10"/>
  <c r="V1285" i="10"/>
  <c r="V1286" i="10"/>
  <c r="V1287" i="10"/>
  <c r="V1288" i="10"/>
  <c r="V1289" i="10"/>
  <c r="V1290" i="10"/>
  <c r="V1291" i="10"/>
  <c r="V1292" i="10"/>
  <c r="V1293" i="10"/>
  <c r="V1294" i="10"/>
  <c r="V1295" i="10"/>
  <c r="V1296" i="10"/>
  <c r="V1297" i="10"/>
  <c r="V1298" i="10"/>
  <c r="V1299" i="10"/>
  <c r="V1300" i="10"/>
  <c r="V1301" i="10"/>
  <c r="V1302" i="10"/>
  <c r="V1303" i="10"/>
  <c r="V1304" i="10"/>
  <c r="V1305" i="10"/>
  <c r="V1306" i="10"/>
  <c r="V1307" i="10"/>
  <c r="V1308" i="10"/>
  <c r="V1309" i="10"/>
  <c r="V1310" i="10"/>
  <c r="V1311" i="10"/>
  <c r="V1312" i="10"/>
  <c r="V1313" i="10"/>
  <c r="V1314" i="10"/>
  <c r="V1315" i="10"/>
  <c r="V1316" i="10"/>
  <c r="V1317" i="10"/>
  <c r="V1318" i="10"/>
  <c r="V1319" i="10"/>
  <c r="V1320" i="10"/>
  <c r="V1321" i="10"/>
  <c r="V1322" i="10"/>
  <c r="V1323" i="10"/>
  <c r="V1324" i="10"/>
  <c r="V1325" i="10"/>
  <c r="V1326" i="10"/>
  <c r="V1327" i="10"/>
  <c r="V1328" i="10"/>
  <c r="V1329" i="10"/>
  <c r="V1330" i="10"/>
  <c r="V1331" i="10"/>
  <c r="V1332" i="10"/>
  <c r="V1333" i="10"/>
  <c r="V1334" i="10"/>
  <c r="V1335" i="10"/>
  <c r="V1336" i="10"/>
  <c r="V1337" i="10"/>
  <c r="V1338" i="10"/>
  <c r="V1339" i="10"/>
  <c r="V1340" i="10"/>
  <c r="V1341" i="10"/>
  <c r="V1342" i="10"/>
  <c r="V1343" i="10"/>
  <c r="V1344" i="10"/>
  <c r="V1345" i="10"/>
  <c r="V1346" i="10"/>
  <c r="V1347" i="10"/>
  <c r="V1348" i="10"/>
  <c r="V1349" i="10"/>
  <c r="V1350" i="10"/>
  <c r="V1351" i="10"/>
  <c r="V1352" i="10"/>
  <c r="V1353" i="10"/>
  <c r="V1354" i="10"/>
  <c r="V1355" i="10"/>
  <c r="V1356" i="10"/>
  <c r="V1357" i="10"/>
  <c r="V1358" i="10"/>
  <c r="V1359" i="10"/>
  <c r="V1360" i="10"/>
  <c r="V1361" i="10"/>
  <c r="V1362" i="10"/>
  <c r="V1363" i="10"/>
  <c r="V1364" i="10"/>
  <c r="V1365" i="10"/>
  <c r="V1366" i="10"/>
  <c r="V1367" i="10"/>
  <c r="V1368" i="10"/>
  <c r="V1369" i="10"/>
  <c r="V1370" i="10"/>
  <c r="V1371" i="10"/>
  <c r="V1372" i="10"/>
  <c r="V1373" i="10"/>
  <c r="V1374" i="10"/>
  <c r="V1375" i="10"/>
  <c r="V1376" i="10"/>
  <c r="V1377" i="10"/>
  <c r="V1378" i="10"/>
  <c r="V1379" i="10"/>
  <c r="V1380" i="10"/>
  <c r="V1381" i="10"/>
  <c r="V1382" i="10"/>
  <c r="V1383" i="10"/>
  <c r="V1384" i="10"/>
  <c r="V1385" i="10"/>
  <c r="V1386" i="10"/>
  <c r="V1387" i="10"/>
  <c r="V1388" i="10"/>
  <c r="V1389" i="10"/>
  <c r="V1390" i="10"/>
  <c r="V1391" i="10"/>
  <c r="V1392" i="10"/>
  <c r="V1393" i="10"/>
  <c r="V1394" i="10"/>
  <c r="V1395" i="10"/>
  <c r="V1396" i="10"/>
  <c r="V1397" i="10"/>
  <c r="V1398" i="10"/>
  <c r="V1399" i="10"/>
  <c r="V1400" i="10"/>
  <c r="V1401" i="10"/>
  <c r="V1402" i="10"/>
  <c r="V1403" i="10"/>
  <c r="V1404" i="10"/>
  <c r="V1405" i="10"/>
  <c r="V1406" i="10"/>
  <c r="V1407" i="10"/>
  <c r="V1408" i="10"/>
  <c r="V1409" i="10"/>
  <c r="V1410" i="10"/>
  <c r="V1411" i="10"/>
  <c r="V1412" i="10"/>
  <c r="V1413" i="10"/>
  <c r="V1414" i="10"/>
  <c r="V1415" i="10"/>
  <c r="V1416" i="10"/>
  <c r="V1417" i="10"/>
  <c r="V1418" i="10"/>
  <c r="V1419" i="10"/>
  <c r="V1420" i="10"/>
  <c r="V1421" i="10"/>
  <c r="V1422" i="10"/>
  <c r="V1423" i="10"/>
  <c r="V1424" i="10"/>
  <c r="V1425" i="10"/>
  <c r="V1426" i="10"/>
  <c r="V1427" i="10"/>
  <c r="V1428" i="10"/>
  <c r="V1429" i="10"/>
  <c r="V1430" i="10"/>
  <c r="V1431" i="10"/>
  <c r="V1432" i="10"/>
  <c r="V1433" i="10"/>
  <c r="V1434" i="10"/>
  <c r="J30" i="65" l="1"/>
  <c r="J29" i="65"/>
  <c r="J28" i="65"/>
  <c r="J24" i="65"/>
  <c r="J27" i="65"/>
  <c r="J26" i="65"/>
  <c r="J25" i="65"/>
  <c r="J23" i="65"/>
  <c r="J22" i="65"/>
  <c r="J21" i="65"/>
  <c r="J20" i="65"/>
  <c r="J19" i="65"/>
  <c r="J18" i="65"/>
  <c r="J17" i="65"/>
  <c r="J16" i="65"/>
  <c r="J15" i="65"/>
  <c r="J14" i="65"/>
  <c r="J13" i="65"/>
  <c r="J12" i="65"/>
  <c r="J11" i="65"/>
  <c r="J10" i="65"/>
  <c r="J9" i="65"/>
  <c r="J8" i="65"/>
  <c r="J7" i="65"/>
  <c r="J6" i="65"/>
  <c r="J5" i="65"/>
  <c r="J4" i="65"/>
  <c r="J3" i="65"/>
  <c r="J2" i="65"/>
  <c r="H38" i="3" l="1"/>
  <c r="H39" i="3"/>
  <c r="H40" i="3"/>
  <c r="H41" i="3"/>
  <c r="H42" i="3"/>
  <c r="H43" i="3"/>
  <c r="O61" i="10" l="1"/>
  <c r="R57" i="10" l="1"/>
  <c r="R53" i="10"/>
  <c r="R41" i="10"/>
  <c r="R33" i="10"/>
  <c r="R13" i="10"/>
  <c r="R5" i="10"/>
  <c r="S41" i="10" l="1"/>
  <c r="T41" i="10" s="1"/>
  <c r="S57" i="10"/>
  <c r="T57" i="10" s="1"/>
  <c r="S53" i="10"/>
  <c r="T53" i="10" s="1"/>
  <c r="S33" i="10"/>
  <c r="T33" i="10" s="1"/>
  <c r="S13" i="10"/>
  <c r="T13" i="10" s="1"/>
  <c r="S5" i="10"/>
  <c r="T5" i="10" s="1"/>
  <c r="R17" i="10" l="1"/>
  <c r="R49" i="10"/>
  <c r="R45" i="10"/>
  <c r="R37" i="10"/>
  <c r="R29" i="10"/>
  <c r="R25" i="10"/>
  <c r="R21" i="10"/>
  <c r="S17" i="10" l="1"/>
  <c r="T17" i="10" s="1"/>
  <c r="S49" i="10"/>
  <c r="T49" i="10" s="1"/>
  <c r="S45" i="10"/>
  <c r="T45" i="10" s="1"/>
  <c r="S37" i="10"/>
  <c r="T37" i="10" s="1"/>
  <c r="S29" i="10"/>
  <c r="T29" i="10" s="1"/>
  <c r="S25" i="10"/>
  <c r="T25" i="10" s="1"/>
  <c r="S21" i="10"/>
  <c r="T21" i="10" s="1"/>
  <c r="R9" i="10" l="1"/>
  <c r="S9" i="10" l="1"/>
  <c r="T9" i="10" s="1"/>
  <c r="R1437" i="10" l="1"/>
  <c r="R1434" i="10"/>
  <c r="Q1434" i="10"/>
  <c r="O1434" i="10"/>
  <c r="M1434" i="10"/>
  <c r="K1434" i="10"/>
  <c r="I1434" i="10"/>
  <c r="G1434" i="10"/>
  <c r="R1433" i="10"/>
  <c r="Q1433" i="10"/>
  <c r="O1433" i="10"/>
  <c r="M1433" i="10"/>
  <c r="K1433" i="10"/>
  <c r="I1433" i="10"/>
  <c r="G1433" i="10"/>
  <c r="R1432" i="10"/>
  <c r="Q1432" i="10"/>
  <c r="O1432" i="10"/>
  <c r="M1432" i="10"/>
  <c r="K1432" i="10"/>
  <c r="I1432" i="10"/>
  <c r="G1432" i="10"/>
  <c r="R1431" i="10"/>
  <c r="Q1431" i="10"/>
  <c r="O1431" i="10"/>
  <c r="M1431" i="10"/>
  <c r="K1431" i="10"/>
  <c r="I1431" i="10"/>
  <c r="G1431" i="10"/>
  <c r="R1430" i="10"/>
  <c r="Q1430" i="10"/>
  <c r="O1430" i="10"/>
  <c r="M1430" i="10"/>
  <c r="K1430" i="10"/>
  <c r="I1430" i="10"/>
  <c r="G1430" i="10"/>
  <c r="R1429" i="10"/>
  <c r="Q1429" i="10"/>
  <c r="O1429" i="10"/>
  <c r="M1429" i="10"/>
  <c r="K1429" i="10"/>
  <c r="I1429" i="10"/>
  <c r="G1429" i="10"/>
  <c r="R1428" i="10"/>
  <c r="Q1428" i="10"/>
  <c r="O1428" i="10"/>
  <c r="M1428" i="10"/>
  <c r="K1428" i="10"/>
  <c r="I1428" i="10"/>
  <c r="G1428" i="10"/>
  <c r="R1427" i="10"/>
  <c r="Q1427" i="10"/>
  <c r="O1427" i="10"/>
  <c r="M1427" i="10"/>
  <c r="K1427" i="10"/>
  <c r="I1427" i="10"/>
  <c r="G1427" i="10"/>
  <c r="R1426" i="10"/>
  <c r="Q1426" i="10"/>
  <c r="O1426" i="10"/>
  <c r="M1426" i="10"/>
  <c r="K1426" i="10"/>
  <c r="I1426" i="10"/>
  <c r="G1426" i="10"/>
  <c r="R1425" i="10"/>
  <c r="Q1425" i="10"/>
  <c r="O1425" i="10"/>
  <c r="M1425" i="10"/>
  <c r="K1425" i="10"/>
  <c r="I1425" i="10"/>
  <c r="G1425" i="10"/>
  <c r="R1424" i="10"/>
  <c r="Q1424" i="10"/>
  <c r="O1424" i="10"/>
  <c r="M1424" i="10"/>
  <c r="K1424" i="10"/>
  <c r="I1424" i="10"/>
  <c r="G1424" i="10"/>
  <c r="R1423" i="10"/>
  <c r="Q1423" i="10"/>
  <c r="O1423" i="10"/>
  <c r="M1423" i="10"/>
  <c r="K1423" i="10"/>
  <c r="I1423" i="10"/>
  <c r="G1423" i="10"/>
  <c r="R1422" i="10"/>
  <c r="Q1422" i="10"/>
  <c r="O1422" i="10"/>
  <c r="M1422" i="10"/>
  <c r="K1422" i="10"/>
  <c r="I1422" i="10"/>
  <c r="G1422" i="10"/>
  <c r="R1421" i="10"/>
  <c r="Q1421" i="10"/>
  <c r="O1421" i="10"/>
  <c r="M1421" i="10"/>
  <c r="K1421" i="10"/>
  <c r="I1421" i="10"/>
  <c r="G1421" i="10"/>
  <c r="R1420" i="10"/>
  <c r="Q1420" i="10"/>
  <c r="O1420" i="10"/>
  <c r="M1420" i="10"/>
  <c r="K1420" i="10"/>
  <c r="I1420" i="10"/>
  <c r="G1420" i="10"/>
  <c r="R1419" i="10"/>
  <c r="Q1419" i="10"/>
  <c r="O1419" i="10"/>
  <c r="M1419" i="10"/>
  <c r="K1419" i="10"/>
  <c r="I1419" i="10"/>
  <c r="G1419" i="10"/>
  <c r="R1418" i="10"/>
  <c r="Q1418" i="10"/>
  <c r="O1418" i="10"/>
  <c r="M1418" i="10"/>
  <c r="K1418" i="10"/>
  <c r="I1418" i="10"/>
  <c r="G1418" i="10"/>
  <c r="R1417" i="10"/>
  <c r="Q1417" i="10"/>
  <c r="O1417" i="10"/>
  <c r="M1417" i="10"/>
  <c r="K1417" i="10"/>
  <c r="I1417" i="10"/>
  <c r="G1417" i="10"/>
  <c r="R1416" i="10"/>
  <c r="Q1416" i="10"/>
  <c r="O1416" i="10"/>
  <c r="M1416" i="10"/>
  <c r="K1416" i="10"/>
  <c r="I1416" i="10"/>
  <c r="G1416" i="10"/>
  <c r="R1415" i="10"/>
  <c r="Q1415" i="10"/>
  <c r="O1415" i="10"/>
  <c r="M1415" i="10"/>
  <c r="K1415" i="10"/>
  <c r="I1415" i="10"/>
  <c r="G1415" i="10"/>
  <c r="R1414" i="10"/>
  <c r="Q1414" i="10"/>
  <c r="O1414" i="10"/>
  <c r="M1414" i="10"/>
  <c r="K1414" i="10"/>
  <c r="I1414" i="10"/>
  <c r="G1414" i="10"/>
  <c r="R1413" i="10"/>
  <c r="Q1413" i="10"/>
  <c r="O1413" i="10"/>
  <c r="M1413" i="10"/>
  <c r="K1413" i="10"/>
  <c r="I1413" i="10"/>
  <c r="G1413" i="10"/>
  <c r="R1412" i="10"/>
  <c r="Q1412" i="10"/>
  <c r="O1412" i="10"/>
  <c r="M1412" i="10"/>
  <c r="K1412" i="10"/>
  <c r="I1412" i="10"/>
  <c r="G1412" i="10"/>
  <c r="R1411" i="10"/>
  <c r="Q1411" i="10"/>
  <c r="O1411" i="10"/>
  <c r="M1411" i="10"/>
  <c r="K1411" i="10"/>
  <c r="I1411" i="10"/>
  <c r="G1411" i="10"/>
  <c r="R1410" i="10"/>
  <c r="Q1410" i="10"/>
  <c r="O1410" i="10"/>
  <c r="M1410" i="10"/>
  <c r="K1410" i="10"/>
  <c r="I1410" i="10"/>
  <c r="G1410" i="10"/>
  <c r="R1409" i="10"/>
  <c r="Q1409" i="10"/>
  <c r="O1409" i="10"/>
  <c r="M1409" i="10"/>
  <c r="K1409" i="10"/>
  <c r="I1409" i="10"/>
  <c r="G1409" i="10"/>
  <c r="R1408" i="10"/>
  <c r="Q1408" i="10"/>
  <c r="O1408" i="10"/>
  <c r="M1408" i="10"/>
  <c r="K1408" i="10"/>
  <c r="I1408" i="10"/>
  <c r="G1408" i="10"/>
  <c r="R1407" i="10"/>
  <c r="Q1407" i="10"/>
  <c r="O1407" i="10"/>
  <c r="M1407" i="10"/>
  <c r="K1407" i="10"/>
  <c r="I1407" i="10"/>
  <c r="G1407" i="10"/>
  <c r="R1406" i="10"/>
  <c r="Q1406" i="10"/>
  <c r="O1406" i="10"/>
  <c r="M1406" i="10"/>
  <c r="K1406" i="10"/>
  <c r="I1406" i="10"/>
  <c r="G1406" i="10"/>
  <c r="R1405" i="10"/>
  <c r="Q1405" i="10"/>
  <c r="O1405" i="10"/>
  <c r="M1405" i="10"/>
  <c r="K1405" i="10"/>
  <c r="I1405" i="10"/>
  <c r="G1405" i="10"/>
  <c r="R1404" i="10"/>
  <c r="Q1404" i="10"/>
  <c r="O1404" i="10"/>
  <c r="M1404" i="10"/>
  <c r="K1404" i="10"/>
  <c r="I1404" i="10"/>
  <c r="G1404" i="10"/>
  <c r="R1403" i="10"/>
  <c r="Q1403" i="10"/>
  <c r="O1403" i="10"/>
  <c r="M1403" i="10"/>
  <c r="K1403" i="10"/>
  <c r="I1403" i="10"/>
  <c r="G1403" i="10"/>
  <c r="R1402" i="10"/>
  <c r="Q1402" i="10"/>
  <c r="O1402" i="10"/>
  <c r="M1402" i="10"/>
  <c r="K1402" i="10"/>
  <c r="I1402" i="10"/>
  <c r="G1402" i="10"/>
  <c r="R1401" i="10"/>
  <c r="Q1401" i="10"/>
  <c r="O1401" i="10"/>
  <c r="M1401" i="10"/>
  <c r="K1401" i="10"/>
  <c r="I1401" i="10"/>
  <c r="G1401" i="10"/>
  <c r="R1400" i="10"/>
  <c r="Q1400" i="10"/>
  <c r="O1400" i="10"/>
  <c r="M1400" i="10"/>
  <c r="K1400" i="10"/>
  <c r="I1400" i="10"/>
  <c r="G1400" i="10"/>
  <c r="R1399" i="10"/>
  <c r="Q1399" i="10"/>
  <c r="O1399" i="10"/>
  <c r="M1399" i="10"/>
  <c r="K1399" i="10"/>
  <c r="I1399" i="10"/>
  <c r="G1399" i="10"/>
  <c r="R1398" i="10"/>
  <c r="Q1398" i="10"/>
  <c r="O1398" i="10"/>
  <c r="M1398" i="10"/>
  <c r="K1398" i="10"/>
  <c r="I1398" i="10"/>
  <c r="G1398" i="10"/>
  <c r="R1397" i="10"/>
  <c r="Q1397" i="10"/>
  <c r="O1397" i="10"/>
  <c r="M1397" i="10"/>
  <c r="K1397" i="10"/>
  <c r="I1397" i="10"/>
  <c r="G1397" i="10"/>
  <c r="R1396" i="10"/>
  <c r="Q1396" i="10"/>
  <c r="O1396" i="10"/>
  <c r="M1396" i="10"/>
  <c r="K1396" i="10"/>
  <c r="I1396" i="10"/>
  <c r="G1396" i="10"/>
  <c r="R1395" i="10"/>
  <c r="Q1395" i="10"/>
  <c r="O1395" i="10"/>
  <c r="M1395" i="10"/>
  <c r="K1395" i="10"/>
  <c r="I1395" i="10"/>
  <c r="G1395" i="10"/>
  <c r="R1394" i="10"/>
  <c r="Q1394" i="10"/>
  <c r="O1394" i="10"/>
  <c r="M1394" i="10"/>
  <c r="K1394" i="10"/>
  <c r="I1394" i="10"/>
  <c r="G1394" i="10"/>
  <c r="R1393" i="10"/>
  <c r="Q1393" i="10"/>
  <c r="O1393" i="10"/>
  <c r="M1393" i="10"/>
  <c r="K1393" i="10"/>
  <c r="I1393" i="10"/>
  <c r="G1393" i="10"/>
  <c r="R1392" i="10"/>
  <c r="Q1392" i="10"/>
  <c r="O1392" i="10"/>
  <c r="M1392" i="10"/>
  <c r="K1392" i="10"/>
  <c r="I1392" i="10"/>
  <c r="G1392" i="10"/>
  <c r="R1391" i="10"/>
  <c r="Q1391" i="10"/>
  <c r="O1391" i="10"/>
  <c r="M1391" i="10"/>
  <c r="K1391" i="10"/>
  <c r="I1391" i="10"/>
  <c r="G1391" i="10"/>
  <c r="R1390" i="10"/>
  <c r="Q1390" i="10"/>
  <c r="O1390" i="10"/>
  <c r="M1390" i="10"/>
  <c r="K1390" i="10"/>
  <c r="I1390" i="10"/>
  <c r="G1390" i="10"/>
  <c r="R1389" i="10"/>
  <c r="Q1389" i="10"/>
  <c r="O1389" i="10"/>
  <c r="M1389" i="10"/>
  <c r="K1389" i="10"/>
  <c r="I1389" i="10"/>
  <c r="G1389" i="10"/>
  <c r="R1388" i="10"/>
  <c r="Q1388" i="10"/>
  <c r="O1388" i="10"/>
  <c r="M1388" i="10"/>
  <c r="K1388" i="10"/>
  <c r="I1388" i="10"/>
  <c r="G1388" i="10"/>
  <c r="R1387" i="10"/>
  <c r="Q1387" i="10"/>
  <c r="O1387" i="10"/>
  <c r="M1387" i="10"/>
  <c r="K1387" i="10"/>
  <c r="I1387" i="10"/>
  <c r="G1387" i="10"/>
  <c r="R1386" i="10"/>
  <c r="Q1386" i="10"/>
  <c r="O1386" i="10"/>
  <c r="M1386" i="10"/>
  <c r="K1386" i="10"/>
  <c r="I1386" i="10"/>
  <c r="G1386" i="10"/>
  <c r="R1385" i="10"/>
  <c r="Q1385" i="10"/>
  <c r="O1385" i="10"/>
  <c r="M1385" i="10"/>
  <c r="K1385" i="10"/>
  <c r="I1385" i="10"/>
  <c r="G1385" i="10"/>
  <c r="R1384" i="10"/>
  <c r="Q1384" i="10"/>
  <c r="O1384" i="10"/>
  <c r="M1384" i="10"/>
  <c r="K1384" i="10"/>
  <c r="I1384" i="10"/>
  <c r="G1384" i="10"/>
  <c r="R1383" i="10"/>
  <c r="Q1383" i="10"/>
  <c r="O1383" i="10"/>
  <c r="M1383" i="10"/>
  <c r="K1383" i="10"/>
  <c r="I1383" i="10"/>
  <c r="G1383" i="10"/>
  <c r="R1382" i="10"/>
  <c r="Q1382" i="10"/>
  <c r="O1382" i="10"/>
  <c r="M1382" i="10"/>
  <c r="K1382" i="10"/>
  <c r="I1382" i="10"/>
  <c r="G1382" i="10"/>
  <c r="R1381" i="10"/>
  <c r="Q1381" i="10"/>
  <c r="O1381" i="10"/>
  <c r="M1381" i="10"/>
  <c r="K1381" i="10"/>
  <c r="I1381" i="10"/>
  <c r="G1381" i="10"/>
  <c r="R1380" i="10"/>
  <c r="Q1380" i="10"/>
  <c r="O1380" i="10"/>
  <c r="M1380" i="10"/>
  <c r="K1380" i="10"/>
  <c r="I1380" i="10"/>
  <c r="G1380" i="10"/>
  <c r="R1379" i="10"/>
  <c r="Q1379" i="10"/>
  <c r="O1379" i="10"/>
  <c r="M1379" i="10"/>
  <c r="K1379" i="10"/>
  <c r="I1379" i="10"/>
  <c r="G1379" i="10"/>
  <c r="R1378" i="10"/>
  <c r="Q1378" i="10"/>
  <c r="O1378" i="10"/>
  <c r="M1378" i="10"/>
  <c r="K1378" i="10"/>
  <c r="I1378" i="10"/>
  <c r="G1378" i="10"/>
  <c r="R1377" i="10"/>
  <c r="Q1377" i="10"/>
  <c r="O1377" i="10"/>
  <c r="M1377" i="10"/>
  <c r="K1377" i="10"/>
  <c r="I1377" i="10"/>
  <c r="G1377" i="10"/>
  <c r="R1376" i="10"/>
  <c r="Q1376" i="10"/>
  <c r="O1376" i="10"/>
  <c r="M1376" i="10"/>
  <c r="K1376" i="10"/>
  <c r="I1376" i="10"/>
  <c r="G1376" i="10"/>
  <c r="R1375" i="10"/>
  <c r="Q1375" i="10"/>
  <c r="O1375" i="10"/>
  <c r="M1375" i="10"/>
  <c r="K1375" i="10"/>
  <c r="I1375" i="10"/>
  <c r="G1375" i="10"/>
  <c r="R1374" i="10"/>
  <c r="Q1374" i="10"/>
  <c r="O1374" i="10"/>
  <c r="M1374" i="10"/>
  <c r="K1374" i="10"/>
  <c r="I1374" i="10"/>
  <c r="G1374" i="10"/>
  <c r="R1373" i="10"/>
  <c r="Q1373" i="10"/>
  <c r="O1373" i="10"/>
  <c r="M1373" i="10"/>
  <c r="K1373" i="10"/>
  <c r="I1373" i="10"/>
  <c r="G1373" i="10"/>
  <c r="R1372" i="10"/>
  <c r="Q1372" i="10"/>
  <c r="O1372" i="10"/>
  <c r="M1372" i="10"/>
  <c r="K1372" i="10"/>
  <c r="I1372" i="10"/>
  <c r="G1372" i="10"/>
  <c r="R1371" i="10"/>
  <c r="Q1371" i="10"/>
  <c r="O1371" i="10"/>
  <c r="M1371" i="10"/>
  <c r="K1371" i="10"/>
  <c r="I1371" i="10"/>
  <c r="G1371" i="10"/>
  <c r="R1370" i="10"/>
  <c r="Q1370" i="10"/>
  <c r="O1370" i="10"/>
  <c r="M1370" i="10"/>
  <c r="K1370" i="10"/>
  <c r="I1370" i="10"/>
  <c r="G1370" i="10"/>
  <c r="R1369" i="10"/>
  <c r="Q1369" i="10"/>
  <c r="O1369" i="10"/>
  <c r="M1369" i="10"/>
  <c r="K1369" i="10"/>
  <c r="I1369" i="10"/>
  <c r="G1369" i="10"/>
  <c r="R1368" i="10"/>
  <c r="Q1368" i="10"/>
  <c r="O1368" i="10"/>
  <c r="M1368" i="10"/>
  <c r="K1368" i="10"/>
  <c r="I1368" i="10"/>
  <c r="G1368" i="10"/>
  <c r="R1367" i="10"/>
  <c r="Q1367" i="10"/>
  <c r="O1367" i="10"/>
  <c r="M1367" i="10"/>
  <c r="K1367" i="10"/>
  <c r="I1367" i="10"/>
  <c r="G1367" i="10"/>
  <c r="R1366" i="10"/>
  <c r="Q1366" i="10"/>
  <c r="O1366" i="10"/>
  <c r="M1366" i="10"/>
  <c r="K1366" i="10"/>
  <c r="I1366" i="10"/>
  <c r="G1366" i="10"/>
  <c r="R1365" i="10"/>
  <c r="Q1365" i="10"/>
  <c r="O1365" i="10"/>
  <c r="M1365" i="10"/>
  <c r="K1365" i="10"/>
  <c r="I1365" i="10"/>
  <c r="G1365" i="10"/>
  <c r="R1364" i="10"/>
  <c r="Q1364" i="10"/>
  <c r="O1364" i="10"/>
  <c r="M1364" i="10"/>
  <c r="K1364" i="10"/>
  <c r="I1364" i="10"/>
  <c r="G1364" i="10"/>
  <c r="R1363" i="10"/>
  <c r="Q1363" i="10"/>
  <c r="O1363" i="10"/>
  <c r="M1363" i="10"/>
  <c r="K1363" i="10"/>
  <c r="I1363" i="10"/>
  <c r="G1363" i="10"/>
  <c r="R1362" i="10"/>
  <c r="Q1362" i="10"/>
  <c r="O1362" i="10"/>
  <c r="M1362" i="10"/>
  <c r="K1362" i="10"/>
  <c r="I1362" i="10"/>
  <c r="G1362" i="10"/>
  <c r="R1361" i="10"/>
  <c r="Q1361" i="10"/>
  <c r="O1361" i="10"/>
  <c r="M1361" i="10"/>
  <c r="K1361" i="10"/>
  <c r="I1361" i="10"/>
  <c r="G1361" i="10"/>
  <c r="R1360" i="10"/>
  <c r="Q1360" i="10"/>
  <c r="O1360" i="10"/>
  <c r="M1360" i="10"/>
  <c r="K1360" i="10"/>
  <c r="I1360" i="10"/>
  <c r="G1360" i="10"/>
  <c r="R1359" i="10"/>
  <c r="Q1359" i="10"/>
  <c r="O1359" i="10"/>
  <c r="M1359" i="10"/>
  <c r="K1359" i="10"/>
  <c r="I1359" i="10"/>
  <c r="G1359" i="10"/>
  <c r="R1358" i="10"/>
  <c r="Q1358" i="10"/>
  <c r="O1358" i="10"/>
  <c r="M1358" i="10"/>
  <c r="K1358" i="10"/>
  <c r="I1358" i="10"/>
  <c r="G1358" i="10"/>
  <c r="R1357" i="10"/>
  <c r="Q1357" i="10"/>
  <c r="O1357" i="10"/>
  <c r="M1357" i="10"/>
  <c r="K1357" i="10"/>
  <c r="I1357" i="10"/>
  <c r="G1357" i="10"/>
  <c r="R1356" i="10"/>
  <c r="Q1356" i="10"/>
  <c r="O1356" i="10"/>
  <c r="M1356" i="10"/>
  <c r="K1356" i="10"/>
  <c r="I1356" i="10"/>
  <c r="G1356" i="10"/>
  <c r="R1355" i="10"/>
  <c r="Q1355" i="10"/>
  <c r="O1355" i="10"/>
  <c r="M1355" i="10"/>
  <c r="K1355" i="10"/>
  <c r="I1355" i="10"/>
  <c r="G1355" i="10"/>
  <c r="R1354" i="10"/>
  <c r="Q1354" i="10"/>
  <c r="O1354" i="10"/>
  <c r="M1354" i="10"/>
  <c r="K1354" i="10"/>
  <c r="I1354" i="10"/>
  <c r="G1354" i="10"/>
  <c r="R1353" i="10"/>
  <c r="Q1353" i="10"/>
  <c r="O1353" i="10"/>
  <c r="M1353" i="10"/>
  <c r="K1353" i="10"/>
  <c r="I1353" i="10"/>
  <c r="G1353" i="10"/>
  <c r="R1352" i="10"/>
  <c r="Q1352" i="10"/>
  <c r="O1352" i="10"/>
  <c r="M1352" i="10"/>
  <c r="K1352" i="10"/>
  <c r="I1352" i="10"/>
  <c r="G1352" i="10"/>
  <c r="R1351" i="10"/>
  <c r="Q1351" i="10"/>
  <c r="O1351" i="10"/>
  <c r="M1351" i="10"/>
  <c r="K1351" i="10"/>
  <c r="I1351" i="10"/>
  <c r="G1351" i="10"/>
  <c r="R1350" i="10"/>
  <c r="Q1350" i="10"/>
  <c r="O1350" i="10"/>
  <c r="M1350" i="10"/>
  <c r="K1350" i="10"/>
  <c r="I1350" i="10"/>
  <c r="G1350" i="10"/>
  <c r="R1349" i="10"/>
  <c r="Q1349" i="10"/>
  <c r="O1349" i="10"/>
  <c r="M1349" i="10"/>
  <c r="K1349" i="10"/>
  <c r="I1349" i="10"/>
  <c r="G1349" i="10"/>
  <c r="R1348" i="10"/>
  <c r="Q1348" i="10"/>
  <c r="O1348" i="10"/>
  <c r="M1348" i="10"/>
  <c r="K1348" i="10"/>
  <c r="I1348" i="10"/>
  <c r="G1348" i="10"/>
  <c r="R1347" i="10"/>
  <c r="Q1347" i="10"/>
  <c r="O1347" i="10"/>
  <c r="M1347" i="10"/>
  <c r="K1347" i="10"/>
  <c r="I1347" i="10"/>
  <c r="G1347" i="10"/>
  <c r="R1346" i="10"/>
  <c r="Q1346" i="10"/>
  <c r="O1346" i="10"/>
  <c r="M1346" i="10"/>
  <c r="K1346" i="10"/>
  <c r="I1346" i="10"/>
  <c r="G1346" i="10"/>
  <c r="R1345" i="10"/>
  <c r="Q1345" i="10"/>
  <c r="O1345" i="10"/>
  <c r="M1345" i="10"/>
  <c r="K1345" i="10"/>
  <c r="I1345" i="10"/>
  <c r="G1345" i="10"/>
  <c r="R1344" i="10"/>
  <c r="Q1344" i="10"/>
  <c r="O1344" i="10"/>
  <c r="M1344" i="10"/>
  <c r="K1344" i="10"/>
  <c r="I1344" i="10"/>
  <c r="G1344" i="10"/>
  <c r="R1343" i="10"/>
  <c r="Q1343" i="10"/>
  <c r="O1343" i="10"/>
  <c r="M1343" i="10"/>
  <c r="K1343" i="10"/>
  <c r="I1343" i="10"/>
  <c r="G1343" i="10"/>
  <c r="R1342" i="10"/>
  <c r="Q1342" i="10"/>
  <c r="O1342" i="10"/>
  <c r="M1342" i="10"/>
  <c r="K1342" i="10"/>
  <c r="I1342" i="10"/>
  <c r="G1342" i="10"/>
  <c r="R1341" i="10"/>
  <c r="Q1341" i="10"/>
  <c r="O1341" i="10"/>
  <c r="M1341" i="10"/>
  <c r="K1341" i="10"/>
  <c r="I1341" i="10"/>
  <c r="G1341" i="10"/>
  <c r="R1340" i="10"/>
  <c r="Q1340" i="10"/>
  <c r="O1340" i="10"/>
  <c r="M1340" i="10"/>
  <c r="K1340" i="10"/>
  <c r="I1340" i="10"/>
  <c r="G1340" i="10"/>
  <c r="R1339" i="10"/>
  <c r="Q1339" i="10"/>
  <c r="O1339" i="10"/>
  <c r="M1339" i="10"/>
  <c r="K1339" i="10"/>
  <c r="I1339" i="10"/>
  <c r="G1339" i="10"/>
  <c r="R1338" i="10"/>
  <c r="Q1338" i="10"/>
  <c r="O1338" i="10"/>
  <c r="M1338" i="10"/>
  <c r="K1338" i="10"/>
  <c r="I1338" i="10"/>
  <c r="G1338" i="10"/>
  <c r="R1337" i="10"/>
  <c r="Q1337" i="10"/>
  <c r="O1337" i="10"/>
  <c r="M1337" i="10"/>
  <c r="K1337" i="10"/>
  <c r="I1337" i="10"/>
  <c r="G1337" i="10"/>
  <c r="R1336" i="10"/>
  <c r="Q1336" i="10"/>
  <c r="O1336" i="10"/>
  <c r="M1336" i="10"/>
  <c r="K1336" i="10"/>
  <c r="I1336" i="10"/>
  <c r="G1336" i="10"/>
  <c r="R1335" i="10"/>
  <c r="Q1335" i="10"/>
  <c r="O1335" i="10"/>
  <c r="M1335" i="10"/>
  <c r="K1335" i="10"/>
  <c r="I1335" i="10"/>
  <c r="G1335" i="10"/>
  <c r="R1334" i="10"/>
  <c r="Q1334" i="10"/>
  <c r="O1334" i="10"/>
  <c r="M1334" i="10"/>
  <c r="K1334" i="10"/>
  <c r="I1334" i="10"/>
  <c r="G1334" i="10"/>
  <c r="R1333" i="10"/>
  <c r="Q1333" i="10"/>
  <c r="O1333" i="10"/>
  <c r="M1333" i="10"/>
  <c r="K1333" i="10"/>
  <c r="I1333" i="10"/>
  <c r="G1333" i="10"/>
  <c r="R1332" i="10"/>
  <c r="Q1332" i="10"/>
  <c r="O1332" i="10"/>
  <c r="M1332" i="10"/>
  <c r="K1332" i="10"/>
  <c r="I1332" i="10"/>
  <c r="G1332" i="10"/>
  <c r="R1331" i="10"/>
  <c r="Q1331" i="10"/>
  <c r="O1331" i="10"/>
  <c r="M1331" i="10"/>
  <c r="K1331" i="10"/>
  <c r="I1331" i="10"/>
  <c r="G1331" i="10"/>
  <c r="R1330" i="10"/>
  <c r="Q1330" i="10"/>
  <c r="O1330" i="10"/>
  <c r="M1330" i="10"/>
  <c r="K1330" i="10"/>
  <c r="I1330" i="10"/>
  <c r="G1330" i="10"/>
  <c r="R1329" i="10"/>
  <c r="Q1329" i="10"/>
  <c r="O1329" i="10"/>
  <c r="M1329" i="10"/>
  <c r="K1329" i="10"/>
  <c r="I1329" i="10"/>
  <c r="G1329" i="10"/>
  <c r="R1328" i="10"/>
  <c r="Q1328" i="10"/>
  <c r="O1328" i="10"/>
  <c r="M1328" i="10"/>
  <c r="K1328" i="10"/>
  <c r="I1328" i="10"/>
  <c r="G1328" i="10"/>
  <c r="R1327" i="10"/>
  <c r="Q1327" i="10"/>
  <c r="O1327" i="10"/>
  <c r="M1327" i="10"/>
  <c r="K1327" i="10"/>
  <c r="I1327" i="10"/>
  <c r="G1327" i="10"/>
  <c r="R1326" i="10"/>
  <c r="Q1326" i="10"/>
  <c r="O1326" i="10"/>
  <c r="M1326" i="10"/>
  <c r="K1326" i="10"/>
  <c r="I1326" i="10"/>
  <c r="G1326" i="10"/>
  <c r="R1325" i="10"/>
  <c r="Q1325" i="10"/>
  <c r="O1325" i="10"/>
  <c r="M1325" i="10"/>
  <c r="K1325" i="10"/>
  <c r="I1325" i="10"/>
  <c r="G1325" i="10"/>
  <c r="R1324" i="10"/>
  <c r="Q1324" i="10"/>
  <c r="O1324" i="10"/>
  <c r="M1324" i="10"/>
  <c r="K1324" i="10"/>
  <c r="I1324" i="10"/>
  <c r="G1324" i="10"/>
  <c r="R1323" i="10"/>
  <c r="Q1323" i="10"/>
  <c r="O1323" i="10"/>
  <c r="M1323" i="10"/>
  <c r="K1323" i="10"/>
  <c r="I1323" i="10"/>
  <c r="G1323" i="10"/>
  <c r="R1322" i="10"/>
  <c r="Q1322" i="10"/>
  <c r="O1322" i="10"/>
  <c r="M1322" i="10"/>
  <c r="K1322" i="10"/>
  <c r="I1322" i="10"/>
  <c r="G1322" i="10"/>
  <c r="R1321" i="10"/>
  <c r="Q1321" i="10"/>
  <c r="O1321" i="10"/>
  <c r="M1321" i="10"/>
  <c r="K1321" i="10"/>
  <c r="I1321" i="10"/>
  <c r="G1321" i="10"/>
  <c r="R1320" i="10"/>
  <c r="Q1320" i="10"/>
  <c r="O1320" i="10"/>
  <c r="M1320" i="10"/>
  <c r="K1320" i="10"/>
  <c r="I1320" i="10"/>
  <c r="G1320" i="10"/>
  <c r="R1319" i="10"/>
  <c r="Q1319" i="10"/>
  <c r="O1319" i="10"/>
  <c r="M1319" i="10"/>
  <c r="K1319" i="10"/>
  <c r="I1319" i="10"/>
  <c r="G1319" i="10"/>
  <c r="R1318" i="10"/>
  <c r="Q1318" i="10"/>
  <c r="O1318" i="10"/>
  <c r="M1318" i="10"/>
  <c r="K1318" i="10"/>
  <c r="I1318" i="10"/>
  <c r="G1318" i="10"/>
  <c r="R1317" i="10"/>
  <c r="Q1317" i="10"/>
  <c r="O1317" i="10"/>
  <c r="M1317" i="10"/>
  <c r="K1317" i="10"/>
  <c r="I1317" i="10"/>
  <c r="G1317" i="10"/>
  <c r="R1316" i="10"/>
  <c r="Q1316" i="10"/>
  <c r="O1316" i="10"/>
  <c r="M1316" i="10"/>
  <c r="K1316" i="10"/>
  <c r="I1316" i="10"/>
  <c r="G1316" i="10"/>
  <c r="R1315" i="10"/>
  <c r="Q1315" i="10"/>
  <c r="O1315" i="10"/>
  <c r="M1315" i="10"/>
  <c r="K1315" i="10"/>
  <c r="I1315" i="10"/>
  <c r="G1315" i="10"/>
  <c r="R1314" i="10"/>
  <c r="Q1314" i="10"/>
  <c r="O1314" i="10"/>
  <c r="M1314" i="10"/>
  <c r="K1314" i="10"/>
  <c r="I1314" i="10"/>
  <c r="G1314" i="10"/>
  <c r="R1313" i="10"/>
  <c r="Q1313" i="10"/>
  <c r="O1313" i="10"/>
  <c r="M1313" i="10"/>
  <c r="K1313" i="10"/>
  <c r="I1313" i="10"/>
  <c r="G1313" i="10"/>
  <c r="R1312" i="10"/>
  <c r="Q1312" i="10"/>
  <c r="O1312" i="10"/>
  <c r="M1312" i="10"/>
  <c r="K1312" i="10"/>
  <c r="I1312" i="10"/>
  <c r="G1312" i="10"/>
  <c r="R1311" i="10"/>
  <c r="Q1311" i="10"/>
  <c r="O1311" i="10"/>
  <c r="M1311" i="10"/>
  <c r="K1311" i="10"/>
  <c r="I1311" i="10"/>
  <c r="G1311" i="10"/>
  <c r="R1310" i="10"/>
  <c r="Q1310" i="10"/>
  <c r="O1310" i="10"/>
  <c r="M1310" i="10"/>
  <c r="K1310" i="10"/>
  <c r="I1310" i="10"/>
  <c r="G1310" i="10"/>
  <c r="R1309" i="10"/>
  <c r="Q1309" i="10"/>
  <c r="O1309" i="10"/>
  <c r="M1309" i="10"/>
  <c r="K1309" i="10"/>
  <c r="I1309" i="10"/>
  <c r="G1309" i="10"/>
  <c r="R1308" i="10"/>
  <c r="Q1308" i="10"/>
  <c r="O1308" i="10"/>
  <c r="M1308" i="10"/>
  <c r="K1308" i="10"/>
  <c r="I1308" i="10"/>
  <c r="G1308" i="10"/>
  <c r="R1307" i="10"/>
  <c r="Q1307" i="10"/>
  <c r="O1307" i="10"/>
  <c r="M1307" i="10"/>
  <c r="K1307" i="10"/>
  <c r="I1307" i="10"/>
  <c r="G1307" i="10"/>
  <c r="R1306" i="10"/>
  <c r="Q1306" i="10"/>
  <c r="O1306" i="10"/>
  <c r="M1306" i="10"/>
  <c r="K1306" i="10"/>
  <c r="I1306" i="10"/>
  <c r="G1306" i="10"/>
  <c r="R1305" i="10"/>
  <c r="Q1305" i="10"/>
  <c r="O1305" i="10"/>
  <c r="M1305" i="10"/>
  <c r="K1305" i="10"/>
  <c r="I1305" i="10"/>
  <c r="G1305" i="10"/>
  <c r="R1304" i="10"/>
  <c r="Q1304" i="10"/>
  <c r="O1304" i="10"/>
  <c r="M1304" i="10"/>
  <c r="K1304" i="10"/>
  <c r="I1304" i="10"/>
  <c r="G1304" i="10"/>
  <c r="R1303" i="10"/>
  <c r="Q1303" i="10"/>
  <c r="O1303" i="10"/>
  <c r="M1303" i="10"/>
  <c r="K1303" i="10"/>
  <c r="I1303" i="10"/>
  <c r="G1303" i="10"/>
  <c r="R1302" i="10"/>
  <c r="Q1302" i="10"/>
  <c r="O1302" i="10"/>
  <c r="M1302" i="10"/>
  <c r="K1302" i="10"/>
  <c r="I1302" i="10"/>
  <c r="G1302" i="10"/>
  <c r="R1301" i="10"/>
  <c r="Q1301" i="10"/>
  <c r="O1301" i="10"/>
  <c r="M1301" i="10"/>
  <c r="K1301" i="10"/>
  <c r="I1301" i="10"/>
  <c r="G1301" i="10"/>
  <c r="R1300" i="10"/>
  <c r="Q1300" i="10"/>
  <c r="O1300" i="10"/>
  <c r="M1300" i="10"/>
  <c r="K1300" i="10"/>
  <c r="I1300" i="10"/>
  <c r="G1300" i="10"/>
  <c r="R1299" i="10"/>
  <c r="Q1299" i="10"/>
  <c r="O1299" i="10"/>
  <c r="M1299" i="10"/>
  <c r="K1299" i="10"/>
  <c r="I1299" i="10"/>
  <c r="G1299" i="10"/>
  <c r="R1298" i="10"/>
  <c r="Q1298" i="10"/>
  <c r="O1298" i="10"/>
  <c r="M1298" i="10"/>
  <c r="K1298" i="10"/>
  <c r="I1298" i="10"/>
  <c r="G1298" i="10"/>
  <c r="R1297" i="10"/>
  <c r="Q1297" i="10"/>
  <c r="O1297" i="10"/>
  <c r="M1297" i="10"/>
  <c r="K1297" i="10"/>
  <c r="I1297" i="10"/>
  <c r="G1297" i="10"/>
  <c r="R1296" i="10"/>
  <c r="Q1296" i="10"/>
  <c r="O1296" i="10"/>
  <c r="M1296" i="10"/>
  <c r="K1296" i="10"/>
  <c r="I1296" i="10"/>
  <c r="G1296" i="10"/>
  <c r="R1295" i="10"/>
  <c r="Q1295" i="10"/>
  <c r="O1295" i="10"/>
  <c r="M1295" i="10"/>
  <c r="K1295" i="10"/>
  <c r="I1295" i="10"/>
  <c r="G1295" i="10"/>
  <c r="R1294" i="10"/>
  <c r="Q1294" i="10"/>
  <c r="O1294" i="10"/>
  <c r="M1294" i="10"/>
  <c r="K1294" i="10"/>
  <c r="I1294" i="10"/>
  <c r="G1294" i="10"/>
  <c r="R1293" i="10"/>
  <c r="Q1293" i="10"/>
  <c r="O1293" i="10"/>
  <c r="M1293" i="10"/>
  <c r="K1293" i="10"/>
  <c r="I1293" i="10"/>
  <c r="G1293" i="10"/>
  <c r="R1292" i="10"/>
  <c r="Q1292" i="10"/>
  <c r="O1292" i="10"/>
  <c r="M1292" i="10"/>
  <c r="K1292" i="10"/>
  <c r="I1292" i="10"/>
  <c r="G1292" i="10"/>
  <c r="R1291" i="10"/>
  <c r="Q1291" i="10"/>
  <c r="O1291" i="10"/>
  <c r="M1291" i="10"/>
  <c r="K1291" i="10"/>
  <c r="I1291" i="10"/>
  <c r="G1291" i="10"/>
  <c r="R1290" i="10"/>
  <c r="Q1290" i="10"/>
  <c r="O1290" i="10"/>
  <c r="M1290" i="10"/>
  <c r="K1290" i="10"/>
  <c r="I1290" i="10"/>
  <c r="G1290" i="10"/>
  <c r="R1289" i="10"/>
  <c r="Q1289" i="10"/>
  <c r="O1289" i="10"/>
  <c r="M1289" i="10"/>
  <c r="K1289" i="10"/>
  <c r="I1289" i="10"/>
  <c r="G1289" i="10"/>
  <c r="R1288" i="10"/>
  <c r="Q1288" i="10"/>
  <c r="O1288" i="10"/>
  <c r="M1288" i="10"/>
  <c r="K1288" i="10"/>
  <c r="I1288" i="10"/>
  <c r="G1288" i="10"/>
  <c r="R1287" i="10"/>
  <c r="Q1287" i="10"/>
  <c r="O1287" i="10"/>
  <c r="M1287" i="10"/>
  <c r="K1287" i="10"/>
  <c r="I1287" i="10"/>
  <c r="G1287" i="10"/>
  <c r="R1286" i="10"/>
  <c r="Q1286" i="10"/>
  <c r="O1286" i="10"/>
  <c r="M1286" i="10"/>
  <c r="K1286" i="10"/>
  <c r="I1286" i="10"/>
  <c r="G1286" i="10"/>
  <c r="R1285" i="10"/>
  <c r="Q1285" i="10"/>
  <c r="O1285" i="10"/>
  <c r="M1285" i="10"/>
  <c r="K1285" i="10"/>
  <c r="I1285" i="10"/>
  <c r="G1285" i="10"/>
  <c r="R1284" i="10"/>
  <c r="Q1284" i="10"/>
  <c r="O1284" i="10"/>
  <c r="M1284" i="10"/>
  <c r="K1284" i="10"/>
  <c r="I1284" i="10"/>
  <c r="G1284" i="10"/>
  <c r="R1283" i="10"/>
  <c r="Q1283" i="10"/>
  <c r="O1283" i="10"/>
  <c r="M1283" i="10"/>
  <c r="K1283" i="10"/>
  <c r="I1283" i="10"/>
  <c r="G1283" i="10"/>
  <c r="R1282" i="10"/>
  <c r="Q1282" i="10"/>
  <c r="O1282" i="10"/>
  <c r="M1282" i="10"/>
  <c r="K1282" i="10"/>
  <c r="I1282" i="10"/>
  <c r="G1282" i="10"/>
  <c r="R1281" i="10"/>
  <c r="Q1281" i="10"/>
  <c r="O1281" i="10"/>
  <c r="M1281" i="10"/>
  <c r="K1281" i="10"/>
  <c r="I1281" i="10"/>
  <c r="G1281" i="10"/>
  <c r="R1280" i="10"/>
  <c r="Q1280" i="10"/>
  <c r="O1280" i="10"/>
  <c r="M1280" i="10"/>
  <c r="K1280" i="10"/>
  <c r="I1280" i="10"/>
  <c r="G1280" i="10"/>
  <c r="R1279" i="10"/>
  <c r="Q1279" i="10"/>
  <c r="O1279" i="10"/>
  <c r="M1279" i="10"/>
  <c r="K1279" i="10"/>
  <c r="I1279" i="10"/>
  <c r="G1279" i="10"/>
  <c r="R1278" i="10"/>
  <c r="Q1278" i="10"/>
  <c r="O1278" i="10"/>
  <c r="M1278" i="10"/>
  <c r="K1278" i="10"/>
  <c r="I1278" i="10"/>
  <c r="G1278" i="10"/>
  <c r="R1277" i="10"/>
  <c r="Q1277" i="10"/>
  <c r="O1277" i="10"/>
  <c r="M1277" i="10"/>
  <c r="K1277" i="10"/>
  <c r="I1277" i="10"/>
  <c r="G1277" i="10"/>
  <c r="R1276" i="10"/>
  <c r="Q1276" i="10"/>
  <c r="O1276" i="10"/>
  <c r="M1276" i="10"/>
  <c r="K1276" i="10"/>
  <c r="I1276" i="10"/>
  <c r="G1276" i="10"/>
  <c r="R1275" i="10"/>
  <c r="Q1275" i="10"/>
  <c r="O1275" i="10"/>
  <c r="M1275" i="10"/>
  <c r="K1275" i="10"/>
  <c r="I1275" i="10"/>
  <c r="G1275" i="10"/>
  <c r="R1274" i="10"/>
  <c r="Q1274" i="10"/>
  <c r="O1274" i="10"/>
  <c r="M1274" i="10"/>
  <c r="K1274" i="10"/>
  <c r="I1274" i="10"/>
  <c r="G1274" i="10"/>
  <c r="R1273" i="10"/>
  <c r="Q1273" i="10"/>
  <c r="O1273" i="10"/>
  <c r="M1273" i="10"/>
  <c r="K1273" i="10"/>
  <c r="I1273" i="10"/>
  <c r="G1273" i="10"/>
  <c r="R1272" i="10"/>
  <c r="Q1272" i="10"/>
  <c r="O1272" i="10"/>
  <c r="M1272" i="10"/>
  <c r="K1272" i="10"/>
  <c r="I1272" i="10"/>
  <c r="G1272" i="10"/>
  <c r="R1271" i="10"/>
  <c r="Q1271" i="10"/>
  <c r="O1271" i="10"/>
  <c r="M1271" i="10"/>
  <c r="K1271" i="10"/>
  <c r="I1271" i="10"/>
  <c r="G1271" i="10"/>
  <c r="R1270" i="10"/>
  <c r="Q1270" i="10"/>
  <c r="O1270" i="10"/>
  <c r="M1270" i="10"/>
  <c r="K1270" i="10"/>
  <c r="I1270" i="10"/>
  <c r="G1270" i="10"/>
  <c r="R1269" i="10"/>
  <c r="Q1269" i="10"/>
  <c r="O1269" i="10"/>
  <c r="M1269" i="10"/>
  <c r="K1269" i="10"/>
  <c r="I1269" i="10"/>
  <c r="G1269" i="10"/>
  <c r="R1268" i="10"/>
  <c r="Q1268" i="10"/>
  <c r="O1268" i="10"/>
  <c r="M1268" i="10"/>
  <c r="K1268" i="10"/>
  <c r="I1268" i="10"/>
  <c r="G1268" i="10"/>
  <c r="R1267" i="10"/>
  <c r="Q1267" i="10"/>
  <c r="O1267" i="10"/>
  <c r="M1267" i="10"/>
  <c r="K1267" i="10"/>
  <c r="I1267" i="10"/>
  <c r="G1267" i="10"/>
  <c r="R1266" i="10"/>
  <c r="Q1266" i="10"/>
  <c r="O1266" i="10"/>
  <c r="M1266" i="10"/>
  <c r="K1266" i="10"/>
  <c r="I1266" i="10"/>
  <c r="G1266" i="10"/>
  <c r="R1265" i="10"/>
  <c r="Q1265" i="10"/>
  <c r="O1265" i="10"/>
  <c r="M1265" i="10"/>
  <c r="K1265" i="10"/>
  <c r="I1265" i="10"/>
  <c r="G1265" i="10"/>
  <c r="R1264" i="10"/>
  <c r="Q1264" i="10"/>
  <c r="O1264" i="10"/>
  <c r="M1264" i="10"/>
  <c r="K1264" i="10"/>
  <c r="I1264" i="10"/>
  <c r="G1264" i="10"/>
  <c r="R1263" i="10"/>
  <c r="Q1263" i="10"/>
  <c r="O1263" i="10"/>
  <c r="M1263" i="10"/>
  <c r="K1263" i="10"/>
  <c r="I1263" i="10"/>
  <c r="G1263" i="10"/>
  <c r="R1262" i="10"/>
  <c r="Q1262" i="10"/>
  <c r="O1262" i="10"/>
  <c r="M1262" i="10"/>
  <c r="K1262" i="10"/>
  <c r="I1262" i="10"/>
  <c r="G1262" i="10"/>
  <c r="R1261" i="10"/>
  <c r="Q1261" i="10"/>
  <c r="O1261" i="10"/>
  <c r="M1261" i="10"/>
  <c r="K1261" i="10"/>
  <c r="I1261" i="10"/>
  <c r="G1261" i="10"/>
  <c r="R1260" i="10"/>
  <c r="Q1260" i="10"/>
  <c r="O1260" i="10"/>
  <c r="M1260" i="10"/>
  <c r="K1260" i="10"/>
  <c r="I1260" i="10"/>
  <c r="G1260" i="10"/>
  <c r="R1259" i="10"/>
  <c r="Q1259" i="10"/>
  <c r="O1259" i="10"/>
  <c r="M1259" i="10"/>
  <c r="K1259" i="10"/>
  <c r="I1259" i="10"/>
  <c r="G1259" i="10"/>
  <c r="R1258" i="10"/>
  <c r="Q1258" i="10"/>
  <c r="O1258" i="10"/>
  <c r="M1258" i="10"/>
  <c r="K1258" i="10"/>
  <c r="I1258" i="10"/>
  <c r="G1258" i="10"/>
  <c r="R1257" i="10"/>
  <c r="Q1257" i="10"/>
  <c r="O1257" i="10"/>
  <c r="M1257" i="10"/>
  <c r="K1257" i="10"/>
  <c r="I1257" i="10"/>
  <c r="G1257" i="10"/>
  <c r="R1256" i="10"/>
  <c r="Q1256" i="10"/>
  <c r="O1256" i="10"/>
  <c r="M1256" i="10"/>
  <c r="K1256" i="10"/>
  <c r="I1256" i="10"/>
  <c r="G1256" i="10"/>
  <c r="R1255" i="10"/>
  <c r="Q1255" i="10"/>
  <c r="O1255" i="10"/>
  <c r="M1255" i="10"/>
  <c r="K1255" i="10"/>
  <c r="I1255" i="10"/>
  <c r="G1255" i="10"/>
  <c r="R1254" i="10"/>
  <c r="Q1254" i="10"/>
  <c r="O1254" i="10"/>
  <c r="M1254" i="10"/>
  <c r="K1254" i="10"/>
  <c r="I1254" i="10"/>
  <c r="G1254" i="10"/>
  <c r="R1253" i="10"/>
  <c r="Q1253" i="10"/>
  <c r="O1253" i="10"/>
  <c r="M1253" i="10"/>
  <c r="K1253" i="10"/>
  <c r="I1253" i="10"/>
  <c r="G1253" i="10"/>
  <c r="R1252" i="10"/>
  <c r="Q1252" i="10"/>
  <c r="O1252" i="10"/>
  <c r="M1252" i="10"/>
  <c r="K1252" i="10"/>
  <c r="I1252" i="10"/>
  <c r="G1252" i="10"/>
  <c r="R1251" i="10"/>
  <c r="Q1251" i="10"/>
  <c r="O1251" i="10"/>
  <c r="M1251" i="10"/>
  <c r="K1251" i="10"/>
  <c r="I1251" i="10"/>
  <c r="G1251" i="10"/>
  <c r="R1250" i="10"/>
  <c r="Q1250" i="10"/>
  <c r="O1250" i="10"/>
  <c r="M1250" i="10"/>
  <c r="K1250" i="10"/>
  <c r="I1250" i="10"/>
  <c r="G1250" i="10"/>
  <c r="R1249" i="10"/>
  <c r="Q1249" i="10"/>
  <c r="O1249" i="10"/>
  <c r="M1249" i="10"/>
  <c r="K1249" i="10"/>
  <c r="I1249" i="10"/>
  <c r="G1249" i="10"/>
  <c r="R1248" i="10"/>
  <c r="Q1248" i="10"/>
  <c r="O1248" i="10"/>
  <c r="M1248" i="10"/>
  <c r="K1248" i="10"/>
  <c r="I1248" i="10"/>
  <c r="G1248" i="10"/>
  <c r="R1247" i="10"/>
  <c r="Q1247" i="10"/>
  <c r="O1247" i="10"/>
  <c r="M1247" i="10"/>
  <c r="K1247" i="10"/>
  <c r="I1247" i="10"/>
  <c r="G1247" i="10"/>
  <c r="R1246" i="10"/>
  <c r="Q1246" i="10"/>
  <c r="O1246" i="10"/>
  <c r="M1246" i="10"/>
  <c r="K1246" i="10"/>
  <c r="I1246" i="10"/>
  <c r="G1246" i="10"/>
  <c r="R1245" i="10"/>
  <c r="Q1245" i="10"/>
  <c r="O1245" i="10"/>
  <c r="M1245" i="10"/>
  <c r="K1245" i="10"/>
  <c r="I1245" i="10"/>
  <c r="G1245" i="10"/>
  <c r="R1244" i="10"/>
  <c r="Q1244" i="10"/>
  <c r="O1244" i="10"/>
  <c r="M1244" i="10"/>
  <c r="K1244" i="10"/>
  <c r="I1244" i="10"/>
  <c r="G1244" i="10"/>
  <c r="R1243" i="10"/>
  <c r="Q1243" i="10"/>
  <c r="O1243" i="10"/>
  <c r="M1243" i="10"/>
  <c r="K1243" i="10"/>
  <c r="I1243" i="10"/>
  <c r="G1243" i="10"/>
  <c r="R1242" i="10"/>
  <c r="Q1242" i="10"/>
  <c r="O1242" i="10"/>
  <c r="M1242" i="10"/>
  <c r="K1242" i="10"/>
  <c r="I1242" i="10"/>
  <c r="G1242" i="10"/>
  <c r="R1241" i="10"/>
  <c r="Q1241" i="10"/>
  <c r="O1241" i="10"/>
  <c r="M1241" i="10"/>
  <c r="K1241" i="10"/>
  <c r="I1241" i="10"/>
  <c r="G1241" i="10"/>
  <c r="R1240" i="10"/>
  <c r="Q1240" i="10"/>
  <c r="O1240" i="10"/>
  <c r="M1240" i="10"/>
  <c r="K1240" i="10"/>
  <c r="I1240" i="10"/>
  <c r="G1240" i="10"/>
  <c r="R1239" i="10"/>
  <c r="Q1239" i="10"/>
  <c r="O1239" i="10"/>
  <c r="M1239" i="10"/>
  <c r="K1239" i="10"/>
  <c r="I1239" i="10"/>
  <c r="G1239" i="10"/>
  <c r="R1238" i="10"/>
  <c r="Q1238" i="10"/>
  <c r="O1238" i="10"/>
  <c r="M1238" i="10"/>
  <c r="K1238" i="10"/>
  <c r="I1238" i="10"/>
  <c r="G1238" i="10"/>
  <c r="R1237" i="10"/>
  <c r="Q1237" i="10"/>
  <c r="O1237" i="10"/>
  <c r="M1237" i="10"/>
  <c r="K1237" i="10"/>
  <c r="I1237" i="10"/>
  <c r="G1237" i="10"/>
  <c r="R1236" i="10"/>
  <c r="Q1236" i="10"/>
  <c r="O1236" i="10"/>
  <c r="M1236" i="10"/>
  <c r="K1236" i="10"/>
  <c r="I1236" i="10"/>
  <c r="G1236" i="10"/>
  <c r="R1235" i="10"/>
  <c r="Q1235" i="10"/>
  <c r="O1235" i="10"/>
  <c r="M1235" i="10"/>
  <c r="K1235" i="10"/>
  <c r="I1235" i="10"/>
  <c r="G1235" i="10"/>
  <c r="R1234" i="10"/>
  <c r="Q1234" i="10"/>
  <c r="O1234" i="10"/>
  <c r="M1234" i="10"/>
  <c r="K1234" i="10"/>
  <c r="I1234" i="10"/>
  <c r="G1234" i="10"/>
  <c r="R1233" i="10"/>
  <c r="Q1233" i="10"/>
  <c r="O1233" i="10"/>
  <c r="M1233" i="10"/>
  <c r="K1233" i="10"/>
  <c r="I1233" i="10"/>
  <c r="G1233" i="10"/>
  <c r="R1232" i="10"/>
  <c r="Q1232" i="10"/>
  <c r="O1232" i="10"/>
  <c r="M1232" i="10"/>
  <c r="K1232" i="10"/>
  <c r="I1232" i="10"/>
  <c r="G1232" i="10"/>
  <c r="R1231" i="10"/>
  <c r="Q1231" i="10"/>
  <c r="O1231" i="10"/>
  <c r="M1231" i="10"/>
  <c r="K1231" i="10"/>
  <c r="I1231" i="10"/>
  <c r="G1231" i="10"/>
  <c r="R1230" i="10"/>
  <c r="Q1230" i="10"/>
  <c r="O1230" i="10"/>
  <c r="M1230" i="10"/>
  <c r="K1230" i="10"/>
  <c r="I1230" i="10"/>
  <c r="G1230" i="10"/>
  <c r="R1229" i="10"/>
  <c r="Q1229" i="10"/>
  <c r="O1229" i="10"/>
  <c r="M1229" i="10"/>
  <c r="K1229" i="10"/>
  <c r="I1229" i="10"/>
  <c r="G1229" i="10"/>
  <c r="R1228" i="10"/>
  <c r="Q1228" i="10"/>
  <c r="O1228" i="10"/>
  <c r="M1228" i="10"/>
  <c r="K1228" i="10"/>
  <c r="I1228" i="10"/>
  <c r="G1228" i="10"/>
  <c r="R1227" i="10"/>
  <c r="Q1227" i="10"/>
  <c r="O1227" i="10"/>
  <c r="M1227" i="10"/>
  <c r="K1227" i="10"/>
  <c r="I1227" i="10"/>
  <c r="G1227" i="10"/>
  <c r="R1226" i="10"/>
  <c r="Q1226" i="10"/>
  <c r="O1226" i="10"/>
  <c r="M1226" i="10"/>
  <c r="K1226" i="10"/>
  <c r="I1226" i="10"/>
  <c r="G1226" i="10"/>
  <c r="R1225" i="10"/>
  <c r="Q1225" i="10"/>
  <c r="O1225" i="10"/>
  <c r="M1225" i="10"/>
  <c r="K1225" i="10"/>
  <c r="I1225" i="10"/>
  <c r="G1225" i="10"/>
  <c r="R1224" i="10"/>
  <c r="Q1224" i="10"/>
  <c r="O1224" i="10"/>
  <c r="M1224" i="10"/>
  <c r="K1224" i="10"/>
  <c r="I1224" i="10"/>
  <c r="G1224" i="10"/>
  <c r="R1223" i="10"/>
  <c r="Q1223" i="10"/>
  <c r="O1223" i="10"/>
  <c r="M1223" i="10"/>
  <c r="K1223" i="10"/>
  <c r="I1223" i="10"/>
  <c r="G1223" i="10"/>
  <c r="R1222" i="10"/>
  <c r="Q1222" i="10"/>
  <c r="O1222" i="10"/>
  <c r="M1222" i="10"/>
  <c r="K1222" i="10"/>
  <c r="I1222" i="10"/>
  <c r="G1222" i="10"/>
  <c r="R1221" i="10"/>
  <c r="Q1221" i="10"/>
  <c r="O1221" i="10"/>
  <c r="M1221" i="10"/>
  <c r="K1221" i="10"/>
  <c r="I1221" i="10"/>
  <c r="G1221" i="10"/>
  <c r="R1220" i="10"/>
  <c r="Q1220" i="10"/>
  <c r="O1220" i="10"/>
  <c r="M1220" i="10"/>
  <c r="K1220" i="10"/>
  <c r="I1220" i="10"/>
  <c r="G1220" i="10"/>
  <c r="R1219" i="10"/>
  <c r="Q1219" i="10"/>
  <c r="O1219" i="10"/>
  <c r="M1219" i="10"/>
  <c r="K1219" i="10"/>
  <c r="I1219" i="10"/>
  <c r="G1219" i="10"/>
  <c r="R1218" i="10"/>
  <c r="Q1218" i="10"/>
  <c r="O1218" i="10"/>
  <c r="M1218" i="10"/>
  <c r="K1218" i="10"/>
  <c r="I1218" i="10"/>
  <c r="G1218" i="10"/>
  <c r="R1217" i="10"/>
  <c r="Q1217" i="10"/>
  <c r="O1217" i="10"/>
  <c r="M1217" i="10"/>
  <c r="K1217" i="10"/>
  <c r="I1217" i="10"/>
  <c r="G1217" i="10"/>
  <c r="R1216" i="10"/>
  <c r="Q1216" i="10"/>
  <c r="O1216" i="10"/>
  <c r="M1216" i="10"/>
  <c r="K1216" i="10"/>
  <c r="I1216" i="10"/>
  <c r="G1216" i="10"/>
  <c r="R1215" i="10"/>
  <c r="Q1215" i="10"/>
  <c r="O1215" i="10"/>
  <c r="M1215" i="10"/>
  <c r="K1215" i="10"/>
  <c r="I1215" i="10"/>
  <c r="G1215" i="10"/>
  <c r="R1214" i="10"/>
  <c r="Q1214" i="10"/>
  <c r="O1214" i="10"/>
  <c r="M1214" i="10"/>
  <c r="K1214" i="10"/>
  <c r="I1214" i="10"/>
  <c r="G1214" i="10"/>
  <c r="R1213" i="10"/>
  <c r="Q1213" i="10"/>
  <c r="O1213" i="10"/>
  <c r="M1213" i="10"/>
  <c r="K1213" i="10"/>
  <c r="I1213" i="10"/>
  <c r="G1213" i="10"/>
  <c r="R1212" i="10"/>
  <c r="Q1212" i="10"/>
  <c r="O1212" i="10"/>
  <c r="M1212" i="10"/>
  <c r="K1212" i="10"/>
  <c r="I1212" i="10"/>
  <c r="G1212" i="10"/>
  <c r="R1211" i="10"/>
  <c r="Q1211" i="10"/>
  <c r="O1211" i="10"/>
  <c r="M1211" i="10"/>
  <c r="K1211" i="10"/>
  <c r="I1211" i="10"/>
  <c r="G1211" i="10"/>
  <c r="R1210" i="10"/>
  <c r="Q1210" i="10"/>
  <c r="O1210" i="10"/>
  <c r="M1210" i="10"/>
  <c r="K1210" i="10"/>
  <c r="I1210" i="10"/>
  <c r="G1210" i="10"/>
  <c r="R1209" i="10"/>
  <c r="Q1209" i="10"/>
  <c r="O1209" i="10"/>
  <c r="M1209" i="10"/>
  <c r="K1209" i="10"/>
  <c r="I1209" i="10"/>
  <c r="G1209" i="10"/>
  <c r="R1208" i="10"/>
  <c r="Q1208" i="10"/>
  <c r="O1208" i="10"/>
  <c r="M1208" i="10"/>
  <c r="K1208" i="10"/>
  <c r="I1208" i="10"/>
  <c r="G1208" i="10"/>
  <c r="R1207" i="10"/>
  <c r="Q1207" i="10"/>
  <c r="O1207" i="10"/>
  <c r="M1207" i="10"/>
  <c r="K1207" i="10"/>
  <c r="I1207" i="10"/>
  <c r="G1207" i="10"/>
  <c r="R1206" i="10"/>
  <c r="Q1206" i="10"/>
  <c r="O1206" i="10"/>
  <c r="M1206" i="10"/>
  <c r="K1206" i="10"/>
  <c r="I1206" i="10"/>
  <c r="G1206" i="10"/>
  <c r="R1205" i="10"/>
  <c r="Q1205" i="10"/>
  <c r="O1205" i="10"/>
  <c r="M1205" i="10"/>
  <c r="K1205" i="10"/>
  <c r="I1205" i="10"/>
  <c r="G1205" i="10"/>
  <c r="R1204" i="10"/>
  <c r="Q1204" i="10"/>
  <c r="O1204" i="10"/>
  <c r="M1204" i="10"/>
  <c r="K1204" i="10"/>
  <c r="I1204" i="10"/>
  <c r="G1204" i="10"/>
  <c r="R1203" i="10"/>
  <c r="Q1203" i="10"/>
  <c r="O1203" i="10"/>
  <c r="M1203" i="10"/>
  <c r="K1203" i="10"/>
  <c r="I1203" i="10"/>
  <c r="G1203" i="10"/>
  <c r="R1202" i="10"/>
  <c r="Q1202" i="10"/>
  <c r="O1202" i="10"/>
  <c r="M1202" i="10"/>
  <c r="K1202" i="10"/>
  <c r="I1202" i="10"/>
  <c r="G1202" i="10"/>
  <c r="R1201" i="10"/>
  <c r="Q1201" i="10"/>
  <c r="O1201" i="10"/>
  <c r="M1201" i="10"/>
  <c r="K1201" i="10"/>
  <c r="I1201" i="10"/>
  <c r="G1201" i="10"/>
  <c r="R1200" i="10"/>
  <c r="Q1200" i="10"/>
  <c r="O1200" i="10"/>
  <c r="M1200" i="10"/>
  <c r="K1200" i="10"/>
  <c r="I1200" i="10"/>
  <c r="G1200" i="10"/>
  <c r="R1199" i="10"/>
  <c r="Q1199" i="10"/>
  <c r="O1199" i="10"/>
  <c r="M1199" i="10"/>
  <c r="K1199" i="10"/>
  <c r="I1199" i="10"/>
  <c r="G1199" i="10"/>
  <c r="R1198" i="10"/>
  <c r="Q1198" i="10"/>
  <c r="O1198" i="10"/>
  <c r="M1198" i="10"/>
  <c r="K1198" i="10"/>
  <c r="I1198" i="10"/>
  <c r="G1198" i="10"/>
  <c r="R1197" i="10"/>
  <c r="Q1197" i="10"/>
  <c r="O1197" i="10"/>
  <c r="M1197" i="10"/>
  <c r="K1197" i="10"/>
  <c r="I1197" i="10"/>
  <c r="G1197" i="10"/>
  <c r="R1196" i="10"/>
  <c r="Q1196" i="10"/>
  <c r="O1196" i="10"/>
  <c r="M1196" i="10"/>
  <c r="K1196" i="10"/>
  <c r="I1196" i="10"/>
  <c r="G1196" i="10"/>
  <c r="R1195" i="10"/>
  <c r="Q1195" i="10"/>
  <c r="O1195" i="10"/>
  <c r="M1195" i="10"/>
  <c r="K1195" i="10"/>
  <c r="I1195" i="10"/>
  <c r="G1195" i="10"/>
  <c r="R1194" i="10"/>
  <c r="Q1194" i="10"/>
  <c r="O1194" i="10"/>
  <c r="M1194" i="10"/>
  <c r="K1194" i="10"/>
  <c r="I1194" i="10"/>
  <c r="G1194" i="10"/>
  <c r="R1193" i="10"/>
  <c r="Q1193" i="10"/>
  <c r="O1193" i="10"/>
  <c r="M1193" i="10"/>
  <c r="K1193" i="10"/>
  <c r="I1193" i="10"/>
  <c r="G1193" i="10"/>
  <c r="R1192" i="10"/>
  <c r="Q1192" i="10"/>
  <c r="O1192" i="10"/>
  <c r="M1192" i="10"/>
  <c r="K1192" i="10"/>
  <c r="I1192" i="10"/>
  <c r="G1192" i="10"/>
  <c r="R1191" i="10"/>
  <c r="Q1191" i="10"/>
  <c r="O1191" i="10"/>
  <c r="M1191" i="10"/>
  <c r="K1191" i="10"/>
  <c r="I1191" i="10"/>
  <c r="G1191" i="10"/>
  <c r="R1190" i="10"/>
  <c r="Q1190" i="10"/>
  <c r="O1190" i="10"/>
  <c r="M1190" i="10"/>
  <c r="K1190" i="10"/>
  <c r="I1190" i="10"/>
  <c r="G1190" i="10"/>
  <c r="R1189" i="10"/>
  <c r="Q1189" i="10"/>
  <c r="O1189" i="10"/>
  <c r="M1189" i="10"/>
  <c r="K1189" i="10"/>
  <c r="I1189" i="10"/>
  <c r="G1189" i="10"/>
  <c r="R1188" i="10"/>
  <c r="Q1188" i="10"/>
  <c r="O1188" i="10"/>
  <c r="M1188" i="10"/>
  <c r="K1188" i="10"/>
  <c r="I1188" i="10"/>
  <c r="G1188" i="10"/>
  <c r="R1187" i="10"/>
  <c r="Q1187" i="10"/>
  <c r="O1187" i="10"/>
  <c r="M1187" i="10"/>
  <c r="K1187" i="10"/>
  <c r="I1187" i="10"/>
  <c r="G1187" i="10"/>
  <c r="R1186" i="10"/>
  <c r="Q1186" i="10"/>
  <c r="O1186" i="10"/>
  <c r="M1186" i="10"/>
  <c r="K1186" i="10"/>
  <c r="I1186" i="10"/>
  <c r="G1186" i="10"/>
  <c r="R1185" i="10"/>
  <c r="Q1185" i="10"/>
  <c r="O1185" i="10"/>
  <c r="M1185" i="10"/>
  <c r="K1185" i="10"/>
  <c r="I1185" i="10"/>
  <c r="G1185" i="10"/>
  <c r="R1184" i="10"/>
  <c r="Q1184" i="10"/>
  <c r="O1184" i="10"/>
  <c r="M1184" i="10"/>
  <c r="K1184" i="10"/>
  <c r="I1184" i="10"/>
  <c r="G1184" i="10"/>
  <c r="R1183" i="10"/>
  <c r="Q1183" i="10"/>
  <c r="O1183" i="10"/>
  <c r="M1183" i="10"/>
  <c r="K1183" i="10"/>
  <c r="I1183" i="10"/>
  <c r="G1183" i="10"/>
  <c r="R1182" i="10"/>
  <c r="Q1182" i="10"/>
  <c r="O1182" i="10"/>
  <c r="M1182" i="10"/>
  <c r="K1182" i="10"/>
  <c r="I1182" i="10"/>
  <c r="G1182" i="10"/>
  <c r="R1181" i="10"/>
  <c r="Q1181" i="10"/>
  <c r="O1181" i="10"/>
  <c r="M1181" i="10"/>
  <c r="K1181" i="10"/>
  <c r="I1181" i="10"/>
  <c r="G1181" i="10"/>
  <c r="R1180" i="10"/>
  <c r="Q1180" i="10"/>
  <c r="O1180" i="10"/>
  <c r="M1180" i="10"/>
  <c r="K1180" i="10"/>
  <c r="I1180" i="10"/>
  <c r="G1180" i="10"/>
  <c r="R1179" i="10"/>
  <c r="Q1179" i="10"/>
  <c r="O1179" i="10"/>
  <c r="M1179" i="10"/>
  <c r="K1179" i="10"/>
  <c r="I1179" i="10"/>
  <c r="G1179" i="10"/>
  <c r="R1178" i="10"/>
  <c r="Q1178" i="10"/>
  <c r="O1178" i="10"/>
  <c r="M1178" i="10"/>
  <c r="K1178" i="10"/>
  <c r="I1178" i="10"/>
  <c r="G1178" i="10"/>
  <c r="R1177" i="10"/>
  <c r="Q1177" i="10"/>
  <c r="O1177" i="10"/>
  <c r="M1177" i="10"/>
  <c r="K1177" i="10"/>
  <c r="I1177" i="10"/>
  <c r="G1177" i="10"/>
  <c r="R1176" i="10"/>
  <c r="Q1176" i="10"/>
  <c r="O1176" i="10"/>
  <c r="M1176" i="10"/>
  <c r="K1176" i="10"/>
  <c r="I1176" i="10"/>
  <c r="G1176" i="10"/>
  <c r="R1175" i="10"/>
  <c r="Q1175" i="10"/>
  <c r="O1175" i="10"/>
  <c r="M1175" i="10"/>
  <c r="K1175" i="10"/>
  <c r="I1175" i="10"/>
  <c r="G1175" i="10"/>
  <c r="R1174" i="10"/>
  <c r="Q1174" i="10"/>
  <c r="O1174" i="10"/>
  <c r="M1174" i="10"/>
  <c r="K1174" i="10"/>
  <c r="I1174" i="10"/>
  <c r="G1174" i="10"/>
  <c r="R1173" i="10"/>
  <c r="Q1173" i="10"/>
  <c r="O1173" i="10"/>
  <c r="M1173" i="10"/>
  <c r="K1173" i="10"/>
  <c r="I1173" i="10"/>
  <c r="G1173" i="10"/>
  <c r="R1172" i="10"/>
  <c r="Q1172" i="10"/>
  <c r="O1172" i="10"/>
  <c r="M1172" i="10"/>
  <c r="K1172" i="10"/>
  <c r="I1172" i="10"/>
  <c r="G1172" i="10"/>
  <c r="R1171" i="10"/>
  <c r="Q1171" i="10"/>
  <c r="O1171" i="10"/>
  <c r="M1171" i="10"/>
  <c r="K1171" i="10"/>
  <c r="I1171" i="10"/>
  <c r="G1171" i="10"/>
  <c r="R1170" i="10"/>
  <c r="Q1170" i="10"/>
  <c r="O1170" i="10"/>
  <c r="M1170" i="10"/>
  <c r="K1170" i="10"/>
  <c r="I1170" i="10"/>
  <c r="G1170" i="10"/>
  <c r="R1169" i="10"/>
  <c r="Q1169" i="10"/>
  <c r="O1169" i="10"/>
  <c r="M1169" i="10"/>
  <c r="K1169" i="10"/>
  <c r="I1169" i="10"/>
  <c r="G1169" i="10"/>
  <c r="R1168" i="10"/>
  <c r="Q1168" i="10"/>
  <c r="O1168" i="10"/>
  <c r="M1168" i="10"/>
  <c r="K1168" i="10"/>
  <c r="I1168" i="10"/>
  <c r="G1168" i="10"/>
  <c r="R1167" i="10"/>
  <c r="Q1167" i="10"/>
  <c r="O1167" i="10"/>
  <c r="M1167" i="10"/>
  <c r="K1167" i="10"/>
  <c r="I1167" i="10"/>
  <c r="G1167" i="10"/>
  <c r="R1166" i="10"/>
  <c r="Q1166" i="10"/>
  <c r="O1166" i="10"/>
  <c r="M1166" i="10"/>
  <c r="K1166" i="10"/>
  <c r="I1166" i="10"/>
  <c r="G1166" i="10"/>
  <c r="R1165" i="10"/>
  <c r="Q1165" i="10"/>
  <c r="O1165" i="10"/>
  <c r="M1165" i="10"/>
  <c r="K1165" i="10"/>
  <c r="I1165" i="10"/>
  <c r="G1165" i="10"/>
  <c r="R1164" i="10"/>
  <c r="Q1164" i="10"/>
  <c r="O1164" i="10"/>
  <c r="M1164" i="10"/>
  <c r="K1164" i="10"/>
  <c r="I1164" i="10"/>
  <c r="G1164" i="10"/>
  <c r="R1163" i="10"/>
  <c r="Q1163" i="10"/>
  <c r="O1163" i="10"/>
  <c r="M1163" i="10"/>
  <c r="K1163" i="10"/>
  <c r="I1163" i="10"/>
  <c r="G1163" i="10"/>
  <c r="R1162" i="10"/>
  <c r="Q1162" i="10"/>
  <c r="O1162" i="10"/>
  <c r="M1162" i="10"/>
  <c r="K1162" i="10"/>
  <c r="I1162" i="10"/>
  <c r="G1162" i="10"/>
  <c r="R1161" i="10"/>
  <c r="Q1161" i="10"/>
  <c r="O1161" i="10"/>
  <c r="M1161" i="10"/>
  <c r="K1161" i="10"/>
  <c r="I1161" i="10"/>
  <c r="G1161" i="10"/>
  <c r="R1160" i="10"/>
  <c r="Q1160" i="10"/>
  <c r="O1160" i="10"/>
  <c r="M1160" i="10"/>
  <c r="K1160" i="10"/>
  <c r="I1160" i="10"/>
  <c r="G1160" i="10"/>
  <c r="R1159" i="10"/>
  <c r="Q1159" i="10"/>
  <c r="O1159" i="10"/>
  <c r="M1159" i="10"/>
  <c r="K1159" i="10"/>
  <c r="I1159" i="10"/>
  <c r="G1159" i="10"/>
  <c r="R1158" i="10"/>
  <c r="Q1158" i="10"/>
  <c r="O1158" i="10"/>
  <c r="M1158" i="10"/>
  <c r="K1158" i="10"/>
  <c r="I1158" i="10"/>
  <c r="G1158" i="10"/>
  <c r="R1157" i="10"/>
  <c r="Q1157" i="10"/>
  <c r="O1157" i="10"/>
  <c r="M1157" i="10"/>
  <c r="K1157" i="10"/>
  <c r="I1157" i="10"/>
  <c r="G1157" i="10"/>
  <c r="R1156" i="10"/>
  <c r="Q1156" i="10"/>
  <c r="O1156" i="10"/>
  <c r="M1156" i="10"/>
  <c r="K1156" i="10"/>
  <c r="I1156" i="10"/>
  <c r="G1156" i="10"/>
  <c r="R1155" i="10"/>
  <c r="Q1155" i="10"/>
  <c r="O1155" i="10"/>
  <c r="M1155" i="10"/>
  <c r="K1155" i="10"/>
  <c r="I1155" i="10"/>
  <c r="G1155" i="10"/>
  <c r="R1154" i="10"/>
  <c r="Q1154" i="10"/>
  <c r="O1154" i="10"/>
  <c r="M1154" i="10"/>
  <c r="K1154" i="10"/>
  <c r="I1154" i="10"/>
  <c r="G1154" i="10"/>
  <c r="R1153" i="10"/>
  <c r="Q1153" i="10"/>
  <c r="O1153" i="10"/>
  <c r="M1153" i="10"/>
  <c r="K1153" i="10"/>
  <c r="I1153" i="10"/>
  <c r="G1153" i="10"/>
  <c r="R1152" i="10"/>
  <c r="Q1152" i="10"/>
  <c r="O1152" i="10"/>
  <c r="M1152" i="10"/>
  <c r="K1152" i="10"/>
  <c r="I1152" i="10"/>
  <c r="G1152" i="10"/>
  <c r="R1151" i="10"/>
  <c r="Q1151" i="10"/>
  <c r="O1151" i="10"/>
  <c r="M1151" i="10"/>
  <c r="K1151" i="10"/>
  <c r="I1151" i="10"/>
  <c r="G1151" i="10"/>
  <c r="R1150" i="10"/>
  <c r="Q1150" i="10"/>
  <c r="O1150" i="10"/>
  <c r="M1150" i="10"/>
  <c r="K1150" i="10"/>
  <c r="I1150" i="10"/>
  <c r="G1150" i="10"/>
  <c r="R1149" i="10"/>
  <c r="Q1149" i="10"/>
  <c r="O1149" i="10"/>
  <c r="M1149" i="10"/>
  <c r="K1149" i="10"/>
  <c r="I1149" i="10"/>
  <c r="G1149" i="10"/>
  <c r="R1148" i="10"/>
  <c r="Q1148" i="10"/>
  <c r="O1148" i="10"/>
  <c r="M1148" i="10"/>
  <c r="K1148" i="10"/>
  <c r="I1148" i="10"/>
  <c r="G1148" i="10"/>
  <c r="R1147" i="10"/>
  <c r="Q1147" i="10"/>
  <c r="O1147" i="10"/>
  <c r="M1147" i="10"/>
  <c r="K1147" i="10"/>
  <c r="I1147" i="10"/>
  <c r="G1147" i="10"/>
  <c r="R1146" i="10"/>
  <c r="Q1146" i="10"/>
  <c r="O1146" i="10"/>
  <c r="M1146" i="10"/>
  <c r="K1146" i="10"/>
  <c r="I1146" i="10"/>
  <c r="G1146" i="10"/>
  <c r="R1145" i="10"/>
  <c r="Q1145" i="10"/>
  <c r="O1145" i="10"/>
  <c r="M1145" i="10"/>
  <c r="K1145" i="10"/>
  <c r="I1145" i="10"/>
  <c r="G1145" i="10"/>
  <c r="R1144" i="10"/>
  <c r="Q1144" i="10"/>
  <c r="O1144" i="10"/>
  <c r="M1144" i="10"/>
  <c r="K1144" i="10"/>
  <c r="I1144" i="10"/>
  <c r="G1144" i="10"/>
  <c r="R1143" i="10"/>
  <c r="Q1143" i="10"/>
  <c r="O1143" i="10"/>
  <c r="M1143" i="10"/>
  <c r="K1143" i="10"/>
  <c r="I1143" i="10"/>
  <c r="G1143" i="10"/>
  <c r="R1142" i="10"/>
  <c r="Q1142" i="10"/>
  <c r="O1142" i="10"/>
  <c r="M1142" i="10"/>
  <c r="K1142" i="10"/>
  <c r="I1142" i="10"/>
  <c r="G1142" i="10"/>
  <c r="R1141" i="10"/>
  <c r="Q1141" i="10"/>
  <c r="O1141" i="10"/>
  <c r="M1141" i="10"/>
  <c r="K1141" i="10"/>
  <c r="I1141" i="10"/>
  <c r="G1141" i="10"/>
  <c r="R1140" i="10"/>
  <c r="Q1140" i="10"/>
  <c r="O1140" i="10"/>
  <c r="M1140" i="10"/>
  <c r="K1140" i="10"/>
  <c r="I1140" i="10"/>
  <c r="G1140" i="10"/>
  <c r="R1139" i="10"/>
  <c r="Q1139" i="10"/>
  <c r="O1139" i="10"/>
  <c r="M1139" i="10"/>
  <c r="K1139" i="10"/>
  <c r="I1139" i="10"/>
  <c r="G1139" i="10"/>
  <c r="R1138" i="10"/>
  <c r="Q1138" i="10"/>
  <c r="O1138" i="10"/>
  <c r="M1138" i="10"/>
  <c r="K1138" i="10"/>
  <c r="I1138" i="10"/>
  <c r="G1138" i="10"/>
  <c r="R1137" i="10"/>
  <c r="Q1137" i="10"/>
  <c r="O1137" i="10"/>
  <c r="M1137" i="10"/>
  <c r="K1137" i="10"/>
  <c r="I1137" i="10"/>
  <c r="G1137" i="10"/>
  <c r="R1136" i="10"/>
  <c r="Q1136" i="10"/>
  <c r="O1136" i="10"/>
  <c r="M1136" i="10"/>
  <c r="K1136" i="10"/>
  <c r="I1136" i="10"/>
  <c r="G1136" i="10"/>
  <c r="R1135" i="10"/>
  <c r="Q1135" i="10"/>
  <c r="O1135" i="10"/>
  <c r="M1135" i="10"/>
  <c r="K1135" i="10"/>
  <c r="I1135" i="10"/>
  <c r="G1135" i="10"/>
  <c r="R1134" i="10"/>
  <c r="Q1134" i="10"/>
  <c r="O1134" i="10"/>
  <c r="M1134" i="10"/>
  <c r="K1134" i="10"/>
  <c r="I1134" i="10"/>
  <c r="G1134" i="10"/>
  <c r="R1133" i="10"/>
  <c r="Q1133" i="10"/>
  <c r="O1133" i="10"/>
  <c r="M1133" i="10"/>
  <c r="K1133" i="10"/>
  <c r="I1133" i="10"/>
  <c r="G1133" i="10"/>
  <c r="R1132" i="10"/>
  <c r="Q1132" i="10"/>
  <c r="O1132" i="10"/>
  <c r="M1132" i="10"/>
  <c r="K1132" i="10"/>
  <c r="I1132" i="10"/>
  <c r="G1132" i="10"/>
  <c r="R1131" i="10"/>
  <c r="Q1131" i="10"/>
  <c r="O1131" i="10"/>
  <c r="M1131" i="10"/>
  <c r="K1131" i="10"/>
  <c r="I1131" i="10"/>
  <c r="G1131" i="10"/>
  <c r="R1130" i="10"/>
  <c r="Q1130" i="10"/>
  <c r="O1130" i="10"/>
  <c r="M1130" i="10"/>
  <c r="K1130" i="10"/>
  <c r="I1130" i="10"/>
  <c r="G1130" i="10"/>
  <c r="R1129" i="10"/>
  <c r="Q1129" i="10"/>
  <c r="O1129" i="10"/>
  <c r="M1129" i="10"/>
  <c r="K1129" i="10"/>
  <c r="I1129" i="10"/>
  <c r="G1129" i="10"/>
  <c r="R1128" i="10"/>
  <c r="Q1128" i="10"/>
  <c r="O1128" i="10"/>
  <c r="M1128" i="10"/>
  <c r="K1128" i="10"/>
  <c r="I1128" i="10"/>
  <c r="G1128" i="10"/>
  <c r="R1127" i="10"/>
  <c r="Q1127" i="10"/>
  <c r="O1127" i="10"/>
  <c r="M1127" i="10"/>
  <c r="K1127" i="10"/>
  <c r="I1127" i="10"/>
  <c r="G1127" i="10"/>
  <c r="R1126" i="10"/>
  <c r="Q1126" i="10"/>
  <c r="O1126" i="10"/>
  <c r="M1126" i="10"/>
  <c r="K1126" i="10"/>
  <c r="I1126" i="10"/>
  <c r="G1126" i="10"/>
  <c r="R1125" i="10"/>
  <c r="Q1125" i="10"/>
  <c r="O1125" i="10"/>
  <c r="M1125" i="10"/>
  <c r="K1125" i="10"/>
  <c r="I1125" i="10"/>
  <c r="G1125" i="10"/>
  <c r="R1124" i="10"/>
  <c r="Q1124" i="10"/>
  <c r="O1124" i="10"/>
  <c r="M1124" i="10"/>
  <c r="K1124" i="10"/>
  <c r="I1124" i="10"/>
  <c r="G1124" i="10"/>
  <c r="R1123" i="10"/>
  <c r="Q1123" i="10"/>
  <c r="O1123" i="10"/>
  <c r="M1123" i="10"/>
  <c r="K1123" i="10"/>
  <c r="I1123" i="10"/>
  <c r="G1123" i="10"/>
  <c r="R1122" i="10"/>
  <c r="Q1122" i="10"/>
  <c r="O1122" i="10"/>
  <c r="M1122" i="10"/>
  <c r="K1122" i="10"/>
  <c r="I1122" i="10"/>
  <c r="G1122" i="10"/>
  <c r="R1121" i="10"/>
  <c r="Q1121" i="10"/>
  <c r="O1121" i="10"/>
  <c r="M1121" i="10"/>
  <c r="K1121" i="10"/>
  <c r="I1121" i="10"/>
  <c r="G1121" i="10"/>
  <c r="R1120" i="10"/>
  <c r="Q1120" i="10"/>
  <c r="O1120" i="10"/>
  <c r="M1120" i="10"/>
  <c r="K1120" i="10"/>
  <c r="I1120" i="10"/>
  <c r="G1120" i="10"/>
  <c r="R1119" i="10"/>
  <c r="Q1119" i="10"/>
  <c r="O1119" i="10"/>
  <c r="M1119" i="10"/>
  <c r="K1119" i="10"/>
  <c r="I1119" i="10"/>
  <c r="G1119" i="10"/>
  <c r="R1118" i="10"/>
  <c r="Q1118" i="10"/>
  <c r="O1118" i="10"/>
  <c r="M1118" i="10"/>
  <c r="K1118" i="10"/>
  <c r="I1118" i="10"/>
  <c r="G1118" i="10"/>
  <c r="R1117" i="10"/>
  <c r="Q1117" i="10"/>
  <c r="O1117" i="10"/>
  <c r="M1117" i="10"/>
  <c r="K1117" i="10"/>
  <c r="I1117" i="10"/>
  <c r="G1117" i="10"/>
  <c r="R1116" i="10"/>
  <c r="Q1116" i="10"/>
  <c r="O1116" i="10"/>
  <c r="M1116" i="10"/>
  <c r="K1116" i="10"/>
  <c r="I1116" i="10"/>
  <c r="G1116" i="10"/>
  <c r="R1115" i="10"/>
  <c r="Q1115" i="10"/>
  <c r="O1115" i="10"/>
  <c r="M1115" i="10"/>
  <c r="K1115" i="10"/>
  <c r="I1115" i="10"/>
  <c r="G1115" i="10"/>
  <c r="R1114" i="10"/>
  <c r="Q1114" i="10"/>
  <c r="O1114" i="10"/>
  <c r="M1114" i="10"/>
  <c r="K1114" i="10"/>
  <c r="I1114" i="10"/>
  <c r="G1114" i="10"/>
  <c r="R1113" i="10"/>
  <c r="Q1113" i="10"/>
  <c r="O1113" i="10"/>
  <c r="M1113" i="10"/>
  <c r="K1113" i="10"/>
  <c r="I1113" i="10"/>
  <c r="G1113" i="10"/>
  <c r="R1112" i="10"/>
  <c r="Q1112" i="10"/>
  <c r="O1112" i="10"/>
  <c r="M1112" i="10"/>
  <c r="K1112" i="10"/>
  <c r="I1112" i="10"/>
  <c r="G1112" i="10"/>
  <c r="R1111" i="10"/>
  <c r="Q1111" i="10"/>
  <c r="O1111" i="10"/>
  <c r="M1111" i="10"/>
  <c r="K1111" i="10"/>
  <c r="I1111" i="10"/>
  <c r="G1111" i="10"/>
  <c r="R1110" i="10"/>
  <c r="Q1110" i="10"/>
  <c r="O1110" i="10"/>
  <c r="M1110" i="10"/>
  <c r="K1110" i="10"/>
  <c r="I1110" i="10"/>
  <c r="G1110" i="10"/>
  <c r="R1109" i="10"/>
  <c r="Q1109" i="10"/>
  <c r="O1109" i="10"/>
  <c r="M1109" i="10"/>
  <c r="K1109" i="10"/>
  <c r="I1109" i="10"/>
  <c r="G1109" i="10"/>
  <c r="R1108" i="10"/>
  <c r="Q1108" i="10"/>
  <c r="O1108" i="10"/>
  <c r="M1108" i="10"/>
  <c r="K1108" i="10"/>
  <c r="I1108" i="10"/>
  <c r="G1108" i="10"/>
  <c r="R1107" i="10"/>
  <c r="Q1107" i="10"/>
  <c r="O1107" i="10"/>
  <c r="M1107" i="10"/>
  <c r="K1107" i="10"/>
  <c r="I1107" i="10"/>
  <c r="G1107" i="10"/>
  <c r="R1106" i="10"/>
  <c r="Q1106" i="10"/>
  <c r="O1106" i="10"/>
  <c r="M1106" i="10"/>
  <c r="K1106" i="10"/>
  <c r="I1106" i="10"/>
  <c r="G1106" i="10"/>
  <c r="R1105" i="10"/>
  <c r="Q1105" i="10"/>
  <c r="O1105" i="10"/>
  <c r="M1105" i="10"/>
  <c r="K1105" i="10"/>
  <c r="I1105" i="10"/>
  <c r="G1105" i="10"/>
  <c r="R1104" i="10"/>
  <c r="Q1104" i="10"/>
  <c r="O1104" i="10"/>
  <c r="M1104" i="10"/>
  <c r="K1104" i="10"/>
  <c r="I1104" i="10"/>
  <c r="G1104" i="10"/>
  <c r="R1103" i="10"/>
  <c r="Q1103" i="10"/>
  <c r="O1103" i="10"/>
  <c r="M1103" i="10"/>
  <c r="K1103" i="10"/>
  <c r="I1103" i="10"/>
  <c r="G1103" i="10"/>
  <c r="R1102" i="10"/>
  <c r="Q1102" i="10"/>
  <c r="O1102" i="10"/>
  <c r="M1102" i="10"/>
  <c r="K1102" i="10"/>
  <c r="I1102" i="10"/>
  <c r="G1102" i="10"/>
  <c r="R1101" i="10"/>
  <c r="Q1101" i="10"/>
  <c r="O1101" i="10"/>
  <c r="M1101" i="10"/>
  <c r="K1101" i="10"/>
  <c r="I1101" i="10"/>
  <c r="G1101" i="10"/>
  <c r="R1100" i="10"/>
  <c r="Q1100" i="10"/>
  <c r="O1100" i="10"/>
  <c r="M1100" i="10"/>
  <c r="K1100" i="10"/>
  <c r="I1100" i="10"/>
  <c r="G1100" i="10"/>
  <c r="R1099" i="10"/>
  <c r="Q1099" i="10"/>
  <c r="O1099" i="10"/>
  <c r="M1099" i="10"/>
  <c r="K1099" i="10"/>
  <c r="I1099" i="10"/>
  <c r="G1099" i="10"/>
  <c r="R1098" i="10"/>
  <c r="Q1098" i="10"/>
  <c r="O1098" i="10"/>
  <c r="M1098" i="10"/>
  <c r="K1098" i="10"/>
  <c r="I1098" i="10"/>
  <c r="G1098" i="10"/>
  <c r="R1097" i="10"/>
  <c r="Q1097" i="10"/>
  <c r="O1097" i="10"/>
  <c r="M1097" i="10"/>
  <c r="K1097" i="10"/>
  <c r="I1097" i="10"/>
  <c r="G1097" i="10"/>
  <c r="R1096" i="10"/>
  <c r="Q1096" i="10"/>
  <c r="O1096" i="10"/>
  <c r="M1096" i="10"/>
  <c r="K1096" i="10"/>
  <c r="I1096" i="10"/>
  <c r="G1096" i="10"/>
  <c r="R1095" i="10"/>
  <c r="Q1095" i="10"/>
  <c r="O1095" i="10"/>
  <c r="M1095" i="10"/>
  <c r="K1095" i="10"/>
  <c r="I1095" i="10"/>
  <c r="G1095" i="10"/>
  <c r="R1094" i="10"/>
  <c r="Q1094" i="10"/>
  <c r="O1094" i="10"/>
  <c r="M1094" i="10"/>
  <c r="K1094" i="10"/>
  <c r="I1094" i="10"/>
  <c r="G1094" i="10"/>
  <c r="R1093" i="10"/>
  <c r="Q1093" i="10"/>
  <c r="O1093" i="10"/>
  <c r="M1093" i="10"/>
  <c r="K1093" i="10"/>
  <c r="I1093" i="10"/>
  <c r="G1093" i="10"/>
  <c r="R1092" i="10"/>
  <c r="Q1092" i="10"/>
  <c r="O1092" i="10"/>
  <c r="M1092" i="10"/>
  <c r="K1092" i="10"/>
  <c r="I1092" i="10"/>
  <c r="G1092" i="10"/>
  <c r="R1091" i="10"/>
  <c r="Q1091" i="10"/>
  <c r="O1091" i="10"/>
  <c r="M1091" i="10"/>
  <c r="K1091" i="10"/>
  <c r="I1091" i="10"/>
  <c r="G1091" i="10"/>
  <c r="R1090" i="10"/>
  <c r="Q1090" i="10"/>
  <c r="O1090" i="10"/>
  <c r="M1090" i="10"/>
  <c r="K1090" i="10"/>
  <c r="I1090" i="10"/>
  <c r="G1090" i="10"/>
  <c r="R1089" i="10"/>
  <c r="Q1089" i="10"/>
  <c r="O1089" i="10"/>
  <c r="M1089" i="10"/>
  <c r="K1089" i="10"/>
  <c r="I1089" i="10"/>
  <c r="G1089" i="10"/>
  <c r="R1088" i="10"/>
  <c r="Q1088" i="10"/>
  <c r="O1088" i="10"/>
  <c r="M1088" i="10"/>
  <c r="K1088" i="10"/>
  <c r="I1088" i="10"/>
  <c r="G1088" i="10"/>
  <c r="R1087" i="10"/>
  <c r="Q1087" i="10"/>
  <c r="O1087" i="10"/>
  <c r="M1087" i="10"/>
  <c r="K1087" i="10"/>
  <c r="I1087" i="10"/>
  <c r="G1087" i="10"/>
  <c r="R1086" i="10"/>
  <c r="Q1086" i="10"/>
  <c r="O1086" i="10"/>
  <c r="M1086" i="10"/>
  <c r="K1086" i="10"/>
  <c r="I1086" i="10"/>
  <c r="G1086" i="10"/>
  <c r="R1085" i="10"/>
  <c r="Q1085" i="10"/>
  <c r="O1085" i="10"/>
  <c r="M1085" i="10"/>
  <c r="K1085" i="10"/>
  <c r="I1085" i="10"/>
  <c r="G1085" i="10"/>
  <c r="R1084" i="10"/>
  <c r="Q1084" i="10"/>
  <c r="O1084" i="10"/>
  <c r="M1084" i="10"/>
  <c r="K1084" i="10"/>
  <c r="I1084" i="10"/>
  <c r="G1084" i="10"/>
  <c r="R1083" i="10"/>
  <c r="Q1083" i="10"/>
  <c r="O1083" i="10"/>
  <c r="M1083" i="10"/>
  <c r="K1083" i="10"/>
  <c r="I1083" i="10"/>
  <c r="G1083" i="10"/>
  <c r="R1082" i="10"/>
  <c r="Q1082" i="10"/>
  <c r="O1082" i="10"/>
  <c r="M1082" i="10"/>
  <c r="K1082" i="10"/>
  <c r="I1082" i="10"/>
  <c r="G1082" i="10"/>
  <c r="R1081" i="10"/>
  <c r="Q1081" i="10"/>
  <c r="O1081" i="10"/>
  <c r="M1081" i="10"/>
  <c r="K1081" i="10"/>
  <c r="I1081" i="10"/>
  <c r="G1081" i="10"/>
  <c r="R1080" i="10"/>
  <c r="Q1080" i="10"/>
  <c r="O1080" i="10"/>
  <c r="M1080" i="10"/>
  <c r="K1080" i="10"/>
  <c r="I1080" i="10"/>
  <c r="G1080" i="10"/>
  <c r="R1079" i="10"/>
  <c r="Q1079" i="10"/>
  <c r="O1079" i="10"/>
  <c r="M1079" i="10"/>
  <c r="K1079" i="10"/>
  <c r="I1079" i="10"/>
  <c r="G1079" i="10"/>
  <c r="R1078" i="10"/>
  <c r="Q1078" i="10"/>
  <c r="O1078" i="10"/>
  <c r="M1078" i="10"/>
  <c r="K1078" i="10"/>
  <c r="I1078" i="10"/>
  <c r="G1078" i="10"/>
  <c r="R1077" i="10"/>
  <c r="Q1077" i="10"/>
  <c r="O1077" i="10"/>
  <c r="M1077" i="10"/>
  <c r="K1077" i="10"/>
  <c r="I1077" i="10"/>
  <c r="G1077" i="10"/>
  <c r="R1076" i="10"/>
  <c r="Q1076" i="10"/>
  <c r="O1076" i="10"/>
  <c r="M1076" i="10"/>
  <c r="K1076" i="10"/>
  <c r="I1076" i="10"/>
  <c r="G1076" i="10"/>
  <c r="R1075" i="10"/>
  <c r="Q1075" i="10"/>
  <c r="O1075" i="10"/>
  <c r="M1075" i="10"/>
  <c r="K1075" i="10"/>
  <c r="I1075" i="10"/>
  <c r="G1075" i="10"/>
  <c r="R1074" i="10"/>
  <c r="Q1074" i="10"/>
  <c r="O1074" i="10"/>
  <c r="M1074" i="10"/>
  <c r="K1074" i="10"/>
  <c r="I1074" i="10"/>
  <c r="G1074" i="10"/>
  <c r="R1073" i="10"/>
  <c r="Q1073" i="10"/>
  <c r="O1073" i="10"/>
  <c r="M1073" i="10"/>
  <c r="K1073" i="10"/>
  <c r="I1073" i="10"/>
  <c r="G1073" i="10"/>
  <c r="R1072" i="10"/>
  <c r="Q1072" i="10"/>
  <c r="O1072" i="10"/>
  <c r="M1072" i="10"/>
  <c r="K1072" i="10"/>
  <c r="I1072" i="10"/>
  <c r="G1072" i="10"/>
  <c r="R1071" i="10"/>
  <c r="Q1071" i="10"/>
  <c r="O1071" i="10"/>
  <c r="M1071" i="10"/>
  <c r="K1071" i="10"/>
  <c r="I1071" i="10"/>
  <c r="G1071" i="10"/>
  <c r="R1070" i="10"/>
  <c r="Q1070" i="10"/>
  <c r="O1070" i="10"/>
  <c r="M1070" i="10"/>
  <c r="K1070" i="10"/>
  <c r="I1070" i="10"/>
  <c r="G1070" i="10"/>
  <c r="R1069" i="10"/>
  <c r="Q1069" i="10"/>
  <c r="O1069" i="10"/>
  <c r="M1069" i="10"/>
  <c r="K1069" i="10"/>
  <c r="I1069" i="10"/>
  <c r="G1069" i="10"/>
  <c r="R1068" i="10"/>
  <c r="Q1068" i="10"/>
  <c r="O1068" i="10"/>
  <c r="M1068" i="10"/>
  <c r="K1068" i="10"/>
  <c r="I1068" i="10"/>
  <c r="G1068" i="10"/>
  <c r="R1067" i="10"/>
  <c r="Q1067" i="10"/>
  <c r="O1067" i="10"/>
  <c r="M1067" i="10"/>
  <c r="K1067" i="10"/>
  <c r="I1067" i="10"/>
  <c r="G1067" i="10"/>
  <c r="R1066" i="10"/>
  <c r="Q1066" i="10"/>
  <c r="O1066" i="10"/>
  <c r="M1066" i="10"/>
  <c r="K1066" i="10"/>
  <c r="I1066" i="10"/>
  <c r="G1066" i="10"/>
  <c r="R1065" i="10"/>
  <c r="Q1065" i="10"/>
  <c r="O1065" i="10"/>
  <c r="M1065" i="10"/>
  <c r="K1065" i="10"/>
  <c r="I1065" i="10"/>
  <c r="G1065" i="10"/>
  <c r="R1064" i="10"/>
  <c r="Q1064" i="10"/>
  <c r="O1064" i="10"/>
  <c r="M1064" i="10"/>
  <c r="K1064" i="10"/>
  <c r="I1064" i="10"/>
  <c r="G1064" i="10"/>
  <c r="R1063" i="10"/>
  <c r="Q1063" i="10"/>
  <c r="O1063" i="10"/>
  <c r="M1063" i="10"/>
  <c r="K1063" i="10"/>
  <c r="I1063" i="10"/>
  <c r="G1063" i="10"/>
  <c r="R1062" i="10"/>
  <c r="Q1062" i="10"/>
  <c r="O1062" i="10"/>
  <c r="M1062" i="10"/>
  <c r="K1062" i="10"/>
  <c r="I1062" i="10"/>
  <c r="G1062" i="10"/>
  <c r="R1061" i="10"/>
  <c r="Q1061" i="10"/>
  <c r="O1061" i="10"/>
  <c r="M1061" i="10"/>
  <c r="K1061" i="10"/>
  <c r="I1061" i="10"/>
  <c r="G1061" i="10"/>
  <c r="R1060" i="10"/>
  <c r="Q1060" i="10"/>
  <c r="O1060" i="10"/>
  <c r="M1060" i="10"/>
  <c r="K1060" i="10"/>
  <c r="I1060" i="10"/>
  <c r="G1060" i="10"/>
  <c r="R1059" i="10"/>
  <c r="Q1059" i="10"/>
  <c r="O1059" i="10"/>
  <c r="M1059" i="10"/>
  <c r="K1059" i="10"/>
  <c r="I1059" i="10"/>
  <c r="G1059" i="10"/>
  <c r="R1058" i="10"/>
  <c r="Q1058" i="10"/>
  <c r="O1058" i="10"/>
  <c r="M1058" i="10"/>
  <c r="K1058" i="10"/>
  <c r="I1058" i="10"/>
  <c r="G1058" i="10"/>
  <c r="R1057" i="10"/>
  <c r="Q1057" i="10"/>
  <c r="O1057" i="10"/>
  <c r="M1057" i="10"/>
  <c r="K1057" i="10"/>
  <c r="I1057" i="10"/>
  <c r="G1057" i="10"/>
  <c r="R1056" i="10"/>
  <c r="Q1056" i="10"/>
  <c r="O1056" i="10"/>
  <c r="M1056" i="10"/>
  <c r="K1056" i="10"/>
  <c r="I1056" i="10"/>
  <c r="G1056" i="10"/>
  <c r="R1055" i="10"/>
  <c r="Q1055" i="10"/>
  <c r="O1055" i="10"/>
  <c r="M1055" i="10"/>
  <c r="K1055" i="10"/>
  <c r="I1055" i="10"/>
  <c r="G1055" i="10"/>
  <c r="R1054" i="10"/>
  <c r="Q1054" i="10"/>
  <c r="O1054" i="10"/>
  <c r="M1054" i="10"/>
  <c r="K1054" i="10"/>
  <c r="I1054" i="10"/>
  <c r="G1054" i="10"/>
  <c r="R1053" i="10"/>
  <c r="Q1053" i="10"/>
  <c r="O1053" i="10"/>
  <c r="M1053" i="10"/>
  <c r="K1053" i="10"/>
  <c r="I1053" i="10"/>
  <c r="G1053" i="10"/>
  <c r="R1052" i="10"/>
  <c r="Q1052" i="10"/>
  <c r="O1052" i="10"/>
  <c r="M1052" i="10"/>
  <c r="K1052" i="10"/>
  <c r="I1052" i="10"/>
  <c r="G1052" i="10"/>
  <c r="R1051" i="10"/>
  <c r="Q1051" i="10"/>
  <c r="O1051" i="10"/>
  <c r="M1051" i="10"/>
  <c r="K1051" i="10"/>
  <c r="I1051" i="10"/>
  <c r="G1051" i="10"/>
  <c r="R1050" i="10"/>
  <c r="Q1050" i="10"/>
  <c r="O1050" i="10"/>
  <c r="M1050" i="10"/>
  <c r="K1050" i="10"/>
  <c r="I1050" i="10"/>
  <c r="G1050" i="10"/>
  <c r="R1049" i="10"/>
  <c r="Q1049" i="10"/>
  <c r="O1049" i="10"/>
  <c r="M1049" i="10"/>
  <c r="K1049" i="10"/>
  <c r="I1049" i="10"/>
  <c r="G1049" i="10"/>
  <c r="R1048" i="10"/>
  <c r="Q1048" i="10"/>
  <c r="O1048" i="10"/>
  <c r="M1048" i="10"/>
  <c r="K1048" i="10"/>
  <c r="I1048" i="10"/>
  <c r="G1048" i="10"/>
  <c r="R1047" i="10"/>
  <c r="Q1047" i="10"/>
  <c r="O1047" i="10"/>
  <c r="M1047" i="10"/>
  <c r="K1047" i="10"/>
  <c r="I1047" i="10"/>
  <c r="G1047" i="10"/>
  <c r="R1046" i="10"/>
  <c r="Q1046" i="10"/>
  <c r="O1046" i="10"/>
  <c r="M1046" i="10"/>
  <c r="K1046" i="10"/>
  <c r="I1046" i="10"/>
  <c r="G1046" i="10"/>
  <c r="R1045" i="10"/>
  <c r="Q1045" i="10"/>
  <c r="O1045" i="10"/>
  <c r="M1045" i="10"/>
  <c r="K1045" i="10"/>
  <c r="I1045" i="10"/>
  <c r="G1045" i="10"/>
  <c r="R1044" i="10"/>
  <c r="Q1044" i="10"/>
  <c r="O1044" i="10"/>
  <c r="M1044" i="10"/>
  <c r="K1044" i="10"/>
  <c r="I1044" i="10"/>
  <c r="G1044" i="10"/>
  <c r="R1043" i="10"/>
  <c r="Q1043" i="10"/>
  <c r="O1043" i="10"/>
  <c r="M1043" i="10"/>
  <c r="K1043" i="10"/>
  <c r="I1043" i="10"/>
  <c r="G1043" i="10"/>
  <c r="R1042" i="10"/>
  <c r="Q1042" i="10"/>
  <c r="O1042" i="10"/>
  <c r="M1042" i="10"/>
  <c r="K1042" i="10"/>
  <c r="I1042" i="10"/>
  <c r="G1042" i="10"/>
  <c r="R1041" i="10"/>
  <c r="Q1041" i="10"/>
  <c r="O1041" i="10"/>
  <c r="M1041" i="10"/>
  <c r="K1041" i="10"/>
  <c r="I1041" i="10"/>
  <c r="G1041" i="10"/>
  <c r="R1040" i="10"/>
  <c r="Q1040" i="10"/>
  <c r="O1040" i="10"/>
  <c r="M1040" i="10"/>
  <c r="K1040" i="10"/>
  <c r="I1040" i="10"/>
  <c r="G1040" i="10"/>
  <c r="R1039" i="10"/>
  <c r="Q1039" i="10"/>
  <c r="O1039" i="10"/>
  <c r="M1039" i="10"/>
  <c r="K1039" i="10"/>
  <c r="I1039" i="10"/>
  <c r="G1039" i="10"/>
  <c r="R1038" i="10"/>
  <c r="Q1038" i="10"/>
  <c r="O1038" i="10"/>
  <c r="M1038" i="10"/>
  <c r="K1038" i="10"/>
  <c r="I1038" i="10"/>
  <c r="G1038" i="10"/>
  <c r="R1037" i="10"/>
  <c r="Q1037" i="10"/>
  <c r="O1037" i="10"/>
  <c r="M1037" i="10"/>
  <c r="K1037" i="10"/>
  <c r="I1037" i="10"/>
  <c r="G1037" i="10"/>
  <c r="R1036" i="10"/>
  <c r="Q1036" i="10"/>
  <c r="O1036" i="10"/>
  <c r="M1036" i="10"/>
  <c r="K1036" i="10"/>
  <c r="I1036" i="10"/>
  <c r="G1036" i="10"/>
  <c r="R1035" i="10"/>
  <c r="Q1035" i="10"/>
  <c r="O1035" i="10"/>
  <c r="M1035" i="10"/>
  <c r="K1035" i="10"/>
  <c r="I1035" i="10"/>
  <c r="G1035" i="10"/>
  <c r="R1034" i="10"/>
  <c r="Q1034" i="10"/>
  <c r="O1034" i="10"/>
  <c r="M1034" i="10"/>
  <c r="K1034" i="10"/>
  <c r="I1034" i="10"/>
  <c r="G1034" i="10"/>
  <c r="R1033" i="10"/>
  <c r="Q1033" i="10"/>
  <c r="O1033" i="10"/>
  <c r="M1033" i="10"/>
  <c r="K1033" i="10"/>
  <c r="I1033" i="10"/>
  <c r="G1033" i="10"/>
  <c r="R1032" i="10"/>
  <c r="Q1032" i="10"/>
  <c r="O1032" i="10"/>
  <c r="M1032" i="10"/>
  <c r="K1032" i="10"/>
  <c r="I1032" i="10"/>
  <c r="G1032" i="10"/>
  <c r="R1031" i="10"/>
  <c r="Q1031" i="10"/>
  <c r="O1031" i="10"/>
  <c r="M1031" i="10"/>
  <c r="K1031" i="10"/>
  <c r="I1031" i="10"/>
  <c r="G1031" i="10"/>
  <c r="R1030" i="10"/>
  <c r="Q1030" i="10"/>
  <c r="O1030" i="10"/>
  <c r="M1030" i="10"/>
  <c r="K1030" i="10"/>
  <c r="I1030" i="10"/>
  <c r="G1030" i="10"/>
  <c r="R1029" i="10"/>
  <c r="Q1029" i="10"/>
  <c r="O1029" i="10"/>
  <c r="M1029" i="10"/>
  <c r="K1029" i="10"/>
  <c r="I1029" i="10"/>
  <c r="G1029" i="10"/>
  <c r="R1028" i="10"/>
  <c r="Q1028" i="10"/>
  <c r="O1028" i="10"/>
  <c r="M1028" i="10"/>
  <c r="K1028" i="10"/>
  <c r="I1028" i="10"/>
  <c r="G1028" i="10"/>
  <c r="R1027" i="10"/>
  <c r="Q1027" i="10"/>
  <c r="O1027" i="10"/>
  <c r="M1027" i="10"/>
  <c r="K1027" i="10"/>
  <c r="I1027" i="10"/>
  <c r="G1027" i="10"/>
  <c r="R1026" i="10"/>
  <c r="Q1026" i="10"/>
  <c r="O1026" i="10"/>
  <c r="M1026" i="10"/>
  <c r="K1026" i="10"/>
  <c r="I1026" i="10"/>
  <c r="G1026" i="10"/>
  <c r="R1025" i="10"/>
  <c r="Q1025" i="10"/>
  <c r="O1025" i="10"/>
  <c r="M1025" i="10"/>
  <c r="K1025" i="10"/>
  <c r="I1025" i="10"/>
  <c r="G1025" i="10"/>
  <c r="R1024" i="10"/>
  <c r="Q1024" i="10"/>
  <c r="O1024" i="10"/>
  <c r="M1024" i="10"/>
  <c r="K1024" i="10"/>
  <c r="I1024" i="10"/>
  <c r="G1024" i="10"/>
  <c r="R1023" i="10"/>
  <c r="Q1023" i="10"/>
  <c r="O1023" i="10"/>
  <c r="M1023" i="10"/>
  <c r="K1023" i="10"/>
  <c r="I1023" i="10"/>
  <c r="G1023" i="10"/>
  <c r="R1022" i="10"/>
  <c r="Q1022" i="10"/>
  <c r="O1022" i="10"/>
  <c r="M1022" i="10"/>
  <c r="K1022" i="10"/>
  <c r="I1022" i="10"/>
  <c r="G1022" i="10"/>
  <c r="R1021" i="10"/>
  <c r="Q1021" i="10"/>
  <c r="O1021" i="10"/>
  <c r="M1021" i="10"/>
  <c r="K1021" i="10"/>
  <c r="I1021" i="10"/>
  <c r="G1021" i="10"/>
  <c r="R1020" i="10"/>
  <c r="Q1020" i="10"/>
  <c r="O1020" i="10"/>
  <c r="M1020" i="10"/>
  <c r="K1020" i="10"/>
  <c r="I1020" i="10"/>
  <c r="G1020" i="10"/>
  <c r="R1019" i="10"/>
  <c r="Q1019" i="10"/>
  <c r="O1019" i="10"/>
  <c r="M1019" i="10"/>
  <c r="K1019" i="10"/>
  <c r="I1019" i="10"/>
  <c r="G1019" i="10"/>
  <c r="R1018" i="10"/>
  <c r="Q1018" i="10"/>
  <c r="O1018" i="10"/>
  <c r="M1018" i="10"/>
  <c r="K1018" i="10"/>
  <c r="I1018" i="10"/>
  <c r="G1018" i="10"/>
  <c r="R1017" i="10"/>
  <c r="Q1017" i="10"/>
  <c r="O1017" i="10"/>
  <c r="M1017" i="10"/>
  <c r="K1017" i="10"/>
  <c r="I1017" i="10"/>
  <c r="G1017" i="10"/>
  <c r="R1016" i="10"/>
  <c r="Q1016" i="10"/>
  <c r="O1016" i="10"/>
  <c r="M1016" i="10"/>
  <c r="K1016" i="10"/>
  <c r="I1016" i="10"/>
  <c r="G1016" i="10"/>
  <c r="R1015" i="10"/>
  <c r="Q1015" i="10"/>
  <c r="O1015" i="10"/>
  <c r="M1015" i="10"/>
  <c r="K1015" i="10"/>
  <c r="I1015" i="10"/>
  <c r="G1015" i="10"/>
  <c r="R1014" i="10"/>
  <c r="Q1014" i="10"/>
  <c r="O1014" i="10"/>
  <c r="M1014" i="10"/>
  <c r="K1014" i="10"/>
  <c r="I1014" i="10"/>
  <c r="G1014" i="10"/>
  <c r="R1013" i="10"/>
  <c r="Q1013" i="10"/>
  <c r="O1013" i="10"/>
  <c r="M1013" i="10"/>
  <c r="K1013" i="10"/>
  <c r="I1013" i="10"/>
  <c r="G1013" i="10"/>
  <c r="R1012" i="10"/>
  <c r="Q1012" i="10"/>
  <c r="O1012" i="10"/>
  <c r="M1012" i="10"/>
  <c r="K1012" i="10"/>
  <c r="I1012" i="10"/>
  <c r="G1012" i="10"/>
  <c r="R1011" i="10"/>
  <c r="Q1011" i="10"/>
  <c r="O1011" i="10"/>
  <c r="M1011" i="10"/>
  <c r="K1011" i="10"/>
  <c r="I1011" i="10"/>
  <c r="G1011" i="10"/>
  <c r="R1010" i="10"/>
  <c r="Q1010" i="10"/>
  <c r="O1010" i="10"/>
  <c r="M1010" i="10"/>
  <c r="K1010" i="10"/>
  <c r="I1010" i="10"/>
  <c r="G1010" i="10"/>
  <c r="R1009" i="10"/>
  <c r="Q1009" i="10"/>
  <c r="O1009" i="10"/>
  <c r="M1009" i="10"/>
  <c r="K1009" i="10"/>
  <c r="I1009" i="10"/>
  <c r="G1009" i="10"/>
  <c r="R1008" i="10"/>
  <c r="Q1008" i="10"/>
  <c r="O1008" i="10"/>
  <c r="M1008" i="10"/>
  <c r="K1008" i="10"/>
  <c r="I1008" i="10"/>
  <c r="G1008" i="10"/>
  <c r="R1007" i="10"/>
  <c r="Q1007" i="10"/>
  <c r="O1007" i="10"/>
  <c r="M1007" i="10"/>
  <c r="K1007" i="10"/>
  <c r="I1007" i="10"/>
  <c r="G1007" i="10"/>
  <c r="R1006" i="10"/>
  <c r="Q1006" i="10"/>
  <c r="O1006" i="10"/>
  <c r="M1006" i="10"/>
  <c r="K1006" i="10"/>
  <c r="I1006" i="10"/>
  <c r="G1006" i="10"/>
  <c r="R1005" i="10"/>
  <c r="Q1005" i="10"/>
  <c r="O1005" i="10"/>
  <c r="M1005" i="10"/>
  <c r="K1005" i="10"/>
  <c r="I1005" i="10"/>
  <c r="G1005" i="10"/>
  <c r="R1004" i="10"/>
  <c r="Q1004" i="10"/>
  <c r="O1004" i="10"/>
  <c r="M1004" i="10"/>
  <c r="K1004" i="10"/>
  <c r="I1004" i="10"/>
  <c r="G1004" i="10"/>
  <c r="R1003" i="10"/>
  <c r="Q1003" i="10"/>
  <c r="O1003" i="10"/>
  <c r="M1003" i="10"/>
  <c r="K1003" i="10"/>
  <c r="I1003" i="10"/>
  <c r="G1003" i="10"/>
  <c r="R1002" i="10"/>
  <c r="Q1002" i="10"/>
  <c r="O1002" i="10"/>
  <c r="M1002" i="10"/>
  <c r="K1002" i="10"/>
  <c r="I1002" i="10"/>
  <c r="G1002" i="10"/>
  <c r="R1001" i="10"/>
  <c r="Q1001" i="10"/>
  <c r="O1001" i="10"/>
  <c r="M1001" i="10"/>
  <c r="K1001" i="10"/>
  <c r="I1001" i="10"/>
  <c r="G1001" i="10"/>
  <c r="R1000" i="10"/>
  <c r="Q1000" i="10"/>
  <c r="O1000" i="10"/>
  <c r="M1000" i="10"/>
  <c r="K1000" i="10"/>
  <c r="I1000" i="10"/>
  <c r="G1000" i="10"/>
  <c r="R999" i="10"/>
  <c r="Q999" i="10"/>
  <c r="O999" i="10"/>
  <c r="M999" i="10"/>
  <c r="K999" i="10"/>
  <c r="I999" i="10"/>
  <c r="G999" i="10"/>
  <c r="R998" i="10"/>
  <c r="Q998" i="10"/>
  <c r="O998" i="10"/>
  <c r="M998" i="10"/>
  <c r="K998" i="10"/>
  <c r="I998" i="10"/>
  <c r="G998" i="10"/>
  <c r="R997" i="10"/>
  <c r="Q997" i="10"/>
  <c r="O997" i="10"/>
  <c r="M997" i="10"/>
  <c r="K997" i="10"/>
  <c r="I997" i="10"/>
  <c r="G997" i="10"/>
  <c r="R996" i="10"/>
  <c r="Q996" i="10"/>
  <c r="O996" i="10"/>
  <c r="M996" i="10"/>
  <c r="K996" i="10"/>
  <c r="I996" i="10"/>
  <c r="G996" i="10"/>
  <c r="R995" i="10"/>
  <c r="Q995" i="10"/>
  <c r="O995" i="10"/>
  <c r="M995" i="10"/>
  <c r="K995" i="10"/>
  <c r="I995" i="10"/>
  <c r="G995" i="10"/>
  <c r="R994" i="10"/>
  <c r="Q994" i="10"/>
  <c r="O994" i="10"/>
  <c r="M994" i="10"/>
  <c r="K994" i="10"/>
  <c r="I994" i="10"/>
  <c r="G994" i="10"/>
  <c r="R993" i="10"/>
  <c r="Q993" i="10"/>
  <c r="O993" i="10"/>
  <c r="M993" i="10"/>
  <c r="K993" i="10"/>
  <c r="I993" i="10"/>
  <c r="G993" i="10"/>
  <c r="R992" i="10"/>
  <c r="Q992" i="10"/>
  <c r="O992" i="10"/>
  <c r="M992" i="10"/>
  <c r="K992" i="10"/>
  <c r="I992" i="10"/>
  <c r="G992" i="10"/>
  <c r="R991" i="10"/>
  <c r="Q991" i="10"/>
  <c r="O991" i="10"/>
  <c r="M991" i="10"/>
  <c r="K991" i="10"/>
  <c r="I991" i="10"/>
  <c r="G991" i="10"/>
  <c r="R990" i="10"/>
  <c r="Q990" i="10"/>
  <c r="O990" i="10"/>
  <c r="M990" i="10"/>
  <c r="K990" i="10"/>
  <c r="I990" i="10"/>
  <c r="G990" i="10"/>
  <c r="R989" i="10"/>
  <c r="Q989" i="10"/>
  <c r="O989" i="10"/>
  <c r="M989" i="10"/>
  <c r="K989" i="10"/>
  <c r="I989" i="10"/>
  <c r="G989" i="10"/>
  <c r="R988" i="10"/>
  <c r="Q988" i="10"/>
  <c r="O988" i="10"/>
  <c r="M988" i="10"/>
  <c r="K988" i="10"/>
  <c r="I988" i="10"/>
  <c r="G988" i="10"/>
  <c r="R987" i="10"/>
  <c r="Q987" i="10"/>
  <c r="O987" i="10"/>
  <c r="M987" i="10"/>
  <c r="K987" i="10"/>
  <c r="I987" i="10"/>
  <c r="G987" i="10"/>
  <c r="R986" i="10"/>
  <c r="Q986" i="10"/>
  <c r="O986" i="10"/>
  <c r="M986" i="10"/>
  <c r="K986" i="10"/>
  <c r="I986" i="10"/>
  <c r="G986" i="10"/>
  <c r="R985" i="10"/>
  <c r="Q985" i="10"/>
  <c r="O985" i="10"/>
  <c r="M985" i="10"/>
  <c r="K985" i="10"/>
  <c r="I985" i="10"/>
  <c r="G985" i="10"/>
  <c r="R984" i="10"/>
  <c r="Q984" i="10"/>
  <c r="O984" i="10"/>
  <c r="M984" i="10"/>
  <c r="K984" i="10"/>
  <c r="I984" i="10"/>
  <c r="G984" i="10"/>
  <c r="R983" i="10"/>
  <c r="Q983" i="10"/>
  <c r="O983" i="10"/>
  <c r="M983" i="10"/>
  <c r="K983" i="10"/>
  <c r="I983" i="10"/>
  <c r="G983" i="10"/>
  <c r="R982" i="10"/>
  <c r="Q982" i="10"/>
  <c r="O982" i="10"/>
  <c r="M982" i="10"/>
  <c r="K982" i="10"/>
  <c r="I982" i="10"/>
  <c r="G982" i="10"/>
  <c r="R981" i="10"/>
  <c r="Q981" i="10"/>
  <c r="O981" i="10"/>
  <c r="M981" i="10"/>
  <c r="K981" i="10"/>
  <c r="I981" i="10"/>
  <c r="G981" i="10"/>
  <c r="R980" i="10"/>
  <c r="Q980" i="10"/>
  <c r="O980" i="10"/>
  <c r="M980" i="10"/>
  <c r="K980" i="10"/>
  <c r="I980" i="10"/>
  <c r="G980" i="10"/>
  <c r="R979" i="10"/>
  <c r="Q979" i="10"/>
  <c r="O979" i="10"/>
  <c r="M979" i="10"/>
  <c r="K979" i="10"/>
  <c r="I979" i="10"/>
  <c r="G979" i="10"/>
  <c r="R978" i="10"/>
  <c r="Q978" i="10"/>
  <c r="O978" i="10"/>
  <c r="M978" i="10"/>
  <c r="K978" i="10"/>
  <c r="I978" i="10"/>
  <c r="G978" i="10"/>
  <c r="R977" i="10"/>
  <c r="Q977" i="10"/>
  <c r="O977" i="10"/>
  <c r="M977" i="10"/>
  <c r="K977" i="10"/>
  <c r="I977" i="10"/>
  <c r="G977" i="10"/>
  <c r="R976" i="10"/>
  <c r="Q976" i="10"/>
  <c r="O976" i="10"/>
  <c r="M976" i="10"/>
  <c r="K976" i="10"/>
  <c r="I976" i="10"/>
  <c r="G976" i="10"/>
  <c r="R975" i="10"/>
  <c r="Q975" i="10"/>
  <c r="O975" i="10"/>
  <c r="M975" i="10"/>
  <c r="K975" i="10"/>
  <c r="I975" i="10"/>
  <c r="G975" i="10"/>
  <c r="R974" i="10"/>
  <c r="Q974" i="10"/>
  <c r="O974" i="10"/>
  <c r="M974" i="10"/>
  <c r="K974" i="10"/>
  <c r="I974" i="10"/>
  <c r="G974" i="10"/>
  <c r="R973" i="10"/>
  <c r="Q973" i="10"/>
  <c r="O973" i="10"/>
  <c r="M973" i="10"/>
  <c r="K973" i="10"/>
  <c r="I973" i="10"/>
  <c r="G973" i="10"/>
  <c r="R972" i="10"/>
  <c r="Q972" i="10"/>
  <c r="O972" i="10"/>
  <c r="M972" i="10"/>
  <c r="K972" i="10"/>
  <c r="I972" i="10"/>
  <c r="G972" i="10"/>
  <c r="R971" i="10"/>
  <c r="Q971" i="10"/>
  <c r="O971" i="10"/>
  <c r="M971" i="10"/>
  <c r="K971" i="10"/>
  <c r="I971" i="10"/>
  <c r="G971" i="10"/>
  <c r="R970" i="10"/>
  <c r="Q970" i="10"/>
  <c r="O970" i="10"/>
  <c r="M970" i="10"/>
  <c r="K970" i="10"/>
  <c r="I970" i="10"/>
  <c r="G970" i="10"/>
  <c r="R969" i="10"/>
  <c r="Q969" i="10"/>
  <c r="O969" i="10"/>
  <c r="M969" i="10"/>
  <c r="K969" i="10"/>
  <c r="I969" i="10"/>
  <c r="G969" i="10"/>
  <c r="R968" i="10"/>
  <c r="Q968" i="10"/>
  <c r="O968" i="10"/>
  <c r="M968" i="10"/>
  <c r="K968" i="10"/>
  <c r="I968" i="10"/>
  <c r="G968" i="10"/>
  <c r="R967" i="10"/>
  <c r="Q967" i="10"/>
  <c r="O967" i="10"/>
  <c r="M967" i="10"/>
  <c r="K967" i="10"/>
  <c r="I967" i="10"/>
  <c r="G967" i="10"/>
  <c r="R966" i="10"/>
  <c r="Q966" i="10"/>
  <c r="O966" i="10"/>
  <c r="M966" i="10"/>
  <c r="K966" i="10"/>
  <c r="I966" i="10"/>
  <c r="G966" i="10"/>
  <c r="R965" i="10"/>
  <c r="Q965" i="10"/>
  <c r="O965" i="10"/>
  <c r="M965" i="10"/>
  <c r="K965" i="10"/>
  <c r="I965" i="10"/>
  <c r="G965" i="10"/>
  <c r="R964" i="10"/>
  <c r="Q964" i="10"/>
  <c r="O964" i="10"/>
  <c r="M964" i="10"/>
  <c r="K964" i="10"/>
  <c r="I964" i="10"/>
  <c r="G964" i="10"/>
  <c r="R963" i="10"/>
  <c r="Q963" i="10"/>
  <c r="O963" i="10"/>
  <c r="M963" i="10"/>
  <c r="K963" i="10"/>
  <c r="I963" i="10"/>
  <c r="G963" i="10"/>
  <c r="R962" i="10"/>
  <c r="Q962" i="10"/>
  <c r="O962" i="10"/>
  <c r="M962" i="10"/>
  <c r="K962" i="10"/>
  <c r="I962" i="10"/>
  <c r="G962" i="10"/>
  <c r="R961" i="10"/>
  <c r="Q961" i="10"/>
  <c r="O961" i="10"/>
  <c r="M961" i="10"/>
  <c r="K961" i="10"/>
  <c r="I961" i="10"/>
  <c r="G961" i="10"/>
  <c r="R960" i="10"/>
  <c r="Q960" i="10"/>
  <c r="O960" i="10"/>
  <c r="M960" i="10"/>
  <c r="K960" i="10"/>
  <c r="I960" i="10"/>
  <c r="G960" i="10"/>
  <c r="R959" i="10"/>
  <c r="Q959" i="10"/>
  <c r="O959" i="10"/>
  <c r="M959" i="10"/>
  <c r="K959" i="10"/>
  <c r="I959" i="10"/>
  <c r="G959" i="10"/>
  <c r="R958" i="10"/>
  <c r="Q958" i="10"/>
  <c r="O958" i="10"/>
  <c r="M958" i="10"/>
  <c r="K958" i="10"/>
  <c r="I958" i="10"/>
  <c r="G958" i="10"/>
  <c r="R957" i="10"/>
  <c r="Q957" i="10"/>
  <c r="O957" i="10"/>
  <c r="M957" i="10"/>
  <c r="K957" i="10"/>
  <c r="I957" i="10"/>
  <c r="G957" i="10"/>
  <c r="R956" i="10"/>
  <c r="Q956" i="10"/>
  <c r="O956" i="10"/>
  <c r="M956" i="10"/>
  <c r="K956" i="10"/>
  <c r="I956" i="10"/>
  <c r="G956" i="10"/>
  <c r="R955" i="10"/>
  <c r="Q955" i="10"/>
  <c r="O955" i="10"/>
  <c r="M955" i="10"/>
  <c r="K955" i="10"/>
  <c r="I955" i="10"/>
  <c r="G955" i="10"/>
  <c r="R954" i="10"/>
  <c r="Q954" i="10"/>
  <c r="O954" i="10"/>
  <c r="M954" i="10"/>
  <c r="K954" i="10"/>
  <c r="I954" i="10"/>
  <c r="G954" i="10"/>
  <c r="R953" i="10"/>
  <c r="Q953" i="10"/>
  <c r="O953" i="10"/>
  <c r="M953" i="10"/>
  <c r="K953" i="10"/>
  <c r="I953" i="10"/>
  <c r="G953" i="10"/>
  <c r="R952" i="10"/>
  <c r="Q952" i="10"/>
  <c r="O952" i="10"/>
  <c r="M952" i="10"/>
  <c r="K952" i="10"/>
  <c r="I952" i="10"/>
  <c r="G952" i="10"/>
  <c r="R951" i="10"/>
  <c r="Q951" i="10"/>
  <c r="O951" i="10"/>
  <c r="M951" i="10"/>
  <c r="K951" i="10"/>
  <c r="I951" i="10"/>
  <c r="G951" i="10"/>
  <c r="R950" i="10"/>
  <c r="Q950" i="10"/>
  <c r="O950" i="10"/>
  <c r="M950" i="10"/>
  <c r="K950" i="10"/>
  <c r="I950" i="10"/>
  <c r="G950" i="10"/>
  <c r="R949" i="10"/>
  <c r="Q949" i="10"/>
  <c r="O949" i="10"/>
  <c r="M949" i="10"/>
  <c r="K949" i="10"/>
  <c r="I949" i="10"/>
  <c r="G949" i="10"/>
  <c r="R948" i="10"/>
  <c r="Q948" i="10"/>
  <c r="O948" i="10"/>
  <c r="M948" i="10"/>
  <c r="K948" i="10"/>
  <c r="I948" i="10"/>
  <c r="G948" i="10"/>
  <c r="R947" i="10"/>
  <c r="Q947" i="10"/>
  <c r="O947" i="10"/>
  <c r="M947" i="10"/>
  <c r="K947" i="10"/>
  <c r="I947" i="10"/>
  <c r="G947" i="10"/>
  <c r="R946" i="10"/>
  <c r="Q946" i="10"/>
  <c r="O946" i="10"/>
  <c r="M946" i="10"/>
  <c r="K946" i="10"/>
  <c r="I946" i="10"/>
  <c r="G946" i="10"/>
  <c r="R945" i="10"/>
  <c r="Q945" i="10"/>
  <c r="O945" i="10"/>
  <c r="M945" i="10"/>
  <c r="K945" i="10"/>
  <c r="I945" i="10"/>
  <c r="G945" i="10"/>
  <c r="R944" i="10"/>
  <c r="Q944" i="10"/>
  <c r="O944" i="10"/>
  <c r="M944" i="10"/>
  <c r="K944" i="10"/>
  <c r="I944" i="10"/>
  <c r="G944" i="10"/>
  <c r="R943" i="10"/>
  <c r="Q943" i="10"/>
  <c r="O943" i="10"/>
  <c r="M943" i="10"/>
  <c r="K943" i="10"/>
  <c r="I943" i="10"/>
  <c r="G943" i="10"/>
  <c r="R942" i="10"/>
  <c r="Q942" i="10"/>
  <c r="O942" i="10"/>
  <c r="M942" i="10"/>
  <c r="K942" i="10"/>
  <c r="I942" i="10"/>
  <c r="G942" i="10"/>
  <c r="R941" i="10"/>
  <c r="Q941" i="10"/>
  <c r="O941" i="10"/>
  <c r="M941" i="10"/>
  <c r="K941" i="10"/>
  <c r="I941" i="10"/>
  <c r="G941" i="10"/>
  <c r="R940" i="10"/>
  <c r="Q940" i="10"/>
  <c r="O940" i="10"/>
  <c r="M940" i="10"/>
  <c r="K940" i="10"/>
  <c r="I940" i="10"/>
  <c r="G940" i="10"/>
  <c r="R939" i="10"/>
  <c r="Q939" i="10"/>
  <c r="O939" i="10"/>
  <c r="M939" i="10"/>
  <c r="K939" i="10"/>
  <c r="I939" i="10"/>
  <c r="G939" i="10"/>
  <c r="R938" i="10"/>
  <c r="Q938" i="10"/>
  <c r="O938" i="10"/>
  <c r="M938" i="10"/>
  <c r="K938" i="10"/>
  <c r="I938" i="10"/>
  <c r="G938" i="10"/>
  <c r="R937" i="10"/>
  <c r="Q937" i="10"/>
  <c r="O937" i="10"/>
  <c r="M937" i="10"/>
  <c r="K937" i="10"/>
  <c r="I937" i="10"/>
  <c r="G937" i="10"/>
  <c r="R936" i="10"/>
  <c r="Q936" i="10"/>
  <c r="O936" i="10"/>
  <c r="M936" i="10"/>
  <c r="K936" i="10"/>
  <c r="I936" i="10"/>
  <c r="G936" i="10"/>
  <c r="R935" i="10"/>
  <c r="Q935" i="10"/>
  <c r="O935" i="10"/>
  <c r="M935" i="10"/>
  <c r="K935" i="10"/>
  <c r="I935" i="10"/>
  <c r="G935" i="10"/>
  <c r="R934" i="10"/>
  <c r="Q934" i="10"/>
  <c r="O934" i="10"/>
  <c r="M934" i="10"/>
  <c r="K934" i="10"/>
  <c r="I934" i="10"/>
  <c r="G934" i="10"/>
  <c r="R933" i="10"/>
  <c r="Q933" i="10"/>
  <c r="O933" i="10"/>
  <c r="M933" i="10"/>
  <c r="K933" i="10"/>
  <c r="I933" i="10"/>
  <c r="G933" i="10"/>
  <c r="R932" i="10"/>
  <c r="Q932" i="10"/>
  <c r="O932" i="10"/>
  <c r="M932" i="10"/>
  <c r="K932" i="10"/>
  <c r="I932" i="10"/>
  <c r="G932" i="10"/>
  <c r="R931" i="10"/>
  <c r="Q931" i="10"/>
  <c r="O931" i="10"/>
  <c r="M931" i="10"/>
  <c r="K931" i="10"/>
  <c r="I931" i="10"/>
  <c r="G931" i="10"/>
  <c r="R930" i="10"/>
  <c r="Q930" i="10"/>
  <c r="O930" i="10"/>
  <c r="M930" i="10"/>
  <c r="K930" i="10"/>
  <c r="I930" i="10"/>
  <c r="G930" i="10"/>
  <c r="R929" i="10"/>
  <c r="Q929" i="10"/>
  <c r="O929" i="10"/>
  <c r="M929" i="10"/>
  <c r="K929" i="10"/>
  <c r="I929" i="10"/>
  <c r="G929" i="10"/>
  <c r="R928" i="10"/>
  <c r="Q928" i="10"/>
  <c r="O928" i="10"/>
  <c r="M928" i="10"/>
  <c r="K928" i="10"/>
  <c r="I928" i="10"/>
  <c r="G928" i="10"/>
  <c r="R927" i="10"/>
  <c r="Q927" i="10"/>
  <c r="O927" i="10"/>
  <c r="M927" i="10"/>
  <c r="K927" i="10"/>
  <c r="I927" i="10"/>
  <c r="G927" i="10"/>
  <c r="R926" i="10"/>
  <c r="Q926" i="10"/>
  <c r="O926" i="10"/>
  <c r="M926" i="10"/>
  <c r="K926" i="10"/>
  <c r="I926" i="10"/>
  <c r="G926" i="10"/>
  <c r="R925" i="10"/>
  <c r="Q925" i="10"/>
  <c r="O925" i="10"/>
  <c r="M925" i="10"/>
  <c r="K925" i="10"/>
  <c r="I925" i="10"/>
  <c r="G925" i="10"/>
  <c r="R924" i="10"/>
  <c r="Q924" i="10"/>
  <c r="O924" i="10"/>
  <c r="M924" i="10"/>
  <c r="K924" i="10"/>
  <c r="I924" i="10"/>
  <c r="G924" i="10"/>
  <c r="R923" i="10"/>
  <c r="Q923" i="10"/>
  <c r="O923" i="10"/>
  <c r="M923" i="10"/>
  <c r="K923" i="10"/>
  <c r="I923" i="10"/>
  <c r="G923" i="10"/>
  <c r="R922" i="10"/>
  <c r="Q922" i="10"/>
  <c r="O922" i="10"/>
  <c r="M922" i="10"/>
  <c r="K922" i="10"/>
  <c r="I922" i="10"/>
  <c r="G922" i="10"/>
  <c r="R921" i="10"/>
  <c r="Q921" i="10"/>
  <c r="O921" i="10"/>
  <c r="M921" i="10"/>
  <c r="K921" i="10"/>
  <c r="I921" i="10"/>
  <c r="G921" i="10"/>
  <c r="R920" i="10"/>
  <c r="Q920" i="10"/>
  <c r="O920" i="10"/>
  <c r="M920" i="10"/>
  <c r="K920" i="10"/>
  <c r="I920" i="10"/>
  <c r="G920" i="10"/>
  <c r="R919" i="10"/>
  <c r="Q919" i="10"/>
  <c r="O919" i="10"/>
  <c r="M919" i="10"/>
  <c r="K919" i="10"/>
  <c r="I919" i="10"/>
  <c r="G919" i="10"/>
  <c r="R918" i="10"/>
  <c r="Q918" i="10"/>
  <c r="O918" i="10"/>
  <c r="M918" i="10"/>
  <c r="K918" i="10"/>
  <c r="I918" i="10"/>
  <c r="G918" i="10"/>
  <c r="R917" i="10"/>
  <c r="Q917" i="10"/>
  <c r="O917" i="10"/>
  <c r="M917" i="10"/>
  <c r="K917" i="10"/>
  <c r="I917" i="10"/>
  <c r="G917" i="10"/>
  <c r="R916" i="10"/>
  <c r="Q916" i="10"/>
  <c r="O916" i="10"/>
  <c r="M916" i="10"/>
  <c r="K916" i="10"/>
  <c r="I916" i="10"/>
  <c r="G916" i="10"/>
  <c r="R915" i="10"/>
  <c r="Q915" i="10"/>
  <c r="O915" i="10"/>
  <c r="M915" i="10"/>
  <c r="K915" i="10"/>
  <c r="I915" i="10"/>
  <c r="G915" i="10"/>
  <c r="R914" i="10"/>
  <c r="Q914" i="10"/>
  <c r="O914" i="10"/>
  <c r="M914" i="10"/>
  <c r="K914" i="10"/>
  <c r="I914" i="10"/>
  <c r="G914" i="10"/>
  <c r="R913" i="10"/>
  <c r="Q913" i="10"/>
  <c r="O913" i="10"/>
  <c r="M913" i="10"/>
  <c r="K913" i="10"/>
  <c r="I913" i="10"/>
  <c r="G913" i="10"/>
  <c r="R912" i="10"/>
  <c r="Q912" i="10"/>
  <c r="O912" i="10"/>
  <c r="M912" i="10"/>
  <c r="K912" i="10"/>
  <c r="I912" i="10"/>
  <c r="G912" i="10"/>
  <c r="R911" i="10"/>
  <c r="Q911" i="10"/>
  <c r="O911" i="10"/>
  <c r="M911" i="10"/>
  <c r="K911" i="10"/>
  <c r="I911" i="10"/>
  <c r="G911" i="10"/>
  <c r="R910" i="10"/>
  <c r="Q910" i="10"/>
  <c r="O910" i="10"/>
  <c r="M910" i="10"/>
  <c r="K910" i="10"/>
  <c r="I910" i="10"/>
  <c r="G910" i="10"/>
  <c r="R909" i="10"/>
  <c r="Q909" i="10"/>
  <c r="O909" i="10"/>
  <c r="M909" i="10"/>
  <c r="K909" i="10"/>
  <c r="I909" i="10"/>
  <c r="G909" i="10"/>
  <c r="R908" i="10"/>
  <c r="Q908" i="10"/>
  <c r="O908" i="10"/>
  <c r="M908" i="10"/>
  <c r="K908" i="10"/>
  <c r="I908" i="10"/>
  <c r="G908" i="10"/>
  <c r="R907" i="10"/>
  <c r="Q907" i="10"/>
  <c r="O907" i="10"/>
  <c r="M907" i="10"/>
  <c r="K907" i="10"/>
  <c r="I907" i="10"/>
  <c r="G907" i="10"/>
  <c r="R906" i="10"/>
  <c r="Q906" i="10"/>
  <c r="O906" i="10"/>
  <c r="M906" i="10"/>
  <c r="K906" i="10"/>
  <c r="I906" i="10"/>
  <c r="G906" i="10"/>
  <c r="R905" i="10"/>
  <c r="Q905" i="10"/>
  <c r="O905" i="10"/>
  <c r="M905" i="10"/>
  <c r="K905" i="10"/>
  <c r="I905" i="10"/>
  <c r="G905" i="10"/>
  <c r="R904" i="10"/>
  <c r="Q904" i="10"/>
  <c r="O904" i="10"/>
  <c r="M904" i="10"/>
  <c r="K904" i="10"/>
  <c r="I904" i="10"/>
  <c r="G904" i="10"/>
  <c r="R903" i="10"/>
  <c r="Q903" i="10"/>
  <c r="O903" i="10"/>
  <c r="M903" i="10"/>
  <c r="K903" i="10"/>
  <c r="I903" i="10"/>
  <c r="G903" i="10"/>
  <c r="R902" i="10"/>
  <c r="Q902" i="10"/>
  <c r="O902" i="10"/>
  <c r="M902" i="10"/>
  <c r="K902" i="10"/>
  <c r="I902" i="10"/>
  <c r="G902" i="10"/>
  <c r="R901" i="10"/>
  <c r="Q901" i="10"/>
  <c r="O901" i="10"/>
  <c r="M901" i="10"/>
  <c r="K901" i="10"/>
  <c r="I901" i="10"/>
  <c r="G901" i="10"/>
  <c r="R900" i="10"/>
  <c r="Q900" i="10"/>
  <c r="O900" i="10"/>
  <c r="M900" i="10"/>
  <c r="K900" i="10"/>
  <c r="I900" i="10"/>
  <c r="G900" i="10"/>
  <c r="R899" i="10"/>
  <c r="Q899" i="10"/>
  <c r="O899" i="10"/>
  <c r="M899" i="10"/>
  <c r="K899" i="10"/>
  <c r="I899" i="10"/>
  <c r="G899" i="10"/>
  <c r="R898" i="10"/>
  <c r="Q898" i="10"/>
  <c r="O898" i="10"/>
  <c r="M898" i="10"/>
  <c r="K898" i="10"/>
  <c r="I898" i="10"/>
  <c r="G898" i="10"/>
  <c r="R897" i="10"/>
  <c r="Q897" i="10"/>
  <c r="O897" i="10"/>
  <c r="M897" i="10"/>
  <c r="K897" i="10"/>
  <c r="I897" i="10"/>
  <c r="G897" i="10"/>
  <c r="R896" i="10"/>
  <c r="Q896" i="10"/>
  <c r="O896" i="10"/>
  <c r="M896" i="10"/>
  <c r="K896" i="10"/>
  <c r="I896" i="10"/>
  <c r="G896" i="10"/>
  <c r="R895" i="10"/>
  <c r="Q895" i="10"/>
  <c r="O895" i="10"/>
  <c r="M895" i="10"/>
  <c r="K895" i="10"/>
  <c r="I895" i="10"/>
  <c r="G895" i="10"/>
  <c r="R894" i="10"/>
  <c r="Q894" i="10"/>
  <c r="O894" i="10"/>
  <c r="M894" i="10"/>
  <c r="K894" i="10"/>
  <c r="I894" i="10"/>
  <c r="G894" i="10"/>
  <c r="R893" i="10"/>
  <c r="Q893" i="10"/>
  <c r="O893" i="10"/>
  <c r="M893" i="10"/>
  <c r="K893" i="10"/>
  <c r="I893" i="10"/>
  <c r="G893" i="10"/>
  <c r="R892" i="10"/>
  <c r="Q892" i="10"/>
  <c r="O892" i="10"/>
  <c r="M892" i="10"/>
  <c r="K892" i="10"/>
  <c r="I892" i="10"/>
  <c r="G892" i="10"/>
  <c r="R891" i="10"/>
  <c r="Q891" i="10"/>
  <c r="O891" i="10"/>
  <c r="M891" i="10"/>
  <c r="K891" i="10"/>
  <c r="I891" i="10"/>
  <c r="G891" i="10"/>
  <c r="R890" i="10"/>
  <c r="Q890" i="10"/>
  <c r="O890" i="10"/>
  <c r="M890" i="10"/>
  <c r="K890" i="10"/>
  <c r="I890" i="10"/>
  <c r="G890" i="10"/>
  <c r="R889" i="10"/>
  <c r="Q889" i="10"/>
  <c r="O889" i="10"/>
  <c r="M889" i="10"/>
  <c r="K889" i="10"/>
  <c r="I889" i="10"/>
  <c r="G889" i="10"/>
  <c r="R888" i="10"/>
  <c r="Q888" i="10"/>
  <c r="O888" i="10"/>
  <c r="M888" i="10"/>
  <c r="K888" i="10"/>
  <c r="I888" i="10"/>
  <c r="G888" i="10"/>
  <c r="R887" i="10"/>
  <c r="Q887" i="10"/>
  <c r="O887" i="10"/>
  <c r="M887" i="10"/>
  <c r="K887" i="10"/>
  <c r="I887" i="10"/>
  <c r="G887" i="10"/>
  <c r="R886" i="10"/>
  <c r="Q886" i="10"/>
  <c r="O886" i="10"/>
  <c r="M886" i="10"/>
  <c r="K886" i="10"/>
  <c r="I886" i="10"/>
  <c r="G886" i="10"/>
  <c r="R885" i="10"/>
  <c r="Q885" i="10"/>
  <c r="O885" i="10"/>
  <c r="M885" i="10"/>
  <c r="K885" i="10"/>
  <c r="I885" i="10"/>
  <c r="G885" i="10"/>
  <c r="R884" i="10"/>
  <c r="Q884" i="10"/>
  <c r="O884" i="10"/>
  <c r="M884" i="10"/>
  <c r="K884" i="10"/>
  <c r="I884" i="10"/>
  <c r="G884" i="10"/>
  <c r="R883" i="10"/>
  <c r="Q883" i="10"/>
  <c r="O883" i="10"/>
  <c r="M883" i="10"/>
  <c r="K883" i="10"/>
  <c r="I883" i="10"/>
  <c r="G883" i="10"/>
  <c r="R882" i="10"/>
  <c r="Q882" i="10"/>
  <c r="O882" i="10"/>
  <c r="M882" i="10"/>
  <c r="K882" i="10"/>
  <c r="I882" i="10"/>
  <c r="G882" i="10"/>
  <c r="R881" i="10"/>
  <c r="Q881" i="10"/>
  <c r="O881" i="10"/>
  <c r="M881" i="10"/>
  <c r="K881" i="10"/>
  <c r="I881" i="10"/>
  <c r="G881" i="10"/>
  <c r="R880" i="10"/>
  <c r="Q880" i="10"/>
  <c r="O880" i="10"/>
  <c r="M880" i="10"/>
  <c r="K880" i="10"/>
  <c r="I880" i="10"/>
  <c r="G880" i="10"/>
  <c r="R879" i="10"/>
  <c r="Q879" i="10"/>
  <c r="O879" i="10"/>
  <c r="M879" i="10"/>
  <c r="K879" i="10"/>
  <c r="I879" i="10"/>
  <c r="G879" i="10"/>
  <c r="R878" i="10"/>
  <c r="Q878" i="10"/>
  <c r="O878" i="10"/>
  <c r="M878" i="10"/>
  <c r="K878" i="10"/>
  <c r="I878" i="10"/>
  <c r="G878" i="10"/>
  <c r="R877" i="10"/>
  <c r="Q877" i="10"/>
  <c r="O877" i="10"/>
  <c r="M877" i="10"/>
  <c r="K877" i="10"/>
  <c r="I877" i="10"/>
  <c r="G877" i="10"/>
  <c r="R876" i="10"/>
  <c r="Q876" i="10"/>
  <c r="O876" i="10"/>
  <c r="M876" i="10"/>
  <c r="K876" i="10"/>
  <c r="I876" i="10"/>
  <c r="G876" i="10"/>
  <c r="R875" i="10"/>
  <c r="Q875" i="10"/>
  <c r="O875" i="10"/>
  <c r="M875" i="10"/>
  <c r="K875" i="10"/>
  <c r="I875" i="10"/>
  <c r="G875" i="10"/>
  <c r="R874" i="10"/>
  <c r="Q874" i="10"/>
  <c r="O874" i="10"/>
  <c r="M874" i="10"/>
  <c r="K874" i="10"/>
  <c r="I874" i="10"/>
  <c r="G874" i="10"/>
  <c r="R873" i="10"/>
  <c r="Q873" i="10"/>
  <c r="O873" i="10"/>
  <c r="M873" i="10"/>
  <c r="K873" i="10"/>
  <c r="I873" i="10"/>
  <c r="G873" i="10"/>
  <c r="R872" i="10"/>
  <c r="Q872" i="10"/>
  <c r="O872" i="10"/>
  <c r="M872" i="10"/>
  <c r="K872" i="10"/>
  <c r="I872" i="10"/>
  <c r="G872" i="10"/>
  <c r="R871" i="10"/>
  <c r="Q871" i="10"/>
  <c r="O871" i="10"/>
  <c r="M871" i="10"/>
  <c r="K871" i="10"/>
  <c r="I871" i="10"/>
  <c r="G871" i="10"/>
  <c r="R870" i="10"/>
  <c r="Q870" i="10"/>
  <c r="O870" i="10"/>
  <c r="M870" i="10"/>
  <c r="K870" i="10"/>
  <c r="I870" i="10"/>
  <c r="G870" i="10"/>
  <c r="R869" i="10"/>
  <c r="Q869" i="10"/>
  <c r="O869" i="10"/>
  <c r="M869" i="10"/>
  <c r="K869" i="10"/>
  <c r="I869" i="10"/>
  <c r="G869" i="10"/>
  <c r="R868" i="10"/>
  <c r="Q868" i="10"/>
  <c r="O868" i="10"/>
  <c r="M868" i="10"/>
  <c r="K868" i="10"/>
  <c r="I868" i="10"/>
  <c r="G868" i="10"/>
  <c r="R867" i="10"/>
  <c r="Q867" i="10"/>
  <c r="O867" i="10"/>
  <c r="M867" i="10"/>
  <c r="K867" i="10"/>
  <c r="I867" i="10"/>
  <c r="G867" i="10"/>
  <c r="R866" i="10"/>
  <c r="Q866" i="10"/>
  <c r="O866" i="10"/>
  <c r="M866" i="10"/>
  <c r="K866" i="10"/>
  <c r="I866" i="10"/>
  <c r="G866" i="10"/>
  <c r="R865" i="10"/>
  <c r="Q865" i="10"/>
  <c r="O865" i="10"/>
  <c r="M865" i="10"/>
  <c r="K865" i="10"/>
  <c r="I865" i="10"/>
  <c r="G865" i="10"/>
  <c r="R864" i="10"/>
  <c r="Q864" i="10"/>
  <c r="O864" i="10"/>
  <c r="M864" i="10"/>
  <c r="K864" i="10"/>
  <c r="I864" i="10"/>
  <c r="G864" i="10"/>
  <c r="R863" i="10"/>
  <c r="Q863" i="10"/>
  <c r="O863" i="10"/>
  <c r="M863" i="10"/>
  <c r="K863" i="10"/>
  <c r="I863" i="10"/>
  <c r="G863" i="10"/>
  <c r="R862" i="10"/>
  <c r="Q862" i="10"/>
  <c r="O862" i="10"/>
  <c r="M862" i="10"/>
  <c r="K862" i="10"/>
  <c r="I862" i="10"/>
  <c r="G862" i="10"/>
  <c r="R861" i="10"/>
  <c r="Q861" i="10"/>
  <c r="O861" i="10"/>
  <c r="M861" i="10"/>
  <c r="K861" i="10"/>
  <c r="I861" i="10"/>
  <c r="G861" i="10"/>
  <c r="R860" i="10"/>
  <c r="Q860" i="10"/>
  <c r="O860" i="10"/>
  <c r="M860" i="10"/>
  <c r="K860" i="10"/>
  <c r="I860" i="10"/>
  <c r="G860" i="10"/>
  <c r="R859" i="10"/>
  <c r="Q859" i="10"/>
  <c r="O859" i="10"/>
  <c r="M859" i="10"/>
  <c r="K859" i="10"/>
  <c r="I859" i="10"/>
  <c r="G859" i="10"/>
  <c r="R858" i="10"/>
  <c r="Q858" i="10"/>
  <c r="O858" i="10"/>
  <c r="M858" i="10"/>
  <c r="K858" i="10"/>
  <c r="I858" i="10"/>
  <c r="G858" i="10"/>
  <c r="R857" i="10"/>
  <c r="Q857" i="10"/>
  <c r="O857" i="10"/>
  <c r="M857" i="10"/>
  <c r="K857" i="10"/>
  <c r="I857" i="10"/>
  <c r="G857" i="10"/>
  <c r="R856" i="10"/>
  <c r="Q856" i="10"/>
  <c r="O856" i="10"/>
  <c r="M856" i="10"/>
  <c r="K856" i="10"/>
  <c r="I856" i="10"/>
  <c r="G856" i="10"/>
  <c r="R855" i="10"/>
  <c r="Q855" i="10"/>
  <c r="O855" i="10"/>
  <c r="M855" i="10"/>
  <c r="K855" i="10"/>
  <c r="I855" i="10"/>
  <c r="G855" i="10"/>
  <c r="R854" i="10"/>
  <c r="Q854" i="10"/>
  <c r="O854" i="10"/>
  <c r="M854" i="10"/>
  <c r="K854" i="10"/>
  <c r="I854" i="10"/>
  <c r="G854" i="10"/>
  <c r="R853" i="10"/>
  <c r="Q853" i="10"/>
  <c r="O853" i="10"/>
  <c r="M853" i="10"/>
  <c r="K853" i="10"/>
  <c r="I853" i="10"/>
  <c r="G853" i="10"/>
  <c r="R852" i="10"/>
  <c r="Q852" i="10"/>
  <c r="O852" i="10"/>
  <c r="M852" i="10"/>
  <c r="K852" i="10"/>
  <c r="I852" i="10"/>
  <c r="G852" i="10"/>
  <c r="R851" i="10"/>
  <c r="Q851" i="10"/>
  <c r="O851" i="10"/>
  <c r="M851" i="10"/>
  <c r="K851" i="10"/>
  <c r="I851" i="10"/>
  <c r="G851" i="10"/>
  <c r="R850" i="10"/>
  <c r="Q850" i="10"/>
  <c r="O850" i="10"/>
  <c r="M850" i="10"/>
  <c r="K850" i="10"/>
  <c r="I850" i="10"/>
  <c r="G850" i="10"/>
  <c r="R849" i="10"/>
  <c r="Q849" i="10"/>
  <c r="O849" i="10"/>
  <c r="M849" i="10"/>
  <c r="K849" i="10"/>
  <c r="I849" i="10"/>
  <c r="G849" i="10"/>
  <c r="R848" i="10"/>
  <c r="Q848" i="10"/>
  <c r="O848" i="10"/>
  <c r="M848" i="10"/>
  <c r="K848" i="10"/>
  <c r="I848" i="10"/>
  <c r="G848" i="10"/>
  <c r="R847" i="10"/>
  <c r="Q847" i="10"/>
  <c r="O847" i="10"/>
  <c r="M847" i="10"/>
  <c r="K847" i="10"/>
  <c r="I847" i="10"/>
  <c r="G847" i="10"/>
  <c r="R846" i="10"/>
  <c r="Q846" i="10"/>
  <c r="O846" i="10"/>
  <c r="M846" i="10"/>
  <c r="K846" i="10"/>
  <c r="I846" i="10"/>
  <c r="G846" i="10"/>
  <c r="R845" i="10"/>
  <c r="Q845" i="10"/>
  <c r="O845" i="10"/>
  <c r="M845" i="10"/>
  <c r="K845" i="10"/>
  <c r="I845" i="10"/>
  <c r="G845" i="10"/>
  <c r="R844" i="10"/>
  <c r="Q844" i="10"/>
  <c r="O844" i="10"/>
  <c r="M844" i="10"/>
  <c r="K844" i="10"/>
  <c r="I844" i="10"/>
  <c r="G844" i="10"/>
  <c r="R843" i="10"/>
  <c r="Q843" i="10"/>
  <c r="O843" i="10"/>
  <c r="M843" i="10"/>
  <c r="K843" i="10"/>
  <c r="I843" i="10"/>
  <c r="G843" i="10"/>
  <c r="R842" i="10"/>
  <c r="Q842" i="10"/>
  <c r="O842" i="10"/>
  <c r="M842" i="10"/>
  <c r="K842" i="10"/>
  <c r="I842" i="10"/>
  <c r="G842" i="10"/>
  <c r="R841" i="10"/>
  <c r="Q841" i="10"/>
  <c r="O841" i="10"/>
  <c r="M841" i="10"/>
  <c r="K841" i="10"/>
  <c r="I841" i="10"/>
  <c r="G841" i="10"/>
  <c r="R840" i="10"/>
  <c r="Q840" i="10"/>
  <c r="O840" i="10"/>
  <c r="M840" i="10"/>
  <c r="K840" i="10"/>
  <c r="I840" i="10"/>
  <c r="G840" i="10"/>
  <c r="R839" i="10"/>
  <c r="Q839" i="10"/>
  <c r="O839" i="10"/>
  <c r="M839" i="10"/>
  <c r="K839" i="10"/>
  <c r="I839" i="10"/>
  <c r="G839" i="10"/>
  <c r="R838" i="10"/>
  <c r="Q838" i="10"/>
  <c r="O838" i="10"/>
  <c r="M838" i="10"/>
  <c r="K838" i="10"/>
  <c r="I838" i="10"/>
  <c r="G838" i="10"/>
  <c r="R837" i="10"/>
  <c r="Q837" i="10"/>
  <c r="O837" i="10"/>
  <c r="M837" i="10"/>
  <c r="K837" i="10"/>
  <c r="I837" i="10"/>
  <c r="G837" i="10"/>
  <c r="R836" i="10"/>
  <c r="Q836" i="10"/>
  <c r="O836" i="10"/>
  <c r="M836" i="10"/>
  <c r="K836" i="10"/>
  <c r="I836" i="10"/>
  <c r="G836" i="10"/>
  <c r="R835" i="10"/>
  <c r="Q835" i="10"/>
  <c r="O835" i="10"/>
  <c r="M835" i="10"/>
  <c r="K835" i="10"/>
  <c r="I835" i="10"/>
  <c r="G835" i="10"/>
  <c r="R834" i="10"/>
  <c r="Q834" i="10"/>
  <c r="O834" i="10"/>
  <c r="M834" i="10"/>
  <c r="K834" i="10"/>
  <c r="I834" i="10"/>
  <c r="G834" i="10"/>
  <c r="R833" i="10"/>
  <c r="Q833" i="10"/>
  <c r="O833" i="10"/>
  <c r="M833" i="10"/>
  <c r="K833" i="10"/>
  <c r="I833" i="10"/>
  <c r="G833" i="10"/>
  <c r="R832" i="10"/>
  <c r="Q832" i="10"/>
  <c r="O832" i="10"/>
  <c r="M832" i="10"/>
  <c r="K832" i="10"/>
  <c r="I832" i="10"/>
  <c r="G832" i="10"/>
  <c r="R831" i="10"/>
  <c r="Q831" i="10"/>
  <c r="O831" i="10"/>
  <c r="M831" i="10"/>
  <c r="K831" i="10"/>
  <c r="I831" i="10"/>
  <c r="G831" i="10"/>
  <c r="R830" i="10"/>
  <c r="Q830" i="10"/>
  <c r="O830" i="10"/>
  <c r="M830" i="10"/>
  <c r="K830" i="10"/>
  <c r="I830" i="10"/>
  <c r="G830" i="10"/>
  <c r="R829" i="10"/>
  <c r="Q829" i="10"/>
  <c r="O829" i="10"/>
  <c r="M829" i="10"/>
  <c r="K829" i="10"/>
  <c r="I829" i="10"/>
  <c r="G829" i="10"/>
  <c r="R828" i="10"/>
  <c r="Q828" i="10"/>
  <c r="O828" i="10"/>
  <c r="M828" i="10"/>
  <c r="K828" i="10"/>
  <c r="I828" i="10"/>
  <c r="G828" i="10"/>
  <c r="R827" i="10"/>
  <c r="Q827" i="10"/>
  <c r="O827" i="10"/>
  <c r="M827" i="10"/>
  <c r="K827" i="10"/>
  <c r="I827" i="10"/>
  <c r="G827" i="10"/>
  <c r="R826" i="10"/>
  <c r="Q826" i="10"/>
  <c r="O826" i="10"/>
  <c r="M826" i="10"/>
  <c r="K826" i="10"/>
  <c r="I826" i="10"/>
  <c r="G826" i="10"/>
  <c r="R825" i="10"/>
  <c r="Q825" i="10"/>
  <c r="O825" i="10"/>
  <c r="M825" i="10"/>
  <c r="K825" i="10"/>
  <c r="I825" i="10"/>
  <c r="G825" i="10"/>
  <c r="R824" i="10"/>
  <c r="Q824" i="10"/>
  <c r="O824" i="10"/>
  <c r="M824" i="10"/>
  <c r="K824" i="10"/>
  <c r="I824" i="10"/>
  <c r="G824" i="10"/>
  <c r="R823" i="10"/>
  <c r="Q823" i="10"/>
  <c r="O823" i="10"/>
  <c r="M823" i="10"/>
  <c r="K823" i="10"/>
  <c r="I823" i="10"/>
  <c r="G823" i="10"/>
  <c r="R822" i="10"/>
  <c r="Q822" i="10"/>
  <c r="O822" i="10"/>
  <c r="M822" i="10"/>
  <c r="K822" i="10"/>
  <c r="I822" i="10"/>
  <c r="G822" i="10"/>
  <c r="R821" i="10"/>
  <c r="Q821" i="10"/>
  <c r="O821" i="10"/>
  <c r="M821" i="10"/>
  <c r="K821" i="10"/>
  <c r="I821" i="10"/>
  <c r="G821" i="10"/>
  <c r="R820" i="10"/>
  <c r="Q820" i="10"/>
  <c r="O820" i="10"/>
  <c r="M820" i="10"/>
  <c r="K820" i="10"/>
  <c r="I820" i="10"/>
  <c r="G820" i="10"/>
  <c r="R819" i="10"/>
  <c r="Q819" i="10"/>
  <c r="O819" i="10"/>
  <c r="M819" i="10"/>
  <c r="K819" i="10"/>
  <c r="I819" i="10"/>
  <c r="G819" i="10"/>
  <c r="R818" i="10"/>
  <c r="Q818" i="10"/>
  <c r="O818" i="10"/>
  <c r="M818" i="10"/>
  <c r="K818" i="10"/>
  <c r="I818" i="10"/>
  <c r="G818" i="10"/>
  <c r="R817" i="10"/>
  <c r="Q817" i="10"/>
  <c r="O817" i="10"/>
  <c r="M817" i="10"/>
  <c r="K817" i="10"/>
  <c r="I817" i="10"/>
  <c r="G817" i="10"/>
  <c r="R816" i="10"/>
  <c r="Q816" i="10"/>
  <c r="O816" i="10"/>
  <c r="M816" i="10"/>
  <c r="K816" i="10"/>
  <c r="I816" i="10"/>
  <c r="G816" i="10"/>
  <c r="R815" i="10"/>
  <c r="Q815" i="10"/>
  <c r="O815" i="10"/>
  <c r="M815" i="10"/>
  <c r="K815" i="10"/>
  <c r="I815" i="10"/>
  <c r="G815" i="10"/>
  <c r="R814" i="10"/>
  <c r="Q814" i="10"/>
  <c r="O814" i="10"/>
  <c r="M814" i="10"/>
  <c r="K814" i="10"/>
  <c r="I814" i="10"/>
  <c r="G814" i="10"/>
  <c r="R813" i="10"/>
  <c r="Q813" i="10"/>
  <c r="O813" i="10"/>
  <c r="M813" i="10"/>
  <c r="K813" i="10"/>
  <c r="I813" i="10"/>
  <c r="G813" i="10"/>
  <c r="R812" i="10"/>
  <c r="Q812" i="10"/>
  <c r="O812" i="10"/>
  <c r="M812" i="10"/>
  <c r="K812" i="10"/>
  <c r="I812" i="10"/>
  <c r="G812" i="10"/>
  <c r="R811" i="10"/>
  <c r="Q811" i="10"/>
  <c r="O811" i="10"/>
  <c r="M811" i="10"/>
  <c r="K811" i="10"/>
  <c r="I811" i="10"/>
  <c r="G811" i="10"/>
  <c r="R810" i="10"/>
  <c r="Q810" i="10"/>
  <c r="O810" i="10"/>
  <c r="M810" i="10"/>
  <c r="K810" i="10"/>
  <c r="I810" i="10"/>
  <c r="G810" i="10"/>
  <c r="R809" i="10"/>
  <c r="Q809" i="10"/>
  <c r="O809" i="10"/>
  <c r="M809" i="10"/>
  <c r="K809" i="10"/>
  <c r="I809" i="10"/>
  <c r="G809" i="10"/>
  <c r="R808" i="10"/>
  <c r="Q808" i="10"/>
  <c r="O808" i="10"/>
  <c r="M808" i="10"/>
  <c r="K808" i="10"/>
  <c r="I808" i="10"/>
  <c r="G808" i="10"/>
  <c r="R807" i="10"/>
  <c r="Q807" i="10"/>
  <c r="O807" i="10"/>
  <c r="M807" i="10"/>
  <c r="K807" i="10"/>
  <c r="I807" i="10"/>
  <c r="G807" i="10"/>
  <c r="R806" i="10"/>
  <c r="Q806" i="10"/>
  <c r="O806" i="10"/>
  <c r="M806" i="10"/>
  <c r="K806" i="10"/>
  <c r="I806" i="10"/>
  <c r="G806" i="10"/>
  <c r="R805" i="10"/>
  <c r="Q805" i="10"/>
  <c r="O805" i="10"/>
  <c r="M805" i="10"/>
  <c r="K805" i="10"/>
  <c r="I805" i="10"/>
  <c r="G805" i="10"/>
  <c r="R804" i="10"/>
  <c r="Q804" i="10"/>
  <c r="O804" i="10"/>
  <c r="M804" i="10"/>
  <c r="K804" i="10"/>
  <c r="I804" i="10"/>
  <c r="G804" i="10"/>
  <c r="R803" i="10"/>
  <c r="Q803" i="10"/>
  <c r="O803" i="10"/>
  <c r="M803" i="10"/>
  <c r="K803" i="10"/>
  <c r="I803" i="10"/>
  <c r="G803" i="10"/>
  <c r="R802" i="10"/>
  <c r="Q802" i="10"/>
  <c r="O802" i="10"/>
  <c r="M802" i="10"/>
  <c r="K802" i="10"/>
  <c r="I802" i="10"/>
  <c r="G802" i="10"/>
  <c r="R801" i="10"/>
  <c r="Q801" i="10"/>
  <c r="O801" i="10"/>
  <c r="M801" i="10"/>
  <c r="K801" i="10"/>
  <c r="I801" i="10"/>
  <c r="G801" i="10"/>
  <c r="R800" i="10"/>
  <c r="Q800" i="10"/>
  <c r="O800" i="10"/>
  <c r="M800" i="10"/>
  <c r="K800" i="10"/>
  <c r="I800" i="10"/>
  <c r="G800" i="10"/>
  <c r="R799" i="10"/>
  <c r="Q799" i="10"/>
  <c r="O799" i="10"/>
  <c r="M799" i="10"/>
  <c r="K799" i="10"/>
  <c r="I799" i="10"/>
  <c r="G799" i="10"/>
  <c r="R798" i="10"/>
  <c r="Q798" i="10"/>
  <c r="O798" i="10"/>
  <c r="M798" i="10"/>
  <c r="K798" i="10"/>
  <c r="I798" i="10"/>
  <c r="G798" i="10"/>
  <c r="R797" i="10"/>
  <c r="Q797" i="10"/>
  <c r="O797" i="10"/>
  <c r="M797" i="10"/>
  <c r="K797" i="10"/>
  <c r="I797" i="10"/>
  <c r="G797" i="10"/>
  <c r="R796" i="10"/>
  <c r="Q796" i="10"/>
  <c r="O796" i="10"/>
  <c r="M796" i="10"/>
  <c r="K796" i="10"/>
  <c r="I796" i="10"/>
  <c r="G796" i="10"/>
  <c r="R795" i="10"/>
  <c r="Q795" i="10"/>
  <c r="O795" i="10"/>
  <c r="M795" i="10"/>
  <c r="K795" i="10"/>
  <c r="I795" i="10"/>
  <c r="G795" i="10"/>
  <c r="R794" i="10"/>
  <c r="Q794" i="10"/>
  <c r="O794" i="10"/>
  <c r="M794" i="10"/>
  <c r="K794" i="10"/>
  <c r="I794" i="10"/>
  <c r="G794" i="10"/>
  <c r="R793" i="10"/>
  <c r="Q793" i="10"/>
  <c r="O793" i="10"/>
  <c r="M793" i="10"/>
  <c r="K793" i="10"/>
  <c r="I793" i="10"/>
  <c r="G793" i="10"/>
  <c r="R792" i="10"/>
  <c r="Q792" i="10"/>
  <c r="O792" i="10"/>
  <c r="M792" i="10"/>
  <c r="K792" i="10"/>
  <c r="I792" i="10"/>
  <c r="G792" i="10"/>
  <c r="R791" i="10"/>
  <c r="Q791" i="10"/>
  <c r="O791" i="10"/>
  <c r="M791" i="10"/>
  <c r="K791" i="10"/>
  <c r="I791" i="10"/>
  <c r="G791" i="10"/>
  <c r="R790" i="10"/>
  <c r="Q790" i="10"/>
  <c r="O790" i="10"/>
  <c r="M790" i="10"/>
  <c r="K790" i="10"/>
  <c r="I790" i="10"/>
  <c r="G790" i="10"/>
  <c r="R789" i="10"/>
  <c r="Q789" i="10"/>
  <c r="O789" i="10"/>
  <c r="M789" i="10"/>
  <c r="K789" i="10"/>
  <c r="I789" i="10"/>
  <c r="G789" i="10"/>
  <c r="R788" i="10"/>
  <c r="Q788" i="10"/>
  <c r="O788" i="10"/>
  <c r="M788" i="10"/>
  <c r="K788" i="10"/>
  <c r="I788" i="10"/>
  <c r="G788" i="10"/>
  <c r="R787" i="10"/>
  <c r="Q787" i="10"/>
  <c r="O787" i="10"/>
  <c r="M787" i="10"/>
  <c r="K787" i="10"/>
  <c r="I787" i="10"/>
  <c r="G787" i="10"/>
  <c r="R786" i="10"/>
  <c r="Q786" i="10"/>
  <c r="O786" i="10"/>
  <c r="M786" i="10"/>
  <c r="K786" i="10"/>
  <c r="I786" i="10"/>
  <c r="G786" i="10"/>
  <c r="R785" i="10"/>
  <c r="Q785" i="10"/>
  <c r="O785" i="10"/>
  <c r="M785" i="10"/>
  <c r="K785" i="10"/>
  <c r="I785" i="10"/>
  <c r="G785" i="10"/>
  <c r="R784" i="10"/>
  <c r="Q784" i="10"/>
  <c r="O784" i="10"/>
  <c r="M784" i="10"/>
  <c r="K784" i="10"/>
  <c r="I784" i="10"/>
  <c r="G784" i="10"/>
  <c r="R783" i="10"/>
  <c r="Q783" i="10"/>
  <c r="O783" i="10"/>
  <c r="M783" i="10"/>
  <c r="K783" i="10"/>
  <c r="I783" i="10"/>
  <c r="G783" i="10"/>
  <c r="R782" i="10"/>
  <c r="Q782" i="10"/>
  <c r="O782" i="10"/>
  <c r="M782" i="10"/>
  <c r="K782" i="10"/>
  <c r="I782" i="10"/>
  <c r="G782" i="10"/>
  <c r="R781" i="10"/>
  <c r="Q781" i="10"/>
  <c r="O781" i="10"/>
  <c r="M781" i="10"/>
  <c r="K781" i="10"/>
  <c r="I781" i="10"/>
  <c r="G781" i="10"/>
  <c r="R780" i="10"/>
  <c r="Q780" i="10"/>
  <c r="O780" i="10"/>
  <c r="M780" i="10"/>
  <c r="K780" i="10"/>
  <c r="I780" i="10"/>
  <c r="G780" i="10"/>
  <c r="R779" i="10"/>
  <c r="Q779" i="10"/>
  <c r="O779" i="10"/>
  <c r="M779" i="10"/>
  <c r="K779" i="10"/>
  <c r="I779" i="10"/>
  <c r="G779" i="10"/>
  <c r="R778" i="10"/>
  <c r="Q778" i="10"/>
  <c r="O778" i="10"/>
  <c r="M778" i="10"/>
  <c r="K778" i="10"/>
  <c r="I778" i="10"/>
  <c r="G778" i="10"/>
  <c r="R777" i="10"/>
  <c r="Q777" i="10"/>
  <c r="O777" i="10"/>
  <c r="M777" i="10"/>
  <c r="K777" i="10"/>
  <c r="I777" i="10"/>
  <c r="G777" i="10"/>
  <c r="R776" i="10"/>
  <c r="Q776" i="10"/>
  <c r="O776" i="10"/>
  <c r="M776" i="10"/>
  <c r="K776" i="10"/>
  <c r="I776" i="10"/>
  <c r="G776" i="10"/>
  <c r="R775" i="10"/>
  <c r="Q775" i="10"/>
  <c r="O775" i="10"/>
  <c r="M775" i="10"/>
  <c r="K775" i="10"/>
  <c r="I775" i="10"/>
  <c r="G775" i="10"/>
  <c r="R774" i="10"/>
  <c r="Q774" i="10"/>
  <c r="O774" i="10"/>
  <c r="M774" i="10"/>
  <c r="K774" i="10"/>
  <c r="I774" i="10"/>
  <c r="G774" i="10"/>
  <c r="R773" i="10"/>
  <c r="Q773" i="10"/>
  <c r="O773" i="10"/>
  <c r="M773" i="10"/>
  <c r="K773" i="10"/>
  <c r="I773" i="10"/>
  <c r="G773" i="10"/>
  <c r="R772" i="10"/>
  <c r="Q772" i="10"/>
  <c r="O772" i="10"/>
  <c r="M772" i="10"/>
  <c r="K772" i="10"/>
  <c r="I772" i="10"/>
  <c r="G772" i="10"/>
  <c r="R771" i="10"/>
  <c r="Q771" i="10"/>
  <c r="O771" i="10"/>
  <c r="M771" i="10"/>
  <c r="K771" i="10"/>
  <c r="I771" i="10"/>
  <c r="G771" i="10"/>
  <c r="R770" i="10"/>
  <c r="Q770" i="10"/>
  <c r="O770" i="10"/>
  <c r="M770" i="10"/>
  <c r="K770" i="10"/>
  <c r="I770" i="10"/>
  <c r="G770" i="10"/>
  <c r="R769" i="10"/>
  <c r="Q769" i="10"/>
  <c r="O769" i="10"/>
  <c r="M769" i="10"/>
  <c r="K769" i="10"/>
  <c r="I769" i="10"/>
  <c r="G769" i="10"/>
  <c r="R768" i="10"/>
  <c r="Q768" i="10"/>
  <c r="O768" i="10"/>
  <c r="M768" i="10"/>
  <c r="K768" i="10"/>
  <c r="I768" i="10"/>
  <c r="G768" i="10"/>
  <c r="R767" i="10"/>
  <c r="Q767" i="10"/>
  <c r="O767" i="10"/>
  <c r="M767" i="10"/>
  <c r="K767" i="10"/>
  <c r="I767" i="10"/>
  <c r="G767" i="10"/>
  <c r="R766" i="10"/>
  <c r="Q766" i="10"/>
  <c r="O766" i="10"/>
  <c r="M766" i="10"/>
  <c r="K766" i="10"/>
  <c r="I766" i="10"/>
  <c r="G766" i="10"/>
  <c r="R765" i="10"/>
  <c r="Q765" i="10"/>
  <c r="O765" i="10"/>
  <c r="M765" i="10"/>
  <c r="K765" i="10"/>
  <c r="I765" i="10"/>
  <c r="G765" i="10"/>
  <c r="R764" i="10"/>
  <c r="Q764" i="10"/>
  <c r="O764" i="10"/>
  <c r="M764" i="10"/>
  <c r="K764" i="10"/>
  <c r="I764" i="10"/>
  <c r="G764" i="10"/>
  <c r="R763" i="10"/>
  <c r="Q763" i="10"/>
  <c r="O763" i="10"/>
  <c r="M763" i="10"/>
  <c r="K763" i="10"/>
  <c r="I763" i="10"/>
  <c r="G763" i="10"/>
  <c r="R762" i="10"/>
  <c r="Q762" i="10"/>
  <c r="O762" i="10"/>
  <c r="M762" i="10"/>
  <c r="K762" i="10"/>
  <c r="I762" i="10"/>
  <c r="G762" i="10"/>
  <c r="R761" i="10"/>
  <c r="Q761" i="10"/>
  <c r="O761" i="10"/>
  <c r="M761" i="10"/>
  <c r="K761" i="10"/>
  <c r="I761" i="10"/>
  <c r="G761" i="10"/>
  <c r="R760" i="10"/>
  <c r="Q760" i="10"/>
  <c r="O760" i="10"/>
  <c r="M760" i="10"/>
  <c r="K760" i="10"/>
  <c r="I760" i="10"/>
  <c r="G760" i="10"/>
  <c r="R759" i="10"/>
  <c r="Q759" i="10"/>
  <c r="O759" i="10"/>
  <c r="M759" i="10"/>
  <c r="K759" i="10"/>
  <c r="I759" i="10"/>
  <c r="G759" i="10"/>
  <c r="R758" i="10"/>
  <c r="Q758" i="10"/>
  <c r="O758" i="10"/>
  <c r="M758" i="10"/>
  <c r="K758" i="10"/>
  <c r="I758" i="10"/>
  <c r="G758" i="10"/>
  <c r="R757" i="10"/>
  <c r="Q757" i="10"/>
  <c r="O757" i="10"/>
  <c r="M757" i="10"/>
  <c r="K757" i="10"/>
  <c r="I757" i="10"/>
  <c r="G757" i="10"/>
  <c r="R756" i="10"/>
  <c r="Q756" i="10"/>
  <c r="O756" i="10"/>
  <c r="M756" i="10"/>
  <c r="K756" i="10"/>
  <c r="I756" i="10"/>
  <c r="G756" i="10"/>
  <c r="R755" i="10"/>
  <c r="Q755" i="10"/>
  <c r="O755" i="10"/>
  <c r="M755" i="10"/>
  <c r="K755" i="10"/>
  <c r="I755" i="10"/>
  <c r="G755" i="10"/>
  <c r="R754" i="10"/>
  <c r="Q754" i="10"/>
  <c r="O754" i="10"/>
  <c r="M754" i="10"/>
  <c r="K754" i="10"/>
  <c r="I754" i="10"/>
  <c r="G754" i="10"/>
  <c r="R753" i="10"/>
  <c r="Q753" i="10"/>
  <c r="O753" i="10"/>
  <c r="M753" i="10"/>
  <c r="K753" i="10"/>
  <c r="I753" i="10"/>
  <c r="G753" i="10"/>
  <c r="R752" i="10"/>
  <c r="Q752" i="10"/>
  <c r="O752" i="10"/>
  <c r="M752" i="10"/>
  <c r="K752" i="10"/>
  <c r="I752" i="10"/>
  <c r="G752" i="10"/>
  <c r="R751" i="10"/>
  <c r="Q751" i="10"/>
  <c r="O751" i="10"/>
  <c r="M751" i="10"/>
  <c r="K751" i="10"/>
  <c r="I751" i="10"/>
  <c r="G751" i="10"/>
  <c r="R750" i="10"/>
  <c r="Q750" i="10"/>
  <c r="O750" i="10"/>
  <c r="M750" i="10"/>
  <c r="K750" i="10"/>
  <c r="I750" i="10"/>
  <c r="G750" i="10"/>
  <c r="R749" i="10"/>
  <c r="Q749" i="10"/>
  <c r="O749" i="10"/>
  <c r="M749" i="10"/>
  <c r="K749" i="10"/>
  <c r="I749" i="10"/>
  <c r="G749" i="10"/>
  <c r="R748" i="10"/>
  <c r="Q748" i="10"/>
  <c r="O748" i="10"/>
  <c r="M748" i="10"/>
  <c r="K748" i="10"/>
  <c r="I748" i="10"/>
  <c r="G748" i="10"/>
  <c r="R747" i="10"/>
  <c r="Q747" i="10"/>
  <c r="O747" i="10"/>
  <c r="M747" i="10"/>
  <c r="K747" i="10"/>
  <c r="I747" i="10"/>
  <c r="G747" i="10"/>
  <c r="R746" i="10"/>
  <c r="Q746" i="10"/>
  <c r="O746" i="10"/>
  <c r="M746" i="10"/>
  <c r="K746" i="10"/>
  <c r="I746" i="10"/>
  <c r="G746" i="10"/>
  <c r="R745" i="10"/>
  <c r="Q745" i="10"/>
  <c r="O745" i="10"/>
  <c r="M745" i="10"/>
  <c r="K745" i="10"/>
  <c r="I745" i="10"/>
  <c r="G745" i="10"/>
  <c r="R744" i="10"/>
  <c r="Q744" i="10"/>
  <c r="O744" i="10"/>
  <c r="M744" i="10"/>
  <c r="K744" i="10"/>
  <c r="I744" i="10"/>
  <c r="G744" i="10"/>
  <c r="R743" i="10"/>
  <c r="Q743" i="10"/>
  <c r="O743" i="10"/>
  <c r="M743" i="10"/>
  <c r="K743" i="10"/>
  <c r="I743" i="10"/>
  <c r="G743" i="10"/>
  <c r="R742" i="10"/>
  <c r="Q742" i="10"/>
  <c r="O742" i="10"/>
  <c r="M742" i="10"/>
  <c r="K742" i="10"/>
  <c r="I742" i="10"/>
  <c r="G742" i="10"/>
  <c r="R741" i="10"/>
  <c r="Q741" i="10"/>
  <c r="O741" i="10"/>
  <c r="M741" i="10"/>
  <c r="K741" i="10"/>
  <c r="I741" i="10"/>
  <c r="G741" i="10"/>
  <c r="R740" i="10"/>
  <c r="Q740" i="10"/>
  <c r="O740" i="10"/>
  <c r="M740" i="10"/>
  <c r="K740" i="10"/>
  <c r="I740" i="10"/>
  <c r="G740" i="10"/>
  <c r="R739" i="10"/>
  <c r="Q739" i="10"/>
  <c r="O739" i="10"/>
  <c r="M739" i="10"/>
  <c r="K739" i="10"/>
  <c r="I739" i="10"/>
  <c r="G739" i="10"/>
  <c r="R738" i="10"/>
  <c r="Q738" i="10"/>
  <c r="O738" i="10"/>
  <c r="M738" i="10"/>
  <c r="K738" i="10"/>
  <c r="I738" i="10"/>
  <c r="G738" i="10"/>
  <c r="R737" i="10"/>
  <c r="Q737" i="10"/>
  <c r="O737" i="10"/>
  <c r="M737" i="10"/>
  <c r="K737" i="10"/>
  <c r="I737" i="10"/>
  <c r="G737" i="10"/>
  <c r="R736" i="10"/>
  <c r="Q736" i="10"/>
  <c r="O736" i="10"/>
  <c r="M736" i="10"/>
  <c r="K736" i="10"/>
  <c r="I736" i="10"/>
  <c r="G736" i="10"/>
  <c r="R735" i="10"/>
  <c r="Q735" i="10"/>
  <c r="O735" i="10"/>
  <c r="M735" i="10"/>
  <c r="K735" i="10"/>
  <c r="I735" i="10"/>
  <c r="G735" i="10"/>
  <c r="R734" i="10"/>
  <c r="Q734" i="10"/>
  <c r="O734" i="10"/>
  <c r="M734" i="10"/>
  <c r="K734" i="10"/>
  <c r="I734" i="10"/>
  <c r="G734" i="10"/>
  <c r="R733" i="10"/>
  <c r="Q733" i="10"/>
  <c r="O733" i="10"/>
  <c r="M733" i="10"/>
  <c r="K733" i="10"/>
  <c r="I733" i="10"/>
  <c r="G733" i="10"/>
  <c r="R732" i="10"/>
  <c r="Q732" i="10"/>
  <c r="O732" i="10"/>
  <c r="M732" i="10"/>
  <c r="K732" i="10"/>
  <c r="I732" i="10"/>
  <c r="G732" i="10"/>
  <c r="R731" i="10"/>
  <c r="Q731" i="10"/>
  <c r="O731" i="10"/>
  <c r="M731" i="10"/>
  <c r="K731" i="10"/>
  <c r="I731" i="10"/>
  <c r="G731" i="10"/>
  <c r="R730" i="10"/>
  <c r="Q730" i="10"/>
  <c r="O730" i="10"/>
  <c r="M730" i="10"/>
  <c r="K730" i="10"/>
  <c r="I730" i="10"/>
  <c r="G730" i="10"/>
  <c r="R729" i="10"/>
  <c r="Q729" i="10"/>
  <c r="O729" i="10"/>
  <c r="M729" i="10"/>
  <c r="K729" i="10"/>
  <c r="I729" i="10"/>
  <c r="G729" i="10"/>
  <c r="R728" i="10"/>
  <c r="Q728" i="10"/>
  <c r="O728" i="10"/>
  <c r="M728" i="10"/>
  <c r="K728" i="10"/>
  <c r="I728" i="10"/>
  <c r="G728" i="10"/>
  <c r="R727" i="10"/>
  <c r="Q727" i="10"/>
  <c r="O727" i="10"/>
  <c r="M727" i="10"/>
  <c r="K727" i="10"/>
  <c r="I727" i="10"/>
  <c r="G727" i="10"/>
  <c r="R726" i="10"/>
  <c r="Q726" i="10"/>
  <c r="O726" i="10"/>
  <c r="M726" i="10"/>
  <c r="K726" i="10"/>
  <c r="I726" i="10"/>
  <c r="G726" i="10"/>
  <c r="R725" i="10"/>
  <c r="Q725" i="10"/>
  <c r="O725" i="10"/>
  <c r="M725" i="10"/>
  <c r="K725" i="10"/>
  <c r="I725" i="10"/>
  <c r="G725" i="10"/>
  <c r="R724" i="10"/>
  <c r="Q724" i="10"/>
  <c r="O724" i="10"/>
  <c r="M724" i="10"/>
  <c r="K724" i="10"/>
  <c r="I724" i="10"/>
  <c r="G724" i="10"/>
  <c r="R723" i="10"/>
  <c r="Q723" i="10"/>
  <c r="O723" i="10"/>
  <c r="M723" i="10"/>
  <c r="K723" i="10"/>
  <c r="I723" i="10"/>
  <c r="G723" i="10"/>
  <c r="R722" i="10"/>
  <c r="Q722" i="10"/>
  <c r="O722" i="10"/>
  <c r="M722" i="10"/>
  <c r="K722" i="10"/>
  <c r="I722" i="10"/>
  <c r="G722" i="10"/>
  <c r="R721" i="10"/>
  <c r="Q721" i="10"/>
  <c r="O721" i="10"/>
  <c r="M721" i="10"/>
  <c r="K721" i="10"/>
  <c r="I721" i="10"/>
  <c r="G721" i="10"/>
  <c r="R720" i="10"/>
  <c r="Q720" i="10"/>
  <c r="O720" i="10"/>
  <c r="M720" i="10"/>
  <c r="K720" i="10"/>
  <c r="I720" i="10"/>
  <c r="G720" i="10"/>
  <c r="R719" i="10"/>
  <c r="Q719" i="10"/>
  <c r="O719" i="10"/>
  <c r="M719" i="10"/>
  <c r="K719" i="10"/>
  <c r="I719" i="10"/>
  <c r="G719" i="10"/>
  <c r="R718" i="10"/>
  <c r="Q718" i="10"/>
  <c r="O718" i="10"/>
  <c r="M718" i="10"/>
  <c r="K718" i="10"/>
  <c r="I718" i="10"/>
  <c r="G718" i="10"/>
  <c r="R717" i="10"/>
  <c r="Q717" i="10"/>
  <c r="O717" i="10"/>
  <c r="M717" i="10"/>
  <c r="K717" i="10"/>
  <c r="I717" i="10"/>
  <c r="G717" i="10"/>
  <c r="R716" i="10"/>
  <c r="Q716" i="10"/>
  <c r="O716" i="10"/>
  <c r="M716" i="10"/>
  <c r="K716" i="10"/>
  <c r="I716" i="10"/>
  <c r="G716" i="10"/>
  <c r="R715" i="10"/>
  <c r="Q715" i="10"/>
  <c r="O715" i="10"/>
  <c r="M715" i="10"/>
  <c r="K715" i="10"/>
  <c r="I715" i="10"/>
  <c r="G715" i="10"/>
  <c r="R714" i="10"/>
  <c r="Q714" i="10"/>
  <c r="O714" i="10"/>
  <c r="M714" i="10"/>
  <c r="K714" i="10"/>
  <c r="I714" i="10"/>
  <c r="G714" i="10"/>
  <c r="R713" i="10"/>
  <c r="Q713" i="10"/>
  <c r="O713" i="10"/>
  <c r="M713" i="10"/>
  <c r="K713" i="10"/>
  <c r="I713" i="10"/>
  <c r="G713" i="10"/>
  <c r="R712" i="10"/>
  <c r="Q712" i="10"/>
  <c r="O712" i="10"/>
  <c r="M712" i="10"/>
  <c r="K712" i="10"/>
  <c r="I712" i="10"/>
  <c r="G712" i="10"/>
  <c r="R711" i="10"/>
  <c r="Q711" i="10"/>
  <c r="O711" i="10"/>
  <c r="M711" i="10"/>
  <c r="K711" i="10"/>
  <c r="I711" i="10"/>
  <c r="G711" i="10"/>
  <c r="R710" i="10"/>
  <c r="Q710" i="10"/>
  <c r="O710" i="10"/>
  <c r="M710" i="10"/>
  <c r="K710" i="10"/>
  <c r="I710" i="10"/>
  <c r="G710" i="10"/>
  <c r="R709" i="10"/>
  <c r="Q709" i="10"/>
  <c r="O709" i="10"/>
  <c r="M709" i="10"/>
  <c r="K709" i="10"/>
  <c r="I709" i="10"/>
  <c r="G709" i="10"/>
  <c r="R708" i="10"/>
  <c r="Q708" i="10"/>
  <c r="O708" i="10"/>
  <c r="M708" i="10"/>
  <c r="K708" i="10"/>
  <c r="I708" i="10"/>
  <c r="G708" i="10"/>
  <c r="R707" i="10"/>
  <c r="Q707" i="10"/>
  <c r="O707" i="10"/>
  <c r="M707" i="10"/>
  <c r="K707" i="10"/>
  <c r="I707" i="10"/>
  <c r="G707" i="10"/>
  <c r="R706" i="10"/>
  <c r="Q706" i="10"/>
  <c r="O706" i="10"/>
  <c r="M706" i="10"/>
  <c r="K706" i="10"/>
  <c r="I706" i="10"/>
  <c r="G706" i="10"/>
  <c r="R705" i="10"/>
  <c r="Q705" i="10"/>
  <c r="O705" i="10"/>
  <c r="M705" i="10"/>
  <c r="K705" i="10"/>
  <c r="I705" i="10"/>
  <c r="G705" i="10"/>
  <c r="R704" i="10"/>
  <c r="Q704" i="10"/>
  <c r="O704" i="10"/>
  <c r="M704" i="10"/>
  <c r="K704" i="10"/>
  <c r="I704" i="10"/>
  <c r="G704" i="10"/>
  <c r="R703" i="10"/>
  <c r="Q703" i="10"/>
  <c r="O703" i="10"/>
  <c r="M703" i="10"/>
  <c r="K703" i="10"/>
  <c r="I703" i="10"/>
  <c r="G703" i="10"/>
  <c r="R702" i="10"/>
  <c r="Q702" i="10"/>
  <c r="O702" i="10"/>
  <c r="M702" i="10"/>
  <c r="K702" i="10"/>
  <c r="I702" i="10"/>
  <c r="G702" i="10"/>
  <c r="R701" i="10"/>
  <c r="Q701" i="10"/>
  <c r="O701" i="10"/>
  <c r="M701" i="10"/>
  <c r="K701" i="10"/>
  <c r="I701" i="10"/>
  <c r="G701" i="10"/>
  <c r="R700" i="10"/>
  <c r="Q700" i="10"/>
  <c r="O700" i="10"/>
  <c r="M700" i="10"/>
  <c r="K700" i="10"/>
  <c r="I700" i="10"/>
  <c r="G700" i="10"/>
  <c r="R699" i="10"/>
  <c r="Q699" i="10"/>
  <c r="O699" i="10"/>
  <c r="M699" i="10"/>
  <c r="K699" i="10"/>
  <c r="I699" i="10"/>
  <c r="G699" i="10"/>
  <c r="R698" i="10"/>
  <c r="Q698" i="10"/>
  <c r="O698" i="10"/>
  <c r="M698" i="10"/>
  <c r="K698" i="10"/>
  <c r="I698" i="10"/>
  <c r="G698" i="10"/>
  <c r="R697" i="10"/>
  <c r="Q697" i="10"/>
  <c r="O697" i="10"/>
  <c r="M697" i="10"/>
  <c r="K697" i="10"/>
  <c r="I697" i="10"/>
  <c r="G697" i="10"/>
  <c r="R696" i="10"/>
  <c r="Q696" i="10"/>
  <c r="O696" i="10"/>
  <c r="M696" i="10"/>
  <c r="K696" i="10"/>
  <c r="I696" i="10"/>
  <c r="G696" i="10"/>
  <c r="R695" i="10"/>
  <c r="Q695" i="10"/>
  <c r="O695" i="10"/>
  <c r="M695" i="10"/>
  <c r="K695" i="10"/>
  <c r="I695" i="10"/>
  <c r="G695" i="10"/>
  <c r="R694" i="10"/>
  <c r="Q694" i="10"/>
  <c r="O694" i="10"/>
  <c r="M694" i="10"/>
  <c r="K694" i="10"/>
  <c r="I694" i="10"/>
  <c r="G694" i="10"/>
  <c r="R693" i="10"/>
  <c r="Q693" i="10"/>
  <c r="O693" i="10"/>
  <c r="M693" i="10"/>
  <c r="K693" i="10"/>
  <c r="I693" i="10"/>
  <c r="G693" i="10"/>
  <c r="R692" i="10"/>
  <c r="Q692" i="10"/>
  <c r="O692" i="10"/>
  <c r="M692" i="10"/>
  <c r="K692" i="10"/>
  <c r="I692" i="10"/>
  <c r="G692" i="10"/>
  <c r="R691" i="10"/>
  <c r="Q691" i="10"/>
  <c r="O691" i="10"/>
  <c r="M691" i="10"/>
  <c r="K691" i="10"/>
  <c r="I691" i="10"/>
  <c r="G691" i="10"/>
  <c r="R690" i="10"/>
  <c r="Q690" i="10"/>
  <c r="O690" i="10"/>
  <c r="M690" i="10"/>
  <c r="K690" i="10"/>
  <c r="I690" i="10"/>
  <c r="G690" i="10"/>
  <c r="R689" i="10"/>
  <c r="Q689" i="10"/>
  <c r="O689" i="10"/>
  <c r="M689" i="10"/>
  <c r="K689" i="10"/>
  <c r="I689" i="10"/>
  <c r="G689" i="10"/>
  <c r="R688" i="10"/>
  <c r="Q688" i="10"/>
  <c r="O688" i="10"/>
  <c r="M688" i="10"/>
  <c r="K688" i="10"/>
  <c r="I688" i="10"/>
  <c r="G688" i="10"/>
  <c r="R687" i="10"/>
  <c r="Q687" i="10"/>
  <c r="O687" i="10"/>
  <c r="M687" i="10"/>
  <c r="K687" i="10"/>
  <c r="I687" i="10"/>
  <c r="G687" i="10"/>
  <c r="R686" i="10"/>
  <c r="Q686" i="10"/>
  <c r="O686" i="10"/>
  <c r="M686" i="10"/>
  <c r="K686" i="10"/>
  <c r="I686" i="10"/>
  <c r="G686" i="10"/>
  <c r="R685" i="10"/>
  <c r="Q685" i="10"/>
  <c r="O685" i="10"/>
  <c r="M685" i="10"/>
  <c r="K685" i="10"/>
  <c r="I685" i="10"/>
  <c r="G685" i="10"/>
  <c r="R684" i="10"/>
  <c r="Q684" i="10"/>
  <c r="O684" i="10"/>
  <c r="M684" i="10"/>
  <c r="K684" i="10"/>
  <c r="I684" i="10"/>
  <c r="G684" i="10"/>
  <c r="R683" i="10"/>
  <c r="Q683" i="10"/>
  <c r="O683" i="10"/>
  <c r="M683" i="10"/>
  <c r="K683" i="10"/>
  <c r="I683" i="10"/>
  <c r="G683" i="10"/>
  <c r="R682" i="10"/>
  <c r="Q682" i="10"/>
  <c r="O682" i="10"/>
  <c r="M682" i="10"/>
  <c r="K682" i="10"/>
  <c r="I682" i="10"/>
  <c r="G682" i="10"/>
  <c r="R681" i="10"/>
  <c r="Q681" i="10"/>
  <c r="O681" i="10"/>
  <c r="M681" i="10"/>
  <c r="K681" i="10"/>
  <c r="I681" i="10"/>
  <c r="G681" i="10"/>
  <c r="R680" i="10"/>
  <c r="Q680" i="10"/>
  <c r="O680" i="10"/>
  <c r="M680" i="10"/>
  <c r="K680" i="10"/>
  <c r="I680" i="10"/>
  <c r="G680" i="10"/>
  <c r="R679" i="10"/>
  <c r="Q679" i="10"/>
  <c r="O679" i="10"/>
  <c r="M679" i="10"/>
  <c r="K679" i="10"/>
  <c r="I679" i="10"/>
  <c r="G679" i="10"/>
  <c r="R678" i="10"/>
  <c r="Q678" i="10"/>
  <c r="O678" i="10"/>
  <c r="M678" i="10"/>
  <c r="K678" i="10"/>
  <c r="I678" i="10"/>
  <c r="G678" i="10"/>
  <c r="R677" i="10"/>
  <c r="Q677" i="10"/>
  <c r="O677" i="10"/>
  <c r="M677" i="10"/>
  <c r="K677" i="10"/>
  <c r="I677" i="10"/>
  <c r="G677" i="10"/>
  <c r="R676" i="10"/>
  <c r="Q676" i="10"/>
  <c r="O676" i="10"/>
  <c r="M676" i="10"/>
  <c r="K676" i="10"/>
  <c r="I676" i="10"/>
  <c r="G676" i="10"/>
  <c r="R675" i="10"/>
  <c r="Q675" i="10"/>
  <c r="O675" i="10"/>
  <c r="M675" i="10"/>
  <c r="K675" i="10"/>
  <c r="I675" i="10"/>
  <c r="G675" i="10"/>
  <c r="R674" i="10"/>
  <c r="Q674" i="10"/>
  <c r="O674" i="10"/>
  <c r="M674" i="10"/>
  <c r="K674" i="10"/>
  <c r="I674" i="10"/>
  <c r="G674" i="10"/>
  <c r="R673" i="10"/>
  <c r="Q673" i="10"/>
  <c r="O673" i="10"/>
  <c r="M673" i="10"/>
  <c r="K673" i="10"/>
  <c r="I673" i="10"/>
  <c r="G673" i="10"/>
  <c r="R672" i="10"/>
  <c r="Q672" i="10"/>
  <c r="O672" i="10"/>
  <c r="M672" i="10"/>
  <c r="K672" i="10"/>
  <c r="I672" i="10"/>
  <c r="G672" i="10"/>
  <c r="R671" i="10"/>
  <c r="Q671" i="10"/>
  <c r="O671" i="10"/>
  <c r="M671" i="10"/>
  <c r="K671" i="10"/>
  <c r="I671" i="10"/>
  <c r="G671" i="10"/>
  <c r="R670" i="10"/>
  <c r="Q670" i="10"/>
  <c r="O670" i="10"/>
  <c r="M670" i="10"/>
  <c r="K670" i="10"/>
  <c r="I670" i="10"/>
  <c r="G670" i="10"/>
  <c r="R669" i="10"/>
  <c r="Q669" i="10"/>
  <c r="O669" i="10"/>
  <c r="M669" i="10"/>
  <c r="K669" i="10"/>
  <c r="I669" i="10"/>
  <c r="G669" i="10"/>
  <c r="R668" i="10"/>
  <c r="Q668" i="10"/>
  <c r="O668" i="10"/>
  <c r="M668" i="10"/>
  <c r="K668" i="10"/>
  <c r="I668" i="10"/>
  <c r="G668" i="10"/>
  <c r="R667" i="10"/>
  <c r="Q667" i="10"/>
  <c r="O667" i="10"/>
  <c r="M667" i="10"/>
  <c r="K667" i="10"/>
  <c r="I667" i="10"/>
  <c r="G667" i="10"/>
  <c r="R666" i="10"/>
  <c r="Q666" i="10"/>
  <c r="O666" i="10"/>
  <c r="M666" i="10"/>
  <c r="K666" i="10"/>
  <c r="I666" i="10"/>
  <c r="G666" i="10"/>
  <c r="R665" i="10"/>
  <c r="Q665" i="10"/>
  <c r="O665" i="10"/>
  <c r="M665" i="10"/>
  <c r="K665" i="10"/>
  <c r="I665" i="10"/>
  <c r="G665" i="10"/>
  <c r="R664" i="10"/>
  <c r="Q664" i="10"/>
  <c r="O664" i="10"/>
  <c r="M664" i="10"/>
  <c r="K664" i="10"/>
  <c r="I664" i="10"/>
  <c r="G664" i="10"/>
  <c r="R663" i="10"/>
  <c r="Q663" i="10"/>
  <c r="O663" i="10"/>
  <c r="M663" i="10"/>
  <c r="K663" i="10"/>
  <c r="I663" i="10"/>
  <c r="G663" i="10"/>
  <c r="R662" i="10"/>
  <c r="Q662" i="10"/>
  <c r="O662" i="10"/>
  <c r="M662" i="10"/>
  <c r="K662" i="10"/>
  <c r="I662" i="10"/>
  <c r="G662" i="10"/>
  <c r="R661" i="10"/>
  <c r="Q661" i="10"/>
  <c r="O661" i="10"/>
  <c r="M661" i="10"/>
  <c r="K661" i="10"/>
  <c r="I661" i="10"/>
  <c r="G661" i="10"/>
  <c r="R660" i="10"/>
  <c r="Q660" i="10"/>
  <c r="O660" i="10"/>
  <c r="M660" i="10"/>
  <c r="K660" i="10"/>
  <c r="I660" i="10"/>
  <c r="G660" i="10"/>
  <c r="R659" i="10"/>
  <c r="Q659" i="10"/>
  <c r="O659" i="10"/>
  <c r="M659" i="10"/>
  <c r="K659" i="10"/>
  <c r="I659" i="10"/>
  <c r="G659" i="10"/>
  <c r="R658" i="10"/>
  <c r="Q658" i="10"/>
  <c r="O658" i="10"/>
  <c r="M658" i="10"/>
  <c r="K658" i="10"/>
  <c r="I658" i="10"/>
  <c r="G658" i="10"/>
  <c r="R657" i="10"/>
  <c r="Q657" i="10"/>
  <c r="O657" i="10"/>
  <c r="M657" i="10"/>
  <c r="K657" i="10"/>
  <c r="I657" i="10"/>
  <c r="G657" i="10"/>
  <c r="R656" i="10"/>
  <c r="Q656" i="10"/>
  <c r="O656" i="10"/>
  <c r="M656" i="10"/>
  <c r="K656" i="10"/>
  <c r="I656" i="10"/>
  <c r="G656" i="10"/>
  <c r="R655" i="10"/>
  <c r="Q655" i="10"/>
  <c r="O655" i="10"/>
  <c r="M655" i="10"/>
  <c r="K655" i="10"/>
  <c r="I655" i="10"/>
  <c r="G655" i="10"/>
  <c r="R654" i="10"/>
  <c r="Q654" i="10"/>
  <c r="O654" i="10"/>
  <c r="M654" i="10"/>
  <c r="K654" i="10"/>
  <c r="I654" i="10"/>
  <c r="G654" i="10"/>
  <c r="R653" i="10"/>
  <c r="Q653" i="10"/>
  <c r="O653" i="10"/>
  <c r="M653" i="10"/>
  <c r="K653" i="10"/>
  <c r="I653" i="10"/>
  <c r="G653" i="10"/>
  <c r="R652" i="10"/>
  <c r="Q652" i="10"/>
  <c r="O652" i="10"/>
  <c r="M652" i="10"/>
  <c r="K652" i="10"/>
  <c r="I652" i="10"/>
  <c r="G652" i="10"/>
  <c r="R651" i="10"/>
  <c r="Q651" i="10"/>
  <c r="O651" i="10"/>
  <c r="M651" i="10"/>
  <c r="K651" i="10"/>
  <c r="I651" i="10"/>
  <c r="G651" i="10"/>
  <c r="R650" i="10"/>
  <c r="Q650" i="10"/>
  <c r="O650" i="10"/>
  <c r="M650" i="10"/>
  <c r="K650" i="10"/>
  <c r="I650" i="10"/>
  <c r="G650" i="10"/>
  <c r="R649" i="10"/>
  <c r="Q649" i="10"/>
  <c r="O649" i="10"/>
  <c r="M649" i="10"/>
  <c r="K649" i="10"/>
  <c r="I649" i="10"/>
  <c r="G649" i="10"/>
  <c r="R648" i="10"/>
  <c r="Q648" i="10"/>
  <c r="O648" i="10"/>
  <c r="M648" i="10"/>
  <c r="K648" i="10"/>
  <c r="I648" i="10"/>
  <c r="G648" i="10"/>
  <c r="R647" i="10"/>
  <c r="Q647" i="10"/>
  <c r="O647" i="10"/>
  <c r="M647" i="10"/>
  <c r="K647" i="10"/>
  <c r="I647" i="10"/>
  <c r="G647" i="10"/>
  <c r="R646" i="10"/>
  <c r="Q646" i="10"/>
  <c r="O646" i="10"/>
  <c r="M646" i="10"/>
  <c r="K646" i="10"/>
  <c r="I646" i="10"/>
  <c r="G646" i="10"/>
  <c r="R645" i="10"/>
  <c r="Q645" i="10"/>
  <c r="O645" i="10"/>
  <c r="M645" i="10"/>
  <c r="K645" i="10"/>
  <c r="I645" i="10"/>
  <c r="G645" i="10"/>
  <c r="R644" i="10"/>
  <c r="Q644" i="10"/>
  <c r="O644" i="10"/>
  <c r="M644" i="10"/>
  <c r="K644" i="10"/>
  <c r="I644" i="10"/>
  <c r="G644" i="10"/>
  <c r="R643" i="10"/>
  <c r="Q643" i="10"/>
  <c r="O643" i="10"/>
  <c r="M643" i="10"/>
  <c r="K643" i="10"/>
  <c r="I643" i="10"/>
  <c r="G643" i="10"/>
  <c r="R642" i="10"/>
  <c r="Q642" i="10"/>
  <c r="O642" i="10"/>
  <c r="M642" i="10"/>
  <c r="K642" i="10"/>
  <c r="I642" i="10"/>
  <c r="G642" i="10"/>
  <c r="R641" i="10"/>
  <c r="Q641" i="10"/>
  <c r="O641" i="10"/>
  <c r="M641" i="10"/>
  <c r="K641" i="10"/>
  <c r="I641" i="10"/>
  <c r="G641" i="10"/>
  <c r="R640" i="10"/>
  <c r="Q640" i="10"/>
  <c r="O640" i="10"/>
  <c r="M640" i="10"/>
  <c r="K640" i="10"/>
  <c r="I640" i="10"/>
  <c r="G640" i="10"/>
  <c r="R639" i="10"/>
  <c r="Q639" i="10"/>
  <c r="O639" i="10"/>
  <c r="M639" i="10"/>
  <c r="K639" i="10"/>
  <c r="I639" i="10"/>
  <c r="G639" i="10"/>
  <c r="R638" i="10"/>
  <c r="Q638" i="10"/>
  <c r="O638" i="10"/>
  <c r="M638" i="10"/>
  <c r="K638" i="10"/>
  <c r="I638" i="10"/>
  <c r="G638" i="10"/>
  <c r="R637" i="10"/>
  <c r="Q637" i="10"/>
  <c r="O637" i="10"/>
  <c r="M637" i="10"/>
  <c r="K637" i="10"/>
  <c r="I637" i="10"/>
  <c r="G637" i="10"/>
  <c r="R636" i="10"/>
  <c r="Q636" i="10"/>
  <c r="O636" i="10"/>
  <c r="M636" i="10"/>
  <c r="K636" i="10"/>
  <c r="I636" i="10"/>
  <c r="G636" i="10"/>
  <c r="R635" i="10"/>
  <c r="Q635" i="10"/>
  <c r="O635" i="10"/>
  <c r="M635" i="10"/>
  <c r="K635" i="10"/>
  <c r="I635" i="10"/>
  <c r="G635" i="10"/>
  <c r="R634" i="10"/>
  <c r="Q634" i="10"/>
  <c r="O634" i="10"/>
  <c r="M634" i="10"/>
  <c r="K634" i="10"/>
  <c r="I634" i="10"/>
  <c r="G634" i="10"/>
  <c r="R633" i="10"/>
  <c r="Q633" i="10"/>
  <c r="O633" i="10"/>
  <c r="M633" i="10"/>
  <c r="K633" i="10"/>
  <c r="I633" i="10"/>
  <c r="G633" i="10"/>
  <c r="R632" i="10"/>
  <c r="Q632" i="10"/>
  <c r="O632" i="10"/>
  <c r="M632" i="10"/>
  <c r="K632" i="10"/>
  <c r="I632" i="10"/>
  <c r="G632" i="10"/>
  <c r="R631" i="10"/>
  <c r="Q631" i="10"/>
  <c r="O631" i="10"/>
  <c r="M631" i="10"/>
  <c r="K631" i="10"/>
  <c r="I631" i="10"/>
  <c r="G631" i="10"/>
  <c r="R630" i="10"/>
  <c r="Q630" i="10"/>
  <c r="O630" i="10"/>
  <c r="M630" i="10"/>
  <c r="K630" i="10"/>
  <c r="I630" i="10"/>
  <c r="G630" i="10"/>
  <c r="R629" i="10"/>
  <c r="Q629" i="10"/>
  <c r="O629" i="10"/>
  <c r="M629" i="10"/>
  <c r="K629" i="10"/>
  <c r="I629" i="10"/>
  <c r="G629" i="10"/>
  <c r="R628" i="10"/>
  <c r="Q628" i="10"/>
  <c r="O628" i="10"/>
  <c r="M628" i="10"/>
  <c r="K628" i="10"/>
  <c r="I628" i="10"/>
  <c r="G628" i="10"/>
  <c r="R627" i="10"/>
  <c r="Q627" i="10"/>
  <c r="O627" i="10"/>
  <c r="M627" i="10"/>
  <c r="K627" i="10"/>
  <c r="I627" i="10"/>
  <c r="G627" i="10"/>
  <c r="R626" i="10"/>
  <c r="Q626" i="10"/>
  <c r="O626" i="10"/>
  <c r="M626" i="10"/>
  <c r="K626" i="10"/>
  <c r="I626" i="10"/>
  <c r="G626" i="10"/>
  <c r="R625" i="10"/>
  <c r="Q625" i="10"/>
  <c r="O625" i="10"/>
  <c r="M625" i="10"/>
  <c r="K625" i="10"/>
  <c r="I625" i="10"/>
  <c r="G625" i="10"/>
  <c r="R624" i="10"/>
  <c r="Q624" i="10"/>
  <c r="O624" i="10"/>
  <c r="M624" i="10"/>
  <c r="K624" i="10"/>
  <c r="I624" i="10"/>
  <c r="G624" i="10"/>
  <c r="R623" i="10"/>
  <c r="Q623" i="10"/>
  <c r="O623" i="10"/>
  <c r="M623" i="10"/>
  <c r="K623" i="10"/>
  <c r="I623" i="10"/>
  <c r="G623" i="10"/>
  <c r="R622" i="10"/>
  <c r="Q622" i="10"/>
  <c r="O622" i="10"/>
  <c r="M622" i="10"/>
  <c r="K622" i="10"/>
  <c r="I622" i="10"/>
  <c r="G622" i="10"/>
  <c r="R621" i="10"/>
  <c r="Q621" i="10"/>
  <c r="O621" i="10"/>
  <c r="M621" i="10"/>
  <c r="K621" i="10"/>
  <c r="I621" i="10"/>
  <c r="G621" i="10"/>
  <c r="R620" i="10"/>
  <c r="Q620" i="10"/>
  <c r="O620" i="10"/>
  <c r="M620" i="10"/>
  <c r="K620" i="10"/>
  <c r="I620" i="10"/>
  <c r="G620" i="10"/>
  <c r="R619" i="10"/>
  <c r="Q619" i="10"/>
  <c r="O619" i="10"/>
  <c r="M619" i="10"/>
  <c r="K619" i="10"/>
  <c r="I619" i="10"/>
  <c r="G619" i="10"/>
  <c r="R618" i="10"/>
  <c r="Q618" i="10"/>
  <c r="O618" i="10"/>
  <c r="M618" i="10"/>
  <c r="K618" i="10"/>
  <c r="I618" i="10"/>
  <c r="G618" i="10"/>
  <c r="R617" i="10"/>
  <c r="Q617" i="10"/>
  <c r="O617" i="10"/>
  <c r="M617" i="10"/>
  <c r="K617" i="10"/>
  <c r="I617" i="10"/>
  <c r="G617" i="10"/>
  <c r="R616" i="10"/>
  <c r="Q616" i="10"/>
  <c r="O616" i="10"/>
  <c r="M616" i="10"/>
  <c r="K616" i="10"/>
  <c r="I616" i="10"/>
  <c r="G616" i="10"/>
  <c r="R615" i="10"/>
  <c r="Q615" i="10"/>
  <c r="O615" i="10"/>
  <c r="M615" i="10"/>
  <c r="K615" i="10"/>
  <c r="I615" i="10"/>
  <c r="G615" i="10"/>
  <c r="R614" i="10"/>
  <c r="Q614" i="10"/>
  <c r="O614" i="10"/>
  <c r="M614" i="10"/>
  <c r="K614" i="10"/>
  <c r="I614" i="10"/>
  <c r="G614" i="10"/>
  <c r="R613" i="10"/>
  <c r="Q613" i="10"/>
  <c r="O613" i="10"/>
  <c r="M613" i="10"/>
  <c r="K613" i="10"/>
  <c r="I613" i="10"/>
  <c r="G613" i="10"/>
  <c r="R612" i="10"/>
  <c r="Q612" i="10"/>
  <c r="O612" i="10"/>
  <c r="M612" i="10"/>
  <c r="K612" i="10"/>
  <c r="I612" i="10"/>
  <c r="G612" i="10"/>
  <c r="R611" i="10"/>
  <c r="Q611" i="10"/>
  <c r="O611" i="10"/>
  <c r="M611" i="10"/>
  <c r="K611" i="10"/>
  <c r="I611" i="10"/>
  <c r="G611" i="10"/>
  <c r="R610" i="10"/>
  <c r="Q610" i="10"/>
  <c r="O610" i="10"/>
  <c r="M610" i="10"/>
  <c r="K610" i="10"/>
  <c r="I610" i="10"/>
  <c r="G610" i="10"/>
  <c r="R609" i="10"/>
  <c r="Q609" i="10"/>
  <c r="O609" i="10"/>
  <c r="M609" i="10"/>
  <c r="K609" i="10"/>
  <c r="I609" i="10"/>
  <c r="G609" i="10"/>
  <c r="R608" i="10"/>
  <c r="Q608" i="10"/>
  <c r="O608" i="10"/>
  <c r="M608" i="10"/>
  <c r="K608" i="10"/>
  <c r="I608" i="10"/>
  <c r="G608" i="10"/>
  <c r="R607" i="10"/>
  <c r="Q607" i="10"/>
  <c r="O607" i="10"/>
  <c r="M607" i="10"/>
  <c r="K607" i="10"/>
  <c r="I607" i="10"/>
  <c r="G607" i="10"/>
  <c r="R606" i="10"/>
  <c r="Q606" i="10"/>
  <c r="O606" i="10"/>
  <c r="M606" i="10"/>
  <c r="K606" i="10"/>
  <c r="I606" i="10"/>
  <c r="G606" i="10"/>
  <c r="R605" i="10"/>
  <c r="Q605" i="10"/>
  <c r="O605" i="10"/>
  <c r="M605" i="10"/>
  <c r="K605" i="10"/>
  <c r="I605" i="10"/>
  <c r="G605" i="10"/>
  <c r="R604" i="10"/>
  <c r="Q604" i="10"/>
  <c r="O604" i="10"/>
  <c r="M604" i="10"/>
  <c r="K604" i="10"/>
  <c r="I604" i="10"/>
  <c r="G604" i="10"/>
  <c r="R603" i="10"/>
  <c r="Q603" i="10"/>
  <c r="O603" i="10"/>
  <c r="M603" i="10"/>
  <c r="K603" i="10"/>
  <c r="I603" i="10"/>
  <c r="G603" i="10"/>
  <c r="R602" i="10"/>
  <c r="Q602" i="10"/>
  <c r="O602" i="10"/>
  <c r="M602" i="10"/>
  <c r="K602" i="10"/>
  <c r="I602" i="10"/>
  <c r="G602" i="10"/>
  <c r="R601" i="10"/>
  <c r="Q601" i="10"/>
  <c r="O601" i="10"/>
  <c r="M601" i="10"/>
  <c r="K601" i="10"/>
  <c r="I601" i="10"/>
  <c r="G601" i="10"/>
  <c r="R600" i="10"/>
  <c r="Q600" i="10"/>
  <c r="O600" i="10"/>
  <c r="M600" i="10"/>
  <c r="K600" i="10"/>
  <c r="I600" i="10"/>
  <c r="G600" i="10"/>
  <c r="R599" i="10"/>
  <c r="Q599" i="10"/>
  <c r="O599" i="10"/>
  <c r="M599" i="10"/>
  <c r="K599" i="10"/>
  <c r="I599" i="10"/>
  <c r="G599" i="10"/>
  <c r="R598" i="10"/>
  <c r="Q598" i="10"/>
  <c r="O598" i="10"/>
  <c r="M598" i="10"/>
  <c r="K598" i="10"/>
  <c r="I598" i="10"/>
  <c r="G598" i="10"/>
  <c r="R597" i="10"/>
  <c r="Q597" i="10"/>
  <c r="O597" i="10"/>
  <c r="M597" i="10"/>
  <c r="K597" i="10"/>
  <c r="I597" i="10"/>
  <c r="G597" i="10"/>
  <c r="R596" i="10"/>
  <c r="Q596" i="10"/>
  <c r="O596" i="10"/>
  <c r="M596" i="10"/>
  <c r="K596" i="10"/>
  <c r="I596" i="10"/>
  <c r="G596" i="10"/>
  <c r="R595" i="10"/>
  <c r="Q595" i="10"/>
  <c r="O595" i="10"/>
  <c r="M595" i="10"/>
  <c r="K595" i="10"/>
  <c r="I595" i="10"/>
  <c r="G595" i="10"/>
  <c r="R594" i="10"/>
  <c r="Q594" i="10"/>
  <c r="O594" i="10"/>
  <c r="M594" i="10"/>
  <c r="K594" i="10"/>
  <c r="I594" i="10"/>
  <c r="G594" i="10"/>
  <c r="R593" i="10"/>
  <c r="Q593" i="10"/>
  <c r="O593" i="10"/>
  <c r="M593" i="10"/>
  <c r="K593" i="10"/>
  <c r="I593" i="10"/>
  <c r="G593" i="10"/>
  <c r="R592" i="10"/>
  <c r="Q592" i="10"/>
  <c r="O592" i="10"/>
  <c r="M592" i="10"/>
  <c r="K592" i="10"/>
  <c r="I592" i="10"/>
  <c r="G592" i="10"/>
  <c r="R591" i="10"/>
  <c r="Q591" i="10"/>
  <c r="O591" i="10"/>
  <c r="M591" i="10"/>
  <c r="K591" i="10"/>
  <c r="I591" i="10"/>
  <c r="G591" i="10"/>
  <c r="R590" i="10"/>
  <c r="Q590" i="10"/>
  <c r="O590" i="10"/>
  <c r="M590" i="10"/>
  <c r="K590" i="10"/>
  <c r="I590" i="10"/>
  <c r="G590" i="10"/>
  <c r="R589" i="10"/>
  <c r="Q589" i="10"/>
  <c r="O589" i="10"/>
  <c r="M589" i="10"/>
  <c r="K589" i="10"/>
  <c r="I589" i="10"/>
  <c r="G589" i="10"/>
  <c r="R588" i="10"/>
  <c r="Q588" i="10"/>
  <c r="O588" i="10"/>
  <c r="M588" i="10"/>
  <c r="K588" i="10"/>
  <c r="I588" i="10"/>
  <c r="G588" i="10"/>
  <c r="R587" i="10"/>
  <c r="Q587" i="10"/>
  <c r="O587" i="10"/>
  <c r="M587" i="10"/>
  <c r="K587" i="10"/>
  <c r="I587" i="10"/>
  <c r="G587" i="10"/>
  <c r="R586" i="10"/>
  <c r="Q586" i="10"/>
  <c r="O586" i="10"/>
  <c r="M586" i="10"/>
  <c r="K586" i="10"/>
  <c r="I586" i="10"/>
  <c r="G586" i="10"/>
  <c r="R585" i="10"/>
  <c r="Q585" i="10"/>
  <c r="O585" i="10"/>
  <c r="M585" i="10"/>
  <c r="K585" i="10"/>
  <c r="I585" i="10"/>
  <c r="G585" i="10"/>
  <c r="R584" i="10"/>
  <c r="Q584" i="10"/>
  <c r="O584" i="10"/>
  <c r="M584" i="10"/>
  <c r="K584" i="10"/>
  <c r="I584" i="10"/>
  <c r="G584" i="10"/>
  <c r="R583" i="10"/>
  <c r="Q583" i="10"/>
  <c r="O583" i="10"/>
  <c r="M583" i="10"/>
  <c r="K583" i="10"/>
  <c r="I583" i="10"/>
  <c r="G583" i="10"/>
  <c r="R582" i="10"/>
  <c r="Q582" i="10"/>
  <c r="O582" i="10"/>
  <c r="M582" i="10"/>
  <c r="K582" i="10"/>
  <c r="I582" i="10"/>
  <c r="G582" i="10"/>
  <c r="R581" i="10"/>
  <c r="Q581" i="10"/>
  <c r="O581" i="10"/>
  <c r="M581" i="10"/>
  <c r="K581" i="10"/>
  <c r="I581" i="10"/>
  <c r="G581" i="10"/>
  <c r="R580" i="10"/>
  <c r="Q580" i="10"/>
  <c r="O580" i="10"/>
  <c r="M580" i="10"/>
  <c r="K580" i="10"/>
  <c r="I580" i="10"/>
  <c r="G580" i="10"/>
  <c r="R579" i="10"/>
  <c r="Q579" i="10"/>
  <c r="O579" i="10"/>
  <c r="M579" i="10"/>
  <c r="K579" i="10"/>
  <c r="I579" i="10"/>
  <c r="G579" i="10"/>
  <c r="R578" i="10"/>
  <c r="Q578" i="10"/>
  <c r="O578" i="10"/>
  <c r="M578" i="10"/>
  <c r="K578" i="10"/>
  <c r="I578" i="10"/>
  <c r="G578" i="10"/>
  <c r="R577" i="10"/>
  <c r="Q577" i="10"/>
  <c r="O577" i="10"/>
  <c r="M577" i="10"/>
  <c r="K577" i="10"/>
  <c r="I577" i="10"/>
  <c r="G577" i="10"/>
  <c r="R576" i="10"/>
  <c r="Q576" i="10"/>
  <c r="O576" i="10"/>
  <c r="M576" i="10"/>
  <c r="K576" i="10"/>
  <c r="I576" i="10"/>
  <c r="G576" i="10"/>
  <c r="R575" i="10"/>
  <c r="Q575" i="10"/>
  <c r="O575" i="10"/>
  <c r="M575" i="10"/>
  <c r="K575" i="10"/>
  <c r="I575" i="10"/>
  <c r="G575" i="10"/>
  <c r="R574" i="10"/>
  <c r="Q574" i="10"/>
  <c r="O574" i="10"/>
  <c r="M574" i="10"/>
  <c r="K574" i="10"/>
  <c r="I574" i="10"/>
  <c r="G574" i="10"/>
  <c r="R573" i="10"/>
  <c r="Q573" i="10"/>
  <c r="O573" i="10"/>
  <c r="M573" i="10"/>
  <c r="K573" i="10"/>
  <c r="I573" i="10"/>
  <c r="G573" i="10"/>
  <c r="R572" i="10"/>
  <c r="Q572" i="10"/>
  <c r="O572" i="10"/>
  <c r="M572" i="10"/>
  <c r="K572" i="10"/>
  <c r="I572" i="10"/>
  <c r="G572" i="10"/>
  <c r="R571" i="10"/>
  <c r="Q571" i="10"/>
  <c r="O571" i="10"/>
  <c r="M571" i="10"/>
  <c r="K571" i="10"/>
  <c r="I571" i="10"/>
  <c r="G571" i="10"/>
  <c r="R570" i="10"/>
  <c r="Q570" i="10"/>
  <c r="O570" i="10"/>
  <c r="M570" i="10"/>
  <c r="K570" i="10"/>
  <c r="I570" i="10"/>
  <c r="G570" i="10"/>
  <c r="R569" i="10"/>
  <c r="Q569" i="10"/>
  <c r="O569" i="10"/>
  <c r="M569" i="10"/>
  <c r="K569" i="10"/>
  <c r="I569" i="10"/>
  <c r="G569" i="10"/>
  <c r="R568" i="10"/>
  <c r="Q568" i="10"/>
  <c r="O568" i="10"/>
  <c r="M568" i="10"/>
  <c r="K568" i="10"/>
  <c r="I568" i="10"/>
  <c r="G568" i="10"/>
  <c r="R567" i="10"/>
  <c r="Q567" i="10"/>
  <c r="O567" i="10"/>
  <c r="M567" i="10"/>
  <c r="K567" i="10"/>
  <c r="I567" i="10"/>
  <c r="G567" i="10"/>
  <c r="R566" i="10"/>
  <c r="Q566" i="10"/>
  <c r="O566" i="10"/>
  <c r="M566" i="10"/>
  <c r="K566" i="10"/>
  <c r="I566" i="10"/>
  <c r="G566" i="10"/>
  <c r="R565" i="10"/>
  <c r="Q565" i="10"/>
  <c r="O565" i="10"/>
  <c r="M565" i="10"/>
  <c r="K565" i="10"/>
  <c r="I565" i="10"/>
  <c r="G565" i="10"/>
  <c r="R564" i="10"/>
  <c r="Q564" i="10"/>
  <c r="O564" i="10"/>
  <c r="M564" i="10"/>
  <c r="K564" i="10"/>
  <c r="I564" i="10"/>
  <c r="G564" i="10"/>
  <c r="R563" i="10"/>
  <c r="Q563" i="10"/>
  <c r="O563" i="10"/>
  <c r="M563" i="10"/>
  <c r="K563" i="10"/>
  <c r="I563" i="10"/>
  <c r="G563" i="10"/>
  <c r="R562" i="10"/>
  <c r="Q562" i="10"/>
  <c r="O562" i="10"/>
  <c r="M562" i="10"/>
  <c r="K562" i="10"/>
  <c r="I562" i="10"/>
  <c r="G562" i="10"/>
  <c r="R561" i="10"/>
  <c r="Q561" i="10"/>
  <c r="O561" i="10"/>
  <c r="M561" i="10"/>
  <c r="K561" i="10"/>
  <c r="I561" i="10"/>
  <c r="G561" i="10"/>
  <c r="R560" i="10"/>
  <c r="Q560" i="10"/>
  <c r="O560" i="10"/>
  <c r="M560" i="10"/>
  <c r="K560" i="10"/>
  <c r="I560" i="10"/>
  <c r="G560" i="10"/>
  <c r="R559" i="10"/>
  <c r="Q559" i="10"/>
  <c r="O559" i="10"/>
  <c r="M559" i="10"/>
  <c r="K559" i="10"/>
  <c r="I559" i="10"/>
  <c r="G559" i="10"/>
  <c r="R558" i="10"/>
  <c r="Q558" i="10"/>
  <c r="O558" i="10"/>
  <c r="M558" i="10"/>
  <c r="K558" i="10"/>
  <c r="I558" i="10"/>
  <c r="G558" i="10"/>
  <c r="R557" i="10"/>
  <c r="Q557" i="10"/>
  <c r="O557" i="10"/>
  <c r="M557" i="10"/>
  <c r="K557" i="10"/>
  <c r="I557" i="10"/>
  <c r="G557" i="10"/>
  <c r="R556" i="10"/>
  <c r="Q556" i="10"/>
  <c r="O556" i="10"/>
  <c r="M556" i="10"/>
  <c r="K556" i="10"/>
  <c r="I556" i="10"/>
  <c r="G556" i="10"/>
  <c r="R555" i="10"/>
  <c r="Q555" i="10"/>
  <c r="O555" i="10"/>
  <c r="M555" i="10"/>
  <c r="K555" i="10"/>
  <c r="I555" i="10"/>
  <c r="G555" i="10"/>
  <c r="R554" i="10"/>
  <c r="Q554" i="10"/>
  <c r="O554" i="10"/>
  <c r="M554" i="10"/>
  <c r="K554" i="10"/>
  <c r="I554" i="10"/>
  <c r="G554" i="10"/>
  <c r="R553" i="10"/>
  <c r="Q553" i="10"/>
  <c r="O553" i="10"/>
  <c r="M553" i="10"/>
  <c r="K553" i="10"/>
  <c r="I553" i="10"/>
  <c r="G553" i="10"/>
  <c r="R552" i="10"/>
  <c r="Q552" i="10"/>
  <c r="O552" i="10"/>
  <c r="M552" i="10"/>
  <c r="K552" i="10"/>
  <c r="I552" i="10"/>
  <c r="G552" i="10"/>
  <c r="R551" i="10"/>
  <c r="Q551" i="10"/>
  <c r="O551" i="10"/>
  <c r="M551" i="10"/>
  <c r="K551" i="10"/>
  <c r="I551" i="10"/>
  <c r="G551" i="10"/>
  <c r="R550" i="10"/>
  <c r="Q550" i="10"/>
  <c r="O550" i="10"/>
  <c r="M550" i="10"/>
  <c r="K550" i="10"/>
  <c r="I550" i="10"/>
  <c r="G550" i="10"/>
  <c r="R549" i="10"/>
  <c r="Q549" i="10"/>
  <c r="O549" i="10"/>
  <c r="M549" i="10"/>
  <c r="K549" i="10"/>
  <c r="I549" i="10"/>
  <c r="G549" i="10"/>
  <c r="R548" i="10"/>
  <c r="Q548" i="10"/>
  <c r="O548" i="10"/>
  <c r="M548" i="10"/>
  <c r="K548" i="10"/>
  <c r="I548" i="10"/>
  <c r="G548" i="10"/>
  <c r="R547" i="10"/>
  <c r="Q547" i="10"/>
  <c r="O547" i="10"/>
  <c r="M547" i="10"/>
  <c r="K547" i="10"/>
  <c r="I547" i="10"/>
  <c r="G547" i="10"/>
  <c r="R546" i="10"/>
  <c r="Q546" i="10"/>
  <c r="O546" i="10"/>
  <c r="M546" i="10"/>
  <c r="K546" i="10"/>
  <c r="I546" i="10"/>
  <c r="G546" i="10"/>
  <c r="R545" i="10"/>
  <c r="Q545" i="10"/>
  <c r="O545" i="10"/>
  <c r="M545" i="10"/>
  <c r="K545" i="10"/>
  <c r="I545" i="10"/>
  <c r="G545" i="10"/>
  <c r="R544" i="10"/>
  <c r="Q544" i="10"/>
  <c r="O544" i="10"/>
  <c r="M544" i="10"/>
  <c r="K544" i="10"/>
  <c r="I544" i="10"/>
  <c r="G544" i="10"/>
  <c r="R543" i="10"/>
  <c r="Q543" i="10"/>
  <c r="O543" i="10"/>
  <c r="M543" i="10"/>
  <c r="K543" i="10"/>
  <c r="I543" i="10"/>
  <c r="G543" i="10"/>
  <c r="R542" i="10"/>
  <c r="Q542" i="10"/>
  <c r="O542" i="10"/>
  <c r="M542" i="10"/>
  <c r="K542" i="10"/>
  <c r="I542" i="10"/>
  <c r="G542" i="10"/>
  <c r="R541" i="10"/>
  <c r="Q541" i="10"/>
  <c r="O541" i="10"/>
  <c r="M541" i="10"/>
  <c r="K541" i="10"/>
  <c r="I541" i="10"/>
  <c r="G541" i="10"/>
  <c r="R540" i="10"/>
  <c r="Q540" i="10"/>
  <c r="O540" i="10"/>
  <c r="M540" i="10"/>
  <c r="K540" i="10"/>
  <c r="I540" i="10"/>
  <c r="G540" i="10"/>
  <c r="R539" i="10"/>
  <c r="Q539" i="10"/>
  <c r="O539" i="10"/>
  <c r="M539" i="10"/>
  <c r="K539" i="10"/>
  <c r="I539" i="10"/>
  <c r="G539" i="10"/>
  <c r="R538" i="10"/>
  <c r="Q538" i="10"/>
  <c r="O538" i="10"/>
  <c r="M538" i="10"/>
  <c r="K538" i="10"/>
  <c r="I538" i="10"/>
  <c r="G538" i="10"/>
  <c r="R537" i="10"/>
  <c r="Q537" i="10"/>
  <c r="O537" i="10"/>
  <c r="M537" i="10"/>
  <c r="K537" i="10"/>
  <c r="I537" i="10"/>
  <c r="G537" i="10"/>
  <c r="R536" i="10"/>
  <c r="Q536" i="10"/>
  <c r="O536" i="10"/>
  <c r="M536" i="10"/>
  <c r="K536" i="10"/>
  <c r="I536" i="10"/>
  <c r="G536" i="10"/>
  <c r="R535" i="10"/>
  <c r="Q535" i="10"/>
  <c r="O535" i="10"/>
  <c r="M535" i="10"/>
  <c r="K535" i="10"/>
  <c r="I535" i="10"/>
  <c r="G535" i="10"/>
  <c r="R534" i="10"/>
  <c r="Q534" i="10"/>
  <c r="O534" i="10"/>
  <c r="M534" i="10"/>
  <c r="K534" i="10"/>
  <c r="I534" i="10"/>
  <c r="G534" i="10"/>
  <c r="R533" i="10"/>
  <c r="Q533" i="10"/>
  <c r="O533" i="10"/>
  <c r="M533" i="10"/>
  <c r="K533" i="10"/>
  <c r="I533" i="10"/>
  <c r="G533" i="10"/>
  <c r="R532" i="10"/>
  <c r="Q532" i="10"/>
  <c r="O532" i="10"/>
  <c r="M532" i="10"/>
  <c r="K532" i="10"/>
  <c r="I532" i="10"/>
  <c r="G532" i="10"/>
  <c r="R531" i="10"/>
  <c r="Q531" i="10"/>
  <c r="O531" i="10"/>
  <c r="M531" i="10"/>
  <c r="K531" i="10"/>
  <c r="I531" i="10"/>
  <c r="G531" i="10"/>
  <c r="R530" i="10"/>
  <c r="Q530" i="10"/>
  <c r="O530" i="10"/>
  <c r="M530" i="10"/>
  <c r="K530" i="10"/>
  <c r="I530" i="10"/>
  <c r="G530" i="10"/>
  <c r="R529" i="10"/>
  <c r="Q529" i="10"/>
  <c r="O529" i="10"/>
  <c r="M529" i="10"/>
  <c r="K529" i="10"/>
  <c r="I529" i="10"/>
  <c r="G529" i="10"/>
  <c r="R528" i="10"/>
  <c r="Q528" i="10"/>
  <c r="O528" i="10"/>
  <c r="M528" i="10"/>
  <c r="K528" i="10"/>
  <c r="I528" i="10"/>
  <c r="G528" i="10"/>
  <c r="R527" i="10"/>
  <c r="Q527" i="10"/>
  <c r="O527" i="10"/>
  <c r="M527" i="10"/>
  <c r="K527" i="10"/>
  <c r="I527" i="10"/>
  <c r="G527" i="10"/>
  <c r="R526" i="10"/>
  <c r="Q526" i="10"/>
  <c r="O526" i="10"/>
  <c r="M526" i="10"/>
  <c r="K526" i="10"/>
  <c r="I526" i="10"/>
  <c r="G526" i="10"/>
  <c r="R525" i="10"/>
  <c r="Q525" i="10"/>
  <c r="O525" i="10"/>
  <c r="M525" i="10"/>
  <c r="K525" i="10"/>
  <c r="I525" i="10"/>
  <c r="G525" i="10"/>
  <c r="R524" i="10"/>
  <c r="Q524" i="10"/>
  <c r="O524" i="10"/>
  <c r="M524" i="10"/>
  <c r="K524" i="10"/>
  <c r="I524" i="10"/>
  <c r="G524" i="10"/>
  <c r="R523" i="10"/>
  <c r="Q523" i="10"/>
  <c r="O523" i="10"/>
  <c r="M523" i="10"/>
  <c r="K523" i="10"/>
  <c r="I523" i="10"/>
  <c r="G523" i="10"/>
  <c r="R522" i="10"/>
  <c r="Q522" i="10"/>
  <c r="O522" i="10"/>
  <c r="M522" i="10"/>
  <c r="K522" i="10"/>
  <c r="I522" i="10"/>
  <c r="G522" i="10"/>
  <c r="R521" i="10"/>
  <c r="Q521" i="10"/>
  <c r="O521" i="10"/>
  <c r="M521" i="10"/>
  <c r="K521" i="10"/>
  <c r="I521" i="10"/>
  <c r="G521" i="10"/>
  <c r="R520" i="10"/>
  <c r="Q520" i="10"/>
  <c r="O520" i="10"/>
  <c r="M520" i="10"/>
  <c r="K520" i="10"/>
  <c r="I520" i="10"/>
  <c r="G520" i="10"/>
  <c r="R519" i="10"/>
  <c r="Q519" i="10"/>
  <c r="O519" i="10"/>
  <c r="M519" i="10"/>
  <c r="K519" i="10"/>
  <c r="I519" i="10"/>
  <c r="G519" i="10"/>
  <c r="R518" i="10"/>
  <c r="Q518" i="10"/>
  <c r="O518" i="10"/>
  <c r="M518" i="10"/>
  <c r="K518" i="10"/>
  <c r="I518" i="10"/>
  <c r="G518" i="10"/>
  <c r="R517" i="10"/>
  <c r="Q517" i="10"/>
  <c r="O517" i="10"/>
  <c r="M517" i="10"/>
  <c r="K517" i="10"/>
  <c r="I517" i="10"/>
  <c r="G517" i="10"/>
  <c r="R516" i="10"/>
  <c r="Q516" i="10"/>
  <c r="O516" i="10"/>
  <c r="M516" i="10"/>
  <c r="K516" i="10"/>
  <c r="I516" i="10"/>
  <c r="G516" i="10"/>
  <c r="R515" i="10"/>
  <c r="Q515" i="10"/>
  <c r="O515" i="10"/>
  <c r="M515" i="10"/>
  <c r="K515" i="10"/>
  <c r="I515" i="10"/>
  <c r="G515" i="10"/>
  <c r="R514" i="10"/>
  <c r="Q514" i="10"/>
  <c r="O514" i="10"/>
  <c r="M514" i="10"/>
  <c r="K514" i="10"/>
  <c r="I514" i="10"/>
  <c r="G514" i="10"/>
  <c r="R513" i="10"/>
  <c r="Q513" i="10"/>
  <c r="O513" i="10"/>
  <c r="M513" i="10"/>
  <c r="K513" i="10"/>
  <c r="I513" i="10"/>
  <c r="G513" i="10"/>
  <c r="R512" i="10"/>
  <c r="Q512" i="10"/>
  <c r="O512" i="10"/>
  <c r="M512" i="10"/>
  <c r="K512" i="10"/>
  <c r="I512" i="10"/>
  <c r="G512" i="10"/>
  <c r="R511" i="10"/>
  <c r="Q511" i="10"/>
  <c r="O511" i="10"/>
  <c r="M511" i="10"/>
  <c r="K511" i="10"/>
  <c r="I511" i="10"/>
  <c r="G511" i="10"/>
  <c r="R510" i="10"/>
  <c r="Q510" i="10"/>
  <c r="O510" i="10"/>
  <c r="M510" i="10"/>
  <c r="K510" i="10"/>
  <c r="I510" i="10"/>
  <c r="G510" i="10"/>
  <c r="R509" i="10"/>
  <c r="Q509" i="10"/>
  <c r="O509" i="10"/>
  <c r="M509" i="10"/>
  <c r="K509" i="10"/>
  <c r="I509" i="10"/>
  <c r="G509" i="10"/>
  <c r="R508" i="10"/>
  <c r="Q508" i="10"/>
  <c r="O508" i="10"/>
  <c r="M508" i="10"/>
  <c r="K508" i="10"/>
  <c r="I508" i="10"/>
  <c r="G508" i="10"/>
  <c r="R507" i="10"/>
  <c r="Q507" i="10"/>
  <c r="O507" i="10"/>
  <c r="M507" i="10"/>
  <c r="K507" i="10"/>
  <c r="I507" i="10"/>
  <c r="G507" i="10"/>
  <c r="R506" i="10"/>
  <c r="Q506" i="10"/>
  <c r="O506" i="10"/>
  <c r="M506" i="10"/>
  <c r="K506" i="10"/>
  <c r="I506" i="10"/>
  <c r="G506" i="10"/>
  <c r="R505" i="10"/>
  <c r="Q505" i="10"/>
  <c r="O505" i="10"/>
  <c r="M505" i="10"/>
  <c r="K505" i="10"/>
  <c r="I505" i="10"/>
  <c r="G505" i="10"/>
  <c r="R504" i="10"/>
  <c r="Q504" i="10"/>
  <c r="O504" i="10"/>
  <c r="M504" i="10"/>
  <c r="K504" i="10"/>
  <c r="I504" i="10"/>
  <c r="G504" i="10"/>
  <c r="R503" i="10"/>
  <c r="Q503" i="10"/>
  <c r="O503" i="10"/>
  <c r="M503" i="10"/>
  <c r="K503" i="10"/>
  <c r="I503" i="10"/>
  <c r="G503" i="10"/>
  <c r="R502" i="10"/>
  <c r="Q502" i="10"/>
  <c r="O502" i="10"/>
  <c r="M502" i="10"/>
  <c r="K502" i="10"/>
  <c r="I502" i="10"/>
  <c r="G502" i="10"/>
  <c r="R501" i="10"/>
  <c r="Q501" i="10"/>
  <c r="O501" i="10"/>
  <c r="M501" i="10"/>
  <c r="K501" i="10"/>
  <c r="I501" i="10"/>
  <c r="G501" i="10"/>
  <c r="R500" i="10"/>
  <c r="Q500" i="10"/>
  <c r="O500" i="10"/>
  <c r="M500" i="10"/>
  <c r="K500" i="10"/>
  <c r="I500" i="10"/>
  <c r="G500" i="10"/>
  <c r="R499" i="10"/>
  <c r="Q499" i="10"/>
  <c r="O499" i="10"/>
  <c r="M499" i="10"/>
  <c r="K499" i="10"/>
  <c r="I499" i="10"/>
  <c r="G499" i="10"/>
  <c r="R498" i="10"/>
  <c r="Q498" i="10"/>
  <c r="O498" i="10"/>
  <c r="M498" i="10"/>
  <c r="K498" i="10"/>
  <c r="I498" i="10"/>
  <c r="G498" i="10"/>
  <c r="R497" i="10"/>
  <c r="Q497" i="10"/>
  <c r="O497" i="10"/>
  <c r="M497" i="10"/>
  <c r="K497" i="10"/>
  <c r="I497" i="10"/>
  <c r="G497" i="10"/>
  <c r="R496" i="10"/>
  <c r="Q496" i="10"/>
  <c r="O496" i="10"/>
  <c r="M496" i="10"/>
  <c r="K496" i="10"/>
  <c r="I496" i="10"/>
  <c r="G496" i="10"/>
  <c r="R495" i="10"/>
  <c r="Q495" i="10"/>
  <c r="O495" i="10"/>
  <c r="M495" i="10"/>
  <c r="K495" i="10"/>
  <c r="I495" i="10"/>
  <c r="G495" i="10"/>
  <c r="R494" i="10"/>
  <c r="Q494" i="10"/>
  <c r="O494" i="10"/>
  <c r="M494" i="10"/>
  <c r="K494" i="10"/>
  <c r="I494" i="10"/>
  <c r="G494" i="10"/>
  <c r="R493" i="10"/>
  <c r="Q493" i="10"/>
  <c r="O493" i="10"/>
  <c r="M493" i="10"/>
  <c r="K493" i="10"/>
  <c r="I493" i="10"/>
  <c r="G493" i="10"/>
  <c r="R492" i="10"/>
  <c r="Q492" i="10"/>
  <c r="O492" i="10"/>
  <c r="M492" i="10"/>
  <c r="K492" i="10"/>
  <c r="I492" i="10"/>
  <c r="G492" i="10"/>
  <c r="R491" i="10"/>
  <c r="Q491" i="10"/>
  <c r="O491" i="10"/>
  <c r="M491" i="10"/>
  <c r="K491" i="10"/>
  <c r="I491" i="10"/>
  <c r="G491" i="10"/>
  <c r="R490" i="10"/>
  <c r="Q490" i="10"/>
  <c r="O490" i="10"/>
  <c r="M490" i="10"/>
  <c r="K490" i="10"/>
  <c r="I490" i="10"/>
  <c r="G490" i="10"/>
  <c r="R489" i="10"/>
  <c r="Q489" i="10"/>
  <c r="O489" i="10"/>
  <c r="M489" i="10"/>
  <c r="K489" i="10"/>
  <c r="I489" i="10"/>
  <c r="G489" i="10"/>
  <c r="R488" i="10"/>
  <c r="Q488" i="10"/>
  <c r="O488" i="10"/>
  <c r="M488" i="10"/>
  <c r="K488" i="10"/>
  <c r="I488" i="10"/>
  <c r="G488" i="10"/>
  <c r="R487" i="10"/>
  <c r="Q487" i="10"/>
  <c r="O487" i="10"/>
  <c r="M487" i="10"/>
  <c r="K487" i="10"/>
  <c r="I487" i="10"/>
  <c r="G487" i="10"/>
  <c r="R486" i="10"/>
  <c r="Q486" i="10"/>
  <c r="O486" i="10"/>
  <c r="M486" i="10"/>
  <c r="K486" i="10"/>
  <c r="I486" i="10"/>
  <c r="G486" i="10"/>
  <c r="R485" i="10"/>
  <c r="Q485" i="10"/>
  <c r="O485" i="10"/>
  <c r="M485" i="10"/>
  <c r="K485" i="10"/>
  <c r="I485" i="10"/>
  <c r="G485" i="10"/>
  <c r="R484" i="10"/>
  <c r="Q484" i="10"/>
  <c r="O484" i="10"/>
  <c r="M484" i="10"/>
  <c r="K484" i="10"/>
  <c r="I484" i="10"/>
  <c r="G484" i="10"/>
  <c r="R483" i="10"/>
  <c r="Q483" i="10"/>
  <c r="O483" i="10"/>
  <c r="M483" i="10"/>
  <c r="K483" i="10"/>
  <c r="I483" i="10"/>
  <c r="G483" i="10"/>
  <c r="R482" i="10"/>
  <c r="Q482" i="10"/>
  <c r="O482" i="10"/>
  <c r="M482" i="10"/>
  <c r="K482" i="10"/>
  <c r="I482" i="10"/>
  <c r="G482" i="10"/>
  <c r="R481" i="10"/>
  <c r="Q481" i="10"/>
  <c r="O481" i="10"/>
  <c r="M481" i="10"/>
  <c r="K481" i="10"/>
  <c r="I481" i="10"/>
  <c r="G481" i="10"/>
  <c r="R480" i="10"/>
  <c r="Q480" i="10"/>
  <c r="O480" i="10"/>
  <c r="M480" i="10"/>
  <c r="K480" i="10"/>
  <c r="I480" i="10"/>
  <c r="G480" i="10"/>
  <c r="R479" i="10"/>
  <c r="Q479" i="10"/>
  <c r="O479" i="10"/>
  <c r="M479" i="10"/>
  <c r="K479" i="10"/>
  <c r="I479" i="10"/>
  <c r="G479" i="10"/>
  <c r="R478" i="10"/>
  <c r="Q478" i="10"/>
  <c r="O478" i="10"/>
  <c r="M478" i="10"/>
  <c r="K478" i="10"/>
  <c r="I478" i="10"/>
  <c r="G478" i="10"/>
  <c r="R477" i="10"/>
  <c r="Q477" i="10"/>
  <c r="O477" i="10"/>
  <c r="M477" i="10"/>
  <c r="K477" i="10"/>
  <c r="I477" i="10"/>
  <c r="G477" i="10"/>
  <c r="R476" i="10"/>
  <c r="Q476" i="10"/>
  <c r="O476" i="10"/>
  <c r="M476" i="10"/>
  <c r="K476" i="10"/>
  <c r="I476" i="10"/>
  <c r="G476" i="10"/>
  <c r="R475" i="10"/>
  <c r="Q475" i="10"/>
  <c r="O475" i="10"/>
  <c r="M475" i="10"/>
  <c r="K475" i="10"/>
  <c r="I475" i="10"/>
  <c r="G475" i="10"/>
  <c r="R474" i="10"/>
  <c r="Q474" i="10"/>
  <c r="O474" i="10"/>
  <c r="M474" i="10"/>
  <c r="K474" i="10"/>
  <c r="I474" i="10"/>
  <c r="G474" i="10"/>
  <c r="R473" i="10"/>
  <c r="Q473" i="10"/>
  <c r="O473" i="10"/>
  <c r="M473" i="10"/>
  <c r="K473" i="10"/>
  <c r="I473" i="10"/>
  <c r="G473" i="10"/>
  <c r="R472" i="10"/>
  <c r="Q472" i="10"/>
  <c r="O472" i="10"/>
  <c r="M472" i="10"/>
  <c r="K472" i="10"/>
  <c r="I472" i="10"/>
  <c r="G472" i="10"/>
  <c r="R471" i="10"/>
  <c r="Q471" i="10"/>
  <c r="O471" i="10"/>
  <c r="M471" i="10"/>
  <c r="K471" i="10"/>
  <c r="I471" i="10"/>
  <c r="G471" i="10"/>
  <c r="R470" i="10"/>
  <c r="Q470" i="10"/>
  <c r="O470" i="10"/>
  <c r="M470" i="10"/>
  <c r="K470" i="10"/>
  <c r="I470" i="10"/>
  <c r="G470" i="10"/>
  <c r="R469" i="10"/>
  <c r="Q469" i="10"/>
  <c r="O469" i="10"/>
  <c r="M469" i="10"/>
  <c r="K469" i="10"/>
  <c r="I469" i="10"/>
  <c r="G469" i="10"/>
  <c r="R468" i="10"/>
  <c r="Q468" i="10"/>
  <c r="O468" i="10"/>
  <c r="M468" i="10"/>
  <c r="K468" i="10"/>
  <c r="I468" i="10"/>
  <c r="G468" i="10"/>
  <c r="R467" i="10"/>
  <c r="Q467" i="10"/>
  <c r="O467" i="10"/>
  <c r="M467" i="10"/>
  <c r="K467" i="10"/>
  <c r="I467" i="10"/>
  <c r="G467" i="10"/>
  <c r="R466" i="10"/>
  <c r="Q466" i="10"/>
  <c r="O466" i="10"/>
  <c r="M466" i="10"/>
  <c r="K466" i="10"/>
  <c r="I466" i="10"/>
  <c r="G466" i="10"/>
  <c r="R465" i="10"/>
  <c r="Q465" i="10"/>
  <c r="O465" i="10"/>
  <c r="M465" i="10"/>
  <c r="K465" i="10"/>
  <c r="I465" i="10"/>
  <c r="G465" i="10"/>
  <c r="R464" i="10"/>
  <c r="Q464" i="10"/>
  <c r="O464" i="10"/>
  <c r="M464" i="10"/>
  <c r="K464" i="10"/>
  <c r="I464" i="10"/>
  <c r="G464" i="10"/>
  <c r="R463" i="10"/>
  <c r="Q463" i="10"/>
  <c r="O463" i="10"/>
  <c r="M463" i="10"/>
  <c r="K463" i="10"/>
  <c r="I463" i="10"/>
  <c r="G463" i="10"/>
  <c r="R462" i="10"/>
  <c r="Q462" i="10"/>
  <c r="O462" i="10"/>
  <c r="M462" i="10"/>
  <c r="K462" i="10"/>
  <c r="I462" i="10"/>
  <c r="G462" i="10"/>
  <c r="R461" i="10"/>
  <c r="Q461" i="10"/>
  <c r="O461" i="10"/>
  <c r="M461" i="10"/>
  <c r="K461" i="10"/>
  <c r="I461" i="10"/>
  <c r="G461" i="10"/>
  <c r="R460" i="10"/>
  <c r="Q460" i="10"/>
  <c r="O460" i="10"/>
  <c r="M460" i="10"/>
  <c r="K460" i="10"/>
  <c r="I460" i="10"/>
  <c r="G460" i="10"/>
  <c r="R459" i="10"/>
  <c r="Q459" i="10"/>
  <c r="O459" i="10"/>
  <c r="M459" i="10"/>
  <c r="K459" i="10"/>
  <c r="I459" i="10"/>
  <c r="G459" i="10"/>
  <c r="R458" i="10"/>
  <c r="Q458" i="10"/>
  <c r="O458" i="10"/>
  <c r="M458" i="10"/>
  <c r="K458" i="10"/>
  <c r="I458" i="10"/>
  <c r="G458" i="10"/>
  <c r="R457" i="10"/>
  <c r="Q457" i="10"/>
  <c r="O457" i="10"/>
  <c r="M457" i="10"/>
  <c r="K457" i="10"/>
  <c r="I457" i="10"/>
  <c r="G457" i="10"/>
  <c r="R456" i="10"/>
  <c r="Q456" i="10"/>
  <c r="O456" i="10"/>
  <c r="M456" i="10"/>
  <c r="K456" i="10"/>
  <c r="I456" i="10"/>
  <c r="G456" i="10"/>
  <c r="R455" i="10"/>
  <c r="Q455" i="10"/>
  <c r="O455" i="10"/>
  <c r="M455" i="10"/>
  <c r="K455" i="10"/>
  <c r="I455" i="10"/>
  <c r="G455" i="10"/>
  <c r="R454" i="10"/>
  <c r="Q454" i="10"/>
  <c r="O454" i="10"/>
  <c r="M454" i="10"/>
  <c r="K454" i="10"/>
  <c r="I454" i="10"/>
  <c r="G454" i="10"/>
  <c r="R453" i="10"/>
  <c r="Q453" i="10"/>
  <c r="O453" i="10"/>
  <c r="M453" i="10"/>
  <c r="K453" i="10"/>
  <c r="I453" i="10"/>
  <c r="G453" i="10"/>
  <c r="R452" i="10"/>
  <c r="Q452" i="10"/>
  <c r="O452" i="10"/>
  <c r="M452" i="10"/>
  <c r="K452" i="10"/>
  <c r="I452" i="10"/>
  <c r="G452" i="10"/>
  <c r="R451" i="10"/>
  <c r="Q451" i="10"/>
  <c r="O451" i="10"/>
  <c r="M451" i="10"/>
  <c r="K451" i="10"/>
  <c r="I451" i="10"/>
  <c r="G451" i="10"/>
  <c r="R450" i="10"/>
  <c r="Q450" i="10"/>
  <c r="O450" i="10"/>
  <c r="M450" i="10"/>
  <c r="K450" i="10"/>
  <c r="I450" i="10"/>
  <c r="G450" i="10"/>
  <c r="R449" i="10"/>
  <c r="Q449" i="10"/>
  <c r="O449" i="10"/>
  <c r="M449" i="10"/>
  <c r="K449" i="10"/>
  <c r="I449" i="10"/>
  <c r="G449" i="10"/>
  <c r="R448" i="10"/>
  <c r="Q448" i="10"/>
  <c r="O448" i="10"/>
  <c r="M448" i="10"/>
  <c r="K448" i="10"/>
  <c r="I448" i="10"/>
  <c r="G448" i="10"/>
  <c r="R447" i="10"/>
  <c r="Q447" i="10"/>
  <c r="O447" i="10"/>
  <c r="M447" i="10"/>
  <c r="K447" i="10"/>
  <c r="I447" i="10"/>
  <c r="G447" i="10"/>
  <c r="R446" i="10"/>
  <c r="Q446" i="10"/>
  <c r="O446" i="10"/>
  <c r="M446" i="10"/>
  <c r="K446" i="10"/>
  <c r="I446" i="10"/>
  <c r="G446" i="10"/>
  <c r="R445" i="10"/>
  <c r="Q445" i="10"/>
  <c r="O445" i="10"/>
  <c r="M445" i="10"/>
  <c r="K445" i="10"/>
  <c r="I445" i="10"/>
  <c r="G445" i="10"/>
  <c r="R444" i="10"/>
  <c r="Q444" i="10"/>
  <c r="O444" i="10"/>
  <c r="M444" i="10"/>
  <c r="K444" i="10"/>
  <c r="I444" i="10"/>
  <c r="G444" i="10"/>
  <c r="R443" i="10"/>
  <c r="Q443" i="10"/>
  <c r="O443" i="10"/>
  <c r="M443" i="10"/>
  <c r="K443" i="10"/>
  <c r="I443" i="10"/>
  <c r="G443" i="10"/>
  <c r="R442" i="10"/>
  <c r="Q442" i="10"/>
  <c r="O442" i="10"/>
  <c r="M442" i="10"/>
  <c r="K442" i="10"/>
  <c r="I442" i="10"/>
  <c r="G442" i="10"/>
  <c r="R441" i="10"/>
  <c r="Q441" i="10"/>
  <c r="O441" i="10"/>
  <c r="M441" i="10"/>
  <c r="K441" i="10"/>
  <c r="I441" i="10"/>
  <c r="G441" i="10"/>
  <c r="R440" i="10"/>
  <c r="Q440" i="10"/>
  <c r="O440" i="10"/>
  <c r="M440" i="10"/>
  <c r="K440" i="10"/>
  <c r="I440" i="10"/>
  <c r="G440" i="10"/>
  <c r="R439" i="10"/>
  <c r="Q439" i="10"/>
  <c r="O439" i="10"/>
  <c r="M439" i="10"/>
  <c r="K439" i="10"/>
  <c r="I439" i="10"/>
  <c r="G439" i="10"/>
  <c r="R438" i="10"/>
  <c r="Q438" i="10"/>
  <c r="O438" i="10"/>
  <c r="M438" i="10"/>
  <c r="K438" i="10"/>
  <c r="I438" i="10"/>
  <c r="G438" i="10"/>
  <c r="R437" i="10"/>
  <c r="Q437" i="10"/>
  <c r="O437" i="10"/>
  <c r="M437" i="10"/>
  <c r="K437" i="10"/>
  <c r="I437" i="10"/>
  <c r="G437" i="10"/>
  <c r="R436" i="10"/>
  <c r="Q436" i="10"/>
  <c r="O436" i="10"/>
  <c r="M436" i="10"/>
  <c r="K436" i="10"/>
  <c r="I436" i="10"/>
  <c r="G436" i="10"/>
  <c r="R435" i="10"/>
  <c r="Q435" i="10"/>
  <c r="O435" i="10"/>
  <c r="M435" i="10"/>
  <c r="K435" i="10"/>
  <c r="I435" i="10"/>
  <c r="G435" i="10"/>
  <c r="R434" i="10"/>
  <c r="Q434" i="10"/>
  <c r="O434" i="10"/>
  <c r="M434" i="10"/>
  <c r="K434" i="10"/>
  <c r="I434" i="10"/>
  <c r="G434" i="10"/>
  <c r="R433" i="10"/>
  <c r="Q433" i="10"/>
  <c r="O433" i="10"/>
  <c r="M433" i="10"/>
  <c r="K433" i="10"/>
  <c r="I433" i="10"/>
  <c r="G433" i="10"/>
  <c r="R432" i="10"/>
  <c r="Q432" i="10"/>
  <c r="O432" i="10"/>
  <c r="M432" i="10"/>
  <c r="K432" i="10"/>
  <c r="I432" i="10"/>
  <c r="G432" i="10"/>
  <c r="R431" i="10"/>
  <c r="Q431" i="10"/>
  <c r="O431" i="10"/>
  <c r="M431" i="10"/>
  <c r="K431" i="10"/>
  <c r="I431" i="10"/>
  <c r="G431" i="10"/>
  <c r="R430" i="10"/>
  <c r="Q430" i="10"/>
  <c r="O430" i="10"/>
  <c r="M430" i="10"/>
  <c r="K430" i="10"/>
  <c r="I430" i="10"/>
  <c r="G430" i="10"/>
  <c r="R429" i="10"/>
  <c r="Q429" i="10"/>
  <c r="O429" i="10"/>
  <c r="M429" i="10"/>
  <c r="K429" i="10"/>
  <c r="I429" i="10"/>
  <c r="G429" i="10"/>
  <c r="R428" i="10"/>
  <c r="Q428" i="10"/>
  <c r="O428" i="10"/>
  <c r="M428" i="10"/>
  <c r="K428" i="10"/>
  <c r="I428" i="10"/>
  <c r="G428" i="10"/>
  <c r="R427" i="10"/>
  <c r="Q427" i="10"/>
  <c r="O427" i="10"/>
  <c r="M427" i="10"/>
  <c r="K427" i="10"/>
  <c r="I427" i="10"/>
  <c r="G427" i="10"/>
  <c r="R426" i="10"/>
  <c r="Q426" i="10"/>
  <c r="O426" i="10"/>
  <c r="M426" i="10"/>
  <c r="K426" i="10"/>
  <c r="I426" i="10"/>
  <c r="G426" i="10"/>
  <c r="R425" i="10"/>
  <c r="Q425" i="10"/>
  <c r="O425" i="10"/>
  <c r="M425" i="10"/>
  <c r="K425" i="10"/>
  <c r="I425" i="10"/>
  <c r="G425" i="10"/>
  <c r="R424" i="10"/>
  <c r="Q424" i="10"/>
  <c r="O424" i="10"/>
  <c r="M424" i="10"/>
  <c r="K424" i="10"/>
  <c r="I424" i="10"/>
  <c r="G424" i="10"/>
  <c r="R423" i="10"/>
  <c r="Q423" i="10"/>
  <c r="O423" i="10"/>
  <c r="M423" i="10"/>
  <c r="K423" i="10"/>
  <c r="I423" i="10"/>
  <c r="G423" i="10"/>
  <c r="R422" i="10"/>
  <c r="Q422" i="10"/>
  <c r="O422" i="10"/>
  <c r="M422" i="10"/>
  <c r="K422" i="10"/>
  <c r="I422" i="10"/>
  <c r="G422" i="10"/>
  <c r="R421" i="10"/>
  <c r="Q421" i="10"/>
  <c r="O421" i="10"/>
  <c r="M421" i="10"/>
  <c r="K421" i="10"/>
  <c r="I421" i="10"/>
  <c r="G421" i="10"/>
  <c r="R420" i="10"/>
  <c r="Q420" i="10"/>
  <c r="O420" i="10"/>
  <c r="M420" i="10"/>
  <c r="K420" i="10"/>
  <c r="I420" i="10"/>
  <c r="G420" i="10"/>
  <c r="R419" i="10"/>
  <c r="Q419" i="10"/>
  <c r="O419" i="10"/>
  <c r="M419" i="10"/>
  <c r="K419" i="10"/>
  <c r="I419" i="10"/>
  <c r="G419" i="10"/>
  <c r="R418" i="10"/>
  <c r="Q418" i="10"/>
  <c r="O418" i="10"/>
  <c r="M418" i="10"/>
  <c r="K418" i="10"/>
  <c r="I418" i="10"/>
  <c r="G418" i="10"/>
  <c r="R417" i="10"/>
  <c r="Q417" i="10"/>
  <c r="O417" i="10"/>
  <c r="M417" i="10"/>
  <c r="K417" i="10"/>
  <c r="I417" i="10"/>
  <c r="G417" i="10"/>
  <c r="R416" i="10"/>
  <c r="Q416" i="10"/>
  <c r="O416" i="10"/>
  <c r="M416" i="10"/>
  <c r="K416" i="10"/>
  <c r="I416" i="10"/>
  <c r="G416" i="10"/>
  <c r="R415" i="10"/>
  <c r="Q415" i="10"/>
  <c r="O415" i="10"/>
  <c r="M415" i="10"/>
  <c r="K415" i="10"/>
  <c r="I415" i="10"/>
  <c r="G415" i="10"/>
  <c r="R414" i="10"/>
  <c r="Q414" i="10"/>
  <c r="O414" i="10"/>
  <c r="M414" i="10"/>
  <c r="K414" i="10"/>
  <c r="I414" i="10"/>
  <c r="G414" i="10"/>
  <c r="R413" i="10"/>
  <c r="Q413" i="10"/>
  <c r="O413" i="10"/>
  <c r="M413" i="10"/>
  <c r="K413" i="10"/>
  <c r="I413" i="10"/>
  <c r="G413" i="10"/>
  <c r="R412" i="10"/>
  <c r="Q412" i="10"/>
  <c r="O412" i="10"/>
  <c r="M412" i="10"/>
  <c r="K412" i="10"/>
  <c r="I412" i="10"/>
  <c r="G412" i="10"/>
  <c r="R411" i="10"/>
  <c r="Q411" i="10"/>
  <c r="O411" i="10"/>
  <c r="M411" i="10"/>
  <c r="K411" i="10"/>
  <c r="I411" i="10"/>
  <c r="G411" i="10"/>
  <c r="R410" i="10"/>
  <c r="Q410" i="10"/>
  <c r="O410" i="10"/>
  <c r="M410" i="10"/>
  <c r="K410" i="10"/>
  <c r="I410" i="10"/>
  <c r="G410" i="10"/>
  <c r="R409" i="10"/>
  <c r="Q409" i="10"/>
  <c r="O409" i="10"/>
  <c r="M409" i="10"/>
  <c r="K409" i="10"/>
  <c r="I409" i="10"/>
  <c r="G409" i="10"/>
  <c r="R408" i="10"/>
  <c r="Q408" i="10"/>
  <c r="O408" i="10"/>
  <c r="M408" i="10"/>
  <c r="K408" i="10"/>
  <c r="I408" i="10"/>
  <c r="G408" i="10"/>
  <c r="R407" i="10"/>
  <c r="Q407" i="10"/>
  <c r="O407" i="10"/>
  <c r="M407" i="10"/>
  <c r="K407" i="10"/>
  <c r="I407" i="10"/>
  <c r="G407" i="10"/>
  <c r="R406" i="10"/>
  <c r="Q406" i="10"/>
  <c r="O406" i="10"/>
  <c r="M406" i="10"/>
  <c r="K406" i="10"/>
  <c r="I406" i="10"/>
  <c r="G406" i="10"/>
  <c r="R405" i="10"/>
  <c r="Q405" i="10"/>
  <c r="O405" i="10"/>
  <c r="M405" i="10"/>
  <c r="K405" i="10"/>
  <c r="I405" i="10"/>
  <c r="G405" i="10"/>
  <c r="R404" i="10"/>
  <c r="Q404" i="10"/>
  <c r="O404" i="10"/>
  <c r="M404" i="10"/>
  <c r="K404" i="10"/>
  <c r="I404" i="10"/>
  <c r="G404" i="10"/>
  <c r="R403" i="10"/>
  <c r="Q403" i="10"/>
  <c r="O403" i="10"/>
  <c r="M403" i="10"/>
  <c r="K403" i="10"/>
  <c r="I403" i="10"/>
  <c r="G403" i="10"/>
  <c r="R402" i="10"/>
  <c r="Q402" i="10"/>
  <c r="O402" i="10"/>
  <c r="M402" i="10"/>
  <c r="K402" i="10"/>
  <c r="I402" i="10"/>
  <c r="G402" i="10"/>
  <c r="R401" i="10"/>
  <c r="Q401" i="10"/>
  <c r="O401" i="10"/>
  <c r="M401" i="10"/>
  <c r="K401" i="10"/>
  <c r="I401" i="10"/>
  <c r="G401" i="10"/>
  <c r="R400" i="10"/>
  <c r="Q400" i="10"/>
  <c r="O400" i="10"/>
  <c r="M400" i="10"/>
  <c r="K400" i="10"/>
  <c r="I400" i="10"/>
  <c r="G400" i="10"/>
  <c r="R399" i="10"/>
  <c r="Q399" i="10"/>
  <c r="O399" i="10"/>
  <c r="M399" i="10"/>
  <c r="K399" i="10"/>
  <c r="I399" i="10"/>
  <c r="G399" i="10"/>
  <c r="R398" i="10"/>
  <c r="Q398" i="10"/>
  <c r="O398" i="10"/>
  <c r="M398" i="10"/>
  <c r="K398" i="10"/>
  <c r="I398" i="10"/>
  <c r="G398" i="10"/>
  <c r="R397" i="10"/>
  <c r="Q397" i="10"/>
  <c r="O397" i="10"/>
  <c r="M397" i="10"/>
  <c r="K397" i="10"/>
  <c r="I397" i="10"/>
  <c r="G397" i="10"/>
  <c r="R396" i="10"/>
  <c r="Q396" i="10"/>
  <c r="O396" i="10"/>
  <c r="M396" i="10"/>
  <c r="K396" i="10"/>
  <c r="I396" i="10"/>
  <c r="G396" i="10"/>
  <c r="R395" i="10"/>
  <c r="Q395" i="10"/>
  <c r="O395" i="10"/>
  <c r="M395" i="10"/>
  <c r="K395" i="10"/>
  <c r="I395" i="10"/>
  <c r="G395" i="10"/>
  <c r="R394" i="10"/>
  <c r="Q394" i="10"/>
  <c r="O394" i="10"/>
  <c r="M394" i="10"/>
  <c r="K394" i="10"/>
  <c r="I394" i="10"/>
  <c r="G394" i="10"/>
  <c r="R393" i="10"/>
  <c r="Q393" i="10"/>
  <c r="O393" i="10"/>
  <c r="M393" i="10"/>
  <c r="K393" i="10"/>
  <c r="I393" i="10"/>
  <c r="G393" i="10"/>
  <c r="R392" i="10"/>
  <c r="Q392" i="10"/>
  <c r="O392" i="10"/>
  <c r="M392" i="10"/>
  <c r="K392" i="10"/>
  <c r="I392" i="10"/>
  <c r="G392" i="10"/>
  <c r="R391" i="10"/>
  <c r="Q391" i="10"/>
  <c r="O391" i="10"/>
  <c r="M391" i="10"/>
  <c r="K391" i="10"/>
  <c r="I391" i="10"/>
  <c r="G391" i="10"/>
  <c r="R390" i="10"/>
  <c r="Q390" i="10"/>
  <c r="O390" i="10"/>
  <c r="M390" i="10"/>
  <c r="K390" i="10"/>
  <c r="I390" i="10"/>
  <c r="G390" i="10"/>
  <c r="R389" i="10"/>
  <c r="Q389" i="10"/>
  <c r="O389" i="10"/>
  <c r="M389" i="10"/>
  <c r="K389" i="10"/>
  <c r="I389" i="10"/>
  <c r="G389" i="10"/>
  <c r="R388" i="10"/>
  <c r="Q388" i="10"/>
  <c r="O388" i="10"/>
  <c r="M388" i="10"/>
  <c r="K388" i="10"/>
  <c r="I388" i="10"/>
  <c r="G388" i="10"/>
  <c r="R387" i="10"/>
  <c r="Q387" i="10"/>
  <c r="O387" i="10"/>
  <c r="M387" i="10"/>
  <c r="K387" i="10"/>
  <c r="I387" i="10"/>
  <c r="G387" i="10"/>
  <c r="R386" i="10"/>
  <c r="Q386" i="10"/>
  <c r="O386" i="10"/>
  <c r="M386" i="10"/>
  <c r="K386" i="10"/>
  <c r="I386" i="10"/>
  <c r="G386" i="10"/>
  <c r="R385" i="10"/>
  <c r="Q385" i="10"/>
  <c r="O385" i="10"/>
  <c r="M385" i="10"/>
  <c r="K385" i="10"/>
  <c r="I385" i="10"/>
  <c r="G385" i="10"/>
  <c r="R384" i="10"/>
  <c r="Q384" i="10"/>
  <c r="O384" i="10"/>
  <c r="M384" i="10"/>
  <c r="K384" i="10"/>
  <c r="I384" i="10"/>
  <c r="G384" i="10"/>
  <c r="R383" i="10"/>
  <c r="Q383" i="10"/>
  <c r="O383" i="10"/>
  <c r="M383" i="10"/>
  <c r="K383" i="10"/>
  <c r="I383" i="10"/>
  <c r="G383" i="10"/>
  <c r="R382" i="10"/>
  <c r="Q382" i="10"/>
  <c r="O382" i="10"/>
  <c r="M382" i="10"/>
  <c r="K382" i="10"/>
  <c r="I382" i="10"/>
  <c r="G382" i="10"/>
  <c r="R381" i="10"/>
  <c r="Q381" i="10"/>
  <c r="O381" i="10"/>
  <c r="M381" i="10"/>
  <c r="K381" i="10"/>
  <c r="I381" i="10"/>
  <c r="G381" i="10"/>
  <c r="R380" i="10"/>
  <c r="Q380" i="10"/>
  <c r="O380" i="10"/>
  <c r="M380" i="10"/>
  <c r="K380" i="10"/>
  <c r="I380" i="10"/>
  <c r="G380" i="10"/>
  <c r="R379" i="10"/>
  <c r="Q379" i="10"/>
  <c r="O379" i="10"/>
  <c r="M379" i="10"/>
  <c r="K379" i="10"/>
  <c r="I379" i="10"/>
  <c r="G379" i="10"/>
  <c r="R378" i="10"/>
  <c r="Q378" i="10"/>
  <c r="O378" i="10"/>
  <c r="M378" i="10"/>
  <c r="K378" i="10"/>
  <c r="I378" i="10"/>
  <c r="G378" i="10"/>
  <c r="R377" i="10"/>
  <c r="Q377" i="10"/>
  <c r="O377" i="10"/>
  <c r="M377" i="10"/>
  <c r="K377" i="10"/>
  <c r="I377" i="10"/>
  <c r="G377" i="10"/>
  <c r="R376" i="10"/>
  <c r="Q376" i="10"/>
  <c r="O376" i="10"/>
  <c r="M376" i="10"/>
  <c r="K376" i="10"/>
  <c r="I376" i="10"/>
  <c r="G376" i="10"/>
  <c r="R375" i="10"/>
  <c r="Q375" i="10"/>
  <c r="O375" i="10"/>
  <c r="M375" i="10"/>
  <c r="K375" i="10"/>
  <c r="I375" i="10"/>
  <c r="G375" i="10"/>
  <c r="R374" i="10"/>
  <c r="Q374" i="10"/>
  <c r="O374" i="10"/>
  <c r="M374" i="10"/>
  <c r="K374" i="10"/>
  <c r="I374" i="10"/>
  <c r="G374" i="10"/>
  <c r="R373" i="10"/>
  <c r="Q373" i="10"/>
  <c r="O373" i="10"/>
  <c r="M373" i="10"/>
  <c r="K373" i="10"/>
  <c r="I373" i="10"/>
  <c r="G373" i="10"/>
  <c r="R372" i="10"/>
  <c r="Q372" i="10"/>
  <c r="O372" i="10"/>
  <c r="M372" i="10"/>
  <c r="K372" i="10"/>
  <c r="I372" i="10"/>
  <c r="G372" i="10"/>
  <c r="R371" i="10"/>
  <c r="Q371" i="10"/>
  <c r="O371" i="10"/>
  <c r="M371" i="10"/>
  <c r="K371" i="10"/>
  <c r="I371" i="10"/>
  <c r="G371" i="10"/>
  <c r="R370" i="10"/>
  <c r="Q370" i="10"/>
  <c r="O370" i="10"/>
  <c r="M370" i="10"/>
  <c r="K370" i="10"/>
  <c r="I370" i="10"/>
  <c r="G370" i="10"/>
  <c r="R369" i="10"/>
  <c r="Q369" i="10"/>
  <c r="O369" i="10"/>
  <c r="M369" i="10"/>
  <c r="K369" i="10"/>
  <c r="I369" i="10"/>
  <c r="G369" i="10"/>
  <c r="R368" i="10"/>
  <c r="Q368" i="10"/>
  <c r="O368" i="10"/>
  <c r="M368" i="10"/>
  <c r="K368" i="10"/>
  <c r="I368" i="10"/>
  <c r="G368" i="10"/>
  <c r="R367" i="10"/>
  <c r="Q367" i="10"/>
  <c r="O367" i="10"/>
  <c r="M367" i="10"/>
  <c r="K367" i="10"/>
  <c r="I367" i="10"/>
  <c r="G367" i="10"/>
  <c r="R366" i="10"/>
  <c r="Q366" i="10"/>
  <c r="O366" i="10"/>
  <c r="M366" i="10"/>
  <c r="K366" i="10"/>
  <c r="I366" i="10"/>
  <c r="G366" i="10"/>
  <c r="R365" i="10"/>
  <c r="Q365" i="10"/>
  <c r="O365" i="10"/>
  <c r="M365" i="10"/>
  <c r="K365" i="10"/>
  <c r="I365" i="10"/>
  <c r="G365" i="10"/>
  <c r="R364" i="10"/>
  <c r="Q364" i="10"/>
  <c r="O364" i="10"/>
  <c r="M364" i="10"/>
  <c r="K364" i="10"/>
  <c r="I364" i="10"/>
  <c r="G364" i="10"/>
  <c r="R363" i="10"/>
  <c r="Q363" i="10"/>
  <c r="O363" i="10"/>
  <c r="M363" i="10"/>
  <c r="K363" i="10"/>
  <c r="I363" i="10"/>
  <c r="G363" i="10"/>
  <c r="R362" i="10"/>
  <c r="Q362" i="10"/>
  <c r="O362" i="10"/>
  <c r="M362" i="10"/>
  <c r="K362" i="10"/>
  <c r="I362" i="10"/>
  <c r="G362" i="10"/>
  <c r="R361" i="10"/>
  <c r="Q361" i="10"/>
  <c r="O361" i="10"/>
  <c r="M361" i="10"/>
  <c r="K361" i="10"/>
  <c r="I361" i="10"/>
  <c r="G361" i="10"/>
  <c r="R360" i="10"/>
  <c r="Q360" i="10"/>
  <c r="O360" i="10"/>
  <c r="M360" i="10"/>
  <c r="K360" i="10"/>
  <c r="I360" i="10"/>
  <c r="G360" i="10"/>
  <c r="R359" i="10"/>
  <c r="Q359" i="10"/>
  <c r="O359" i="10"/>
  <c r="M359" i="10"/>
  <c r="K359" i="10"/>
  <c r="I359" i="10"/>
  <c r="G359" i="10"/>
  <c r="R358" i="10"/>
  <c r="Q358" i="10"/>
  <c r="O358" i="10"/>
  <c r="M358" i="10"/>
  <c r="K358" i="10"/>
  <c r="I358" i="10"/>
  <c r="G358" i="10"/>
  <c r="R357" i="10"/>
  <c r="Q357" i="10"/>
  <c r="O357" i="10"/>
  <c r="M357" i="10"/>
  <c r="K357" i="10"/>
  <c r="I357" i="10"/>
  <c r="G357" i="10"/>
  <c r="R356" i="10"/>
  <c r="Q356" i="10"/>
  <c r="O356" i="10"/>
  <c r="M356" i="10"/>
  <c r="K356" i="10"/>
  <c r="I356" i="10"/>
  <c r="G356" i="10"/>
  <c r="R355" i="10"/>
  <c r="Q355" i="10"/>
  <c r="O355" i="10"/>
  <c r="M355" i="10"/>
  <c r="K355" i="10"/>
  <c r="I355" i="10"/>
  <c r="G355" i="10"/>
  <c r="R354" i="10"/>
  <c r="Q354" i="10"/>
  <c r="O354" i="10"/>
  <c r="M354" i="10"/>
  <c r="K354" i="10"/>
  <c r="I354" i="10"/>
  <c r="G354" i="10"/>
  <c r="R353" i="10"/>
  <c r="Q353" i="10"/>
  <c r="O353" i="10"/>
  <c r="M353" i="10"/>
  <c r="K353" i="10"/>
  <c r="I353" i="10"/>
  <c r="G353" i="10"/>
  <c r="R352" i="10"/>
  <c r="Q352" i="10"/>
  <c r="O352" i="10"/>
  <c r="M352" i="10"/>
  <c r="K352" i="10"/>
  <c r="I352" i="10"/>
  <c r="G352" i="10"/>
  <c r="R351" i="10"/>
  <c r="Q351" i="10"/>
  <c r="O351" i="10"/>
  <c r="M351" i="10"/>
  <c r="K351" i="10"/>
  <c r="I351" i="10"/>
  <c r="G351" i="10"/>
  <c r="R350" i="10"/>
  <c r="Q350" i="10"/>
  <c r="O350" i="10"/>
  <c r="M350" i="10"/>
  <c r="K350" i="10"/>
  <c r="I350" i="10"/>
  <c r="G350" i="10"/>
  <c r="R349" i="10"/>
  <c r="Q349" i="10"/>
  <c r="O349" i="10"/>
  <c r="M349" i="10"/>
  <c r="K349" i="10"/>
  <c r="I349" i="10"/>
  <c r="G349" i="10"/>
  <c r="R348" i="10"/>
  <c r="Q348" i="10"/>
  <c r="O348" i="10"/>
  <c r="M348" i="10"/>
  <c r="K348" i="10"/>
  <c r="I348" i="10"/>
  <c r="G348" i="10"/>
  <c r="R347" i="10"/>
  <c r="Q347" i="10"/>
  <c r="O347" i="10"/>
  <c r="M347" i="10"/>
  <c r="K347" i="10"/>
  <c r="I347" i="10"/>
  <c r="G347" i="10"/>
  <c r="R346" i="10"/>
  <c r="Q346" i="10"/>
  <c r="O346" i="10"/>
  <c r="M346" i="10"/>
  <c r="K346" i="10"/>
  <c r="I346" i="10"/>
  <c r="G346" i="10"/>
  <c r="R345" i="10"/>
  <c r="Q345" i="10"/>
  <c r="O345" i="10"/>
  <c r="M345" i="10"/>
  <c r="K345" i="10"/>
  <c r="I345" i="10"/>
  <c r="G345" i="10"/>
  <c r="R344" i="10"/>
  <c r="Q344" i="10"/>
  <c r="O344" i="10"/>
  <c r="M344" i="10"/>
  <c r="K344" i="10"/>
  <c r="I344" i="10"/>
  <c r="G344" i="10"/>
  <c r="R343" i="10"/>
  <c r="Q343" i="10"/>
  <c r="O343" i="10"/>
  <c r="M343" i="10"/>
  <c r="K343" i="10"/>
  <c r="I343" i="10"/>
  <c r="G343" i="10"/>
  <c r="R342" i="10"/>
  <c r="Q342" i="10"/>
  <c r="O342" i="10"/>
  <c r="M342" i="10"/>
  <c r="K342" i="10"/>
  <c r="I342" i="10"/>
  <c r="G342" i="10"/>
  <c r="R341" i="10"/>
  <c r="Q341" i="10"/>
  <c r="O341" i="10"/>
  <c r="M341" i="10"/>
  <c r="K341" i="10"/>
  <c r="I341" i="10"/>
  <c r="G341" i="10"/>
  <c r="R340" i="10"/>
  <c r="Q340" i="10"/>
  <c r="O340" i="10"/>
  <c r="M340" i="10"/>
  <c r="K340" i="10"/>
  <c r="I340" i="10"/>
  <c r="G340" i="10"/>
  <c r="R339" i="10"/>
  <c r="Q339" i="10"/>
  <c r="O339" i="10"/>
  <c r="M339" i="10"/>
  <c r="K339" i="10"/>
  <c r="I339" i="10"/>
  <c r="G339" i="10"/>
  <c r="R338" i="10"/>
  <c r="Q338" i="10"/>
  <c r="O338" i="10"/>
  <c r="M338" i="10"/>
  <c r="K338" i="10"/>
  <c r="I338" i="10"/>
  <c r="G338" i="10"/>
  <c r="R337" i="10"/>
  <c r="Q337" i="10"/>
  <c r="O337" i="10"/>
  <c r="M337" i="10"/>
  <c r="K337" i="10"/>
  <c r="I337" i="10"/>
  <c r="G337" i="10"/>
  <c r="R336" i="10"/>
  <c r="Q336" i="10"/>
  <c r="O336" i="10"/>
  <c r="M336" i="10"/>
  <c r="K336" i="10"/>
  <c r="I336" i="10"/>
  <c r="G336" i="10"/>
  <c r="R335" i="10"/>
  <c r="Q335" i="10"/>
  <c r="O335" i="10"/>
  <c r="M335" i="10"/>
  <c r="K335" i="10"/>
  <c r="I335" i="10"/>
  <c r="G335" i="10"/>
  <c r="R334" i="10"/>
  <c r="Q334" i="10"/>
  <c r="O334" i="10"/>
  <c r="M334" i="10"/>
  <c r="K334" i="10"/>
  <c r="I334" i="10"/>
  <c r="G334" i="10"/>
  <c r="R333" i="10"/>
  <c r="Q333" i="10"/>
  <c r="O333" i="10"/>
  <c r="M333" i="10"/>
  <c r="K333" i="10"/>
  <c r="I333" i="10"/>
  <c r="G333" i="10"/>
  <c r="R332" i="10"/>
  <c r="Q332" i="10"/>
  <c r="O332" i="10"/>
  <c r="M332" i="10"/>
  <c r="K332" i="10"/>
  <c r="I332" i="10"/>
  <c r="G332" i="10"/>
  <c r="R331" i="10"/>
  <c r="Q331" i="10"/>
  <c r="O331" i="10"/>
  <c r="M331" i="10"/>
  <c r="K331" i="10"/>
  <c r="I331" i="10"/>
  <c r="G331" i="10"/>
  <c r="R330" i="10"/>
  <c r="Q330" i="10"/>
  <c r="O330" i="10"/>
  <c r="M330" i="10"/>
  <c r="K330" i="10"/>
  <c r="I330" i="10"/>
  <c r="G330" i="10"/>
  <c r="R329" i="10"/>
  <c r="Q329" i="10"/>
  <c r="O329" i="10"/>
  <c r="M329" i="10"/>
  <c r="K329" i="10"/>
  <c r="I329" i="10"/>
  <c r="G329" i="10"/>
  <c r="R328" i="10"/>
  <c r="Q328" i="10"/>
  <c r="O328" i="10"/>
  <c r="M328" i="10"/>
  <c r="K328" i="10"/>
  <c r="I328" i="10"/>
  <c r="G328" i="10"/>
  <c r="R327" i="10"/>
  <c r="Q327" i="10"/>
  <c r="O327" i="10"/>
  <c r="M327" i="10"/>
  <c r="K327" i="10"/>
  <c r="I327" i="10"/>
  <c r="G327" i="10"/>
  <c r="R326" i="10"/>
  <c r="Q326" i="10"/>
  <c r="O326" i="10"/>
  <c r="M326" i="10"/>
  <c r="K326" i="10"/>
  <c r="I326" i="10"/>
  <c r="G326" i="10"/>
  <c r="R325" i="10"/>
  <c r="Q325" i="10"/>
  <c r="O325" i="10"/>
  <c r="M325" i="10"/>
  <c r="K325" i="10"/>
  <c r="I325" i="10"/>
  <c r="G325" i="10"/>
  <c r="R324" i="10"/>
  <c r="Q324" i="10"/>
  <c r="O324" i="10"/>
  <c r="M324" i="10"/>
  <c r="K324" i="10"/>
  <c r="I324" i="10"/>
  <c r="G324" i="10"/>
  <c r="R323" i="10"/>
  <c r="Q323" i="10"/>
  <c r="O323" i="10"/>
  <c r="M323" i="10"/>
  <c r="K323" i="10"/>
  <c r="I323" i="10"/>
  <c r="G323" i="10"/>
  <c r="R322" i="10"/>
  <c r="Q322" i="10"/>
  <c r="O322" i="10"/>
  <c r="M322" i="10"/>
  <c r="K322" i="10"/>
  <c r="I322" i="10"/>
  <c r="G322" i="10"/>
  <c r="R321" i="10"/>
  <c r="Q321" i="10"/>
  <c r="O321" i="10"/>
  <c r="M321" i="10"/>
  <c r="K321" i="10"/>
  <c r="I321" i="10"/>
  <c r="G321" i="10"/>
  <c r="R320" i="10"/>
  <c r="Q320" i="10"/>
  <c r="O320" i="10"/>
  <c r="M320" i="10"/>
  <c r="K320" i="10"/>
  <c r="I320" i="10"/>
  <c r="G320" i="10"/>
  <c r="R319" i="10"/>
  <c r="Q319" i="10"/>
  <c r="O319" i="10"/>
  <c r="M319" i="10"/>
  <c r="K319" i="10"/>
  <c r="I319" i="10"/>
  <c r="G319" i="10"/>
  <c r="R318" i="10"/>
  <c r="Q318" i="10"/>
  <c r="O318" i="10"/>
  <c r="M318" i="10"/>
  <c r="K318" i="10"/>
  <c r="I318" i="10"/>
  <c r="G318" i="10"/>
  <c r="R317" i="10"/>
  <c r="Q317" i="10"/>
  <c r="O317" i="10"/>
  <c r="M317" i="10"/>
  <c r="K317" i="10"/>
  <c r="I317" i="10"/>
  <c r="G317" i="10"/>
  <c r="R316" i="10"/>
  <c r="Q316" i="10"/>
  <c r="O316" i="10"/>
  <c r="M316" i="10"/>
  <c r="K316" i="10"/>
  <c r="I316" i="10"/>
  <c r="G316" i="10"/>
  <c r="R315" i="10"/>
  <c r="Q315" i="10"/>
  <c r="O315" i="10"/>
  <c r="M315" i="10"/>
  <c r="K315" i="10"/>
  <c r="I315" i="10"/>
  <c r="G315" i="10"/>
  <c r="R314" i="10"/>
  <c r="Q314" i="10"/>
  <c r="O314" i="10"/>
  <c r="M314" i="10"/>
  <c r="K314" i="10"/>
  <c r="I314" i="10"/>
  <c r="G314" i="10"/>
  <c r="R313" i="10"/>
  <c r="Q313" i="10"/>
  <c r="O313" i="10"/>
  <c r="M313" i="10"/>
  <c r="K313" i="10"/>
  <c r="I313" i="10"/>
  <c r="G313" i="10"/>
  <c r="R312" i="10"/>
  <c r="Q312" i="10"/>
  <c r="O312" i="10"/>
  <c r="M312" i="10"/>
  <c r="K312" i="10"/>
  <c r="I312" i="10"/>
  <c r="G312" i="10"/>
  <c r="R311" i="10"/>
  <c r="Q311" i="10"/>
  <c r="O311" i="10"/>
  <c r="M311" i="10"/>
  <c r="K311" i="10"/>
  <c r="I311" i="10"/>
  <c r="G311" i="10"/>
  <c r="R310" i="10"/>
  <c r="Q310" i="10"/>
  <c r="O310" i="10"/>
  <c r="M310" i="10"/>
  <c r="K310" i="10"/>
  <c r="I310" i="10"/>
  <c r="G310" i="10"/>
  <c r="R309" i="10"/>
  <c r="Q309" i="10"/>
  <c r="O309" i="10"/>
  <c r="M309" i="10"/>
  <c r="K309" i="10"/>
  <c r="I309" i="10"/>
  <c r="G309" i="10"/>
  <c r="R308" i="10"/>
  <c r="Q308" i="10"/>
  <c r="O308" i="10"/>
  <c r="M308" i="10"/>
  <c r="K308" i="10"/>
  <c r="I308" i="10"/>
  <c r="G308" i="10"/>
  <c r="R307" i="10"/>
  <c r="Q307" i="10"/>
  <c r="O307" i="10"/>
  <c r="M307" i="10"/>
  <c r="K307" i="10"/>
  <c r="I307" i="10"/>
  <c r="G307" i="10"/>
  <c r="R306" i="10"/>
  <c r="Q306" i="10"/>
  <c r="O306" i="10"/>
  <c r="M306" i="10"/>
  <c r="K306" i="10"/>
  <c r="I306" i="10"/>
  <c r="G306" i="10"/>
  <c r="R305" i="10"/>
  <c r="Q305" i="10"/>
  <c r="O305" i="10"/>
  <c r="M305" i="10"/>
  <c r="K305" i="10"/>
  <c r="I305" i="10"/>
  <c r="G305" i="10"/>
  <c r="R304" i="10"/>
  <c r="Q304" i="10"/>
  <c r="O304" i="10"/>
  <c r="M304" i="10"/>
  <c r="K304" i="10"/>
  <c r="I304" i="10"/>
  <c r="G304" i="10"/>
  <c r="R303" i="10"/>
  <c r="Q303" i="10"/>
  <c r="O303" i="10"/>
  <c r="M303" i="10"/>
  <c r="K303" i="10"/>
  <c r="I303" i="10"/>
  <c r="G303" i="10"/>
  <c r="R302" i="10"/>
  <c r="Q302" i="10"/>
  <c r="O302" i="10"/>
  <c r="M302" i="10"/>
  <c r="K302" i="10"/>
  <c r="I302" i="10"/>
  <c r="G302" i="10"/>
  <c r="R301" i="10"/>
  <c r="Q301" i="10"/>
  <c r="O301" i="10"/>
  <c r="M301" i="10"/>
  <c r="K301" i="10"/>
  <c r="I301" i="10"/>
  <c r="G301" i="10"/>
  <c r="R300" i="10"/>
  <c r="Q300" i="10"/>
  <c r="O300" i="10"/>
  <c r="M300" i="10"/>
  <c r="K300" i="10"/>
  <c r="I300" i="10"/>
  <c r="G300" i="10"/>
  <c r="R299" i="10"/>
  <c r="Q299" i="10"/>
  <c r="O299" i="10"/>
  <c r="M299" i="10"/>
  <c r="K299" i="10"/>
  <c r="I299" i="10"/>
  <c r="G299" i="10"/>
  <c r="R298" i="10"/>
  <c r="Q298" i="10"/>
  <c r="O298" i="10"/>
  <c r="M298" i="10"/>
  <c r="K298" i="10"/>
  <c r="I298" i="10"/>
  <c r="G298" i="10"/>
  <c r="R297" i="10"/>
  <c r="Q297" i="10"/>
  <c r="O297" i="10"/>
  <c r="M297" i="10"/>
  <c r="K297" i="10"/>
  <c r="I297" i="10"/>
  <c r="G297" i="10"/>
  <c r="R296" i="10"/>
  <c r="Q296" i="10"/>
  <c r="O296" i="10"/>
  <c r="M296" i="10"/>
  <c r="K296" i="10"/>
  <c r="I296" i="10"/>
  <c r="G296" i="10"/>
  <c r="R295" i="10"/>
  <c r="Q295" i="10"/>
  <c r="O295" i="10"/>
  <c r="M295" i="10"/>
  <c r="K295" i="10"/>
  <c r="I295" i="10"/>
  <c r="G295" i="10"/>
  <c r="R294" i="10"/>
  <c r="Q294" i="10"/>
  <c r="O294" i="10"/>
  <c r="M294" i="10"/>
  <c r="K294" i="10"/>
  <c r="I294" i="10"/>
  <c r="G294" i="10"/>
  <c r="R293" i="10"/>
  <c r="Q293" i="10"/>
  <c r="O293" i="10"/>
  <c r="M293" i="10"/>
  <c r="K293" i="10"/>
  <c r="I293" i="10"/>
  <c r="G293" i="10"/>
  <c r="R292" i="10"/>
  <c r="Q292" i="10"/>
  <c r="O292" i="10"/>
  <c r="M292" i="10"/>
  <c r="K292" i="10"/>
  <c r="I292" i="10"/>
  <c r="G292" i="10"/>
  <c r="R291" i="10"/>
  <c r="Q291" i="10"/>
  <c r="O291" i="10"/>
  <c r="M291" i="10"/>
  <c r="K291" i="10"/>
  <c r="I291" i="10"/>
  <c r="G291" i="10"/>
  <c r="R290" i="10"/>
  <c r="Q290" i="10"/>
  <c r="O290" i="10"/>
  <c r="M290" i="10"/>
  <c r="K290" i="10"/>
  <c r="I290" i="10"/>
  <c r="G290" i="10"/>
  <c r="R289" i="10"/>
  <c r="Q289" i="10"/>
  <c r="O289" i="10"/>
  <c r="M289" i="10"/>
  <c r="K289" i="10"/>
  <c r="I289" i="10"/>
  <c r="G289" i="10"/>
  <c r="R288" i="10"/>
  <c r="Q288" i="10"/>
  <c r="O288" i="10"/>
  <c r="M288" i="10"/>
  <c r="K288" i="10"/>
  <c r="I288" i="10"/>
  <c r="G288" i="10"/>
  <c r="R287" i="10"/>
  <c r="Q287" i="10"/>
  <c r="O287" i="10"/>
  <c r="M287" i="10"/>
  <c r="K287" i="10"/>
  <c r="I287" i="10"/>
  <c r="G287" i="10"/>
  <c r="R286" i="10"/>
  <c r="Q286" i="10"/>
  <c r="O286" i="10"/>
  <c r="M286" i="10"/>
  <c r="K286" i="10"/>
  <c r="I286" i="10"/>
  <c r="G286" i="10"/>
  <c r="R285" i="10"/>
  <c r="Q285" i="10"/>
  <c r="O285" i="10"/>
  <c r="M285" i="10"/>
  <c r="K285" i="10"/>
  <c r="I285" i="10"/>
  <c r="G285" i="10"/>
  <c r="R284" i="10"/>
  <c r="Q284" i="10"/>
  <c r="O284" i="10"/>
  <c r="M284" i="10"/>
  <c r="K284" i="10"/>
  <c r="I284" i="10"/>
  <c r="G284" i="10"/>
  <c r="R283" i="10"/>
  <c r="Q283" i="10"/>
  <c r="O283" i="10"/>
  <c r="M283" i="10"/>
  <c r="K283" i="10"/>
  <c r="I283" i="10"/>
  <c r="G283" i="10"/>
  <c r="R282" i="10"/>
  <c r="Q282" i="10"/>
  <c r="O282" i="10"/>
  <c r="M282" i="10"/>
  <c r="K282" i="10"/>
  <c r="I282" i="10"/>
  <c r="G282" i="10"/>
  <c r="R281" i="10"/>
  <c r="Q281" i="10"/>
  <c r="O281" i="10"/>
  <c r="M281" i="10"/>
  <c r="K281" i="10"/>
  <c r="I281" i="10"/>
  <c r="G281" i="10"/>
  <c r="R280" i="10"/>
  <c r="Q280" i="10"/>
  <c r="O280" i="10"/>
  <c r="M280" i="10"/>
  <c r="K280" i="10"/>
  <c r="I280" i="10"/>
  <c r="G280" i="10"/>
  <c r="R279" i="10"/>
  <c r="Q279" i="10"/>
  <c r="O279" i="10"/>
  <c r="M279" i="10"/>
  <c r="K279" i="10"/>
  <c r="I279" i="10"/>
  <c r="G279" i="10"/>
  <c r="R278" i="10"/>
  <c r="Q278" i="10"/>
  <c r="O278" i="10"/>
  <c r="M278" i="10"/>
  <c r="K278" i="10"/>
  <c r="I278" i="10"/>
  <c r="G278" i="10"/>
  <c r="R277" i="10"/>
  <c r="Q277" i="10"/>
  <c r="O277" i="10"/>
  <c r="M277" i="10"/>
  <c r="K277" i="10"/>
  <c r="I277" i="10"/>
  <c r="G277" i="10"/>
  <c r="R276" i="10"/>
  <c r="Q276" i="10"/>
  <c r="O276" i="10"/>
  <c r="M276" i="10"/>
  <c r="K276" i="10"/>
  <c r="I276" i="10"/>
  <c r="G276" i="10"/>
  <c r="R275" i="10"/>
  <c r="Q275" i="10"/>
  <c r="O275" i="10"/>
  <c r="M275" i="10"/>
  <c r="K275" i="10"/>
  <c r="I275" i="10"/>
  <c r="G275" i="10"/>
  <c r="R274" i="10"/>
  <c r="Q274" i="10"/>
  <c r="O274" i="10"/>
  <c r="M274" i="10"/>
  <c r="K274" i="10"/>
  <c r="I274" i="10"/>
  <c r="G274" i="10"/>
  <c r="R273" i="10"/>
  <c r="Q273" i="10"/>
  <c r="O273" i="10"/>
  <c r="M273" i="10"/>
  <c r="K273" i="10"/>
  <c r="I273" i="10"/>
  <c r="G273" i="10"/>
  <c r="R272" i="10"/>
  <c r="Q272" i="10"/>
  <c r="O272" i="10"/>
  <c r="M272" i="10"/>
  <c r="K272" i="10"/>
  <c r="I272" i="10"/>
  <c r="G272" i="10"/>
  <c r="R271" i="10"/>
  <c r="Q271" i="10"/>
  <c r="O271" i="10"/>
  <c r="M271" i="10"/>
  <c r="K271" i="10"/>
  <c r="I271" i="10"/>
  <c r="G271" i="10"/>
  <c r="R270" i="10"/>
  <c r="Q270" i="10"/>
  <c r="O270" i="10"/>
  <c r="M270" i="10"/>
  <c r="K270" i="10"/>
  <c r="I270" i="10"/>
  <c r="G270" i="10"/>
  <c r="R269" i="10"/>
  <c r="Q269" i="10"/>
  <c r="O269" i="10"/>
  <c r="M269" i="10"/>
  <c r="K269" i="10"/>
  <c r="I269" i="10"/>
  <c r="G269" i="10"/>
  <c r="R268" i="10"/>
  <c r="Q268" i="10"/>
  <c r="O268" i="10"/>
  <c r="M268" i="10"/>
  <c r="K268" i="10"/>
  <c r="I268" i="10"/>
  <c r="G268" i="10"/>
  <c r="R267" i="10"/>
  <c r="Q267" i="10"/>
  <c r="O267" i="10"/>
  <c r="M267" i="10"/>
  <c r="K267" i="10"/>
  <c r="I267" i="10"/>
  <c r="G267" i="10"/>
  <c r="R266" i="10"/>
  <c r="Q266" i="10"/>
  <c r="O266" i="10"/>
  <c r="M266" i="10"/>
  <c r="K266" i="10"/>
  <c r="I266" i="10"/>
  <c r="G266" i="10"/>
  <c r="R265" i="10"/>
  <c r="Q265" i="10"/>
  <c r="O265" i="10"/>
  <c r="M265" i="10"/>
  <c r="K265" i="10"/>
  <c r="I265" i="10"/>
  <c r="G265" i="10"/>
  <c r="R264" i="10"/>
  <c r="Q264" i="10"/>
  <c r="O264" i="10"/>
  <c r="M264" i="10"/>
  <c r="K264" i="10"/>
  <c r="I264" i="10"/>
  <c r="G264" i="10"/>
  <c r="R263" i="10"/>
  <c r="Q263" i="10"/>
  <c r="O263" i="10"/>
  <c r="M263" i="10"/>
  <c r="K263" i="10"/>
  <c r="I263" i="10"/>
  <c r="G263" i="10"/>
  <c r="R262" i="10"/>
  <c r="Q262" i="10"/>
  <c r="O262" i="10"/>
  <c r="M262" i="10"/>
  <c r="K262" i="10"/>
  <c r="I262" i="10"/>
  <c r="G262" i="10"/>
  <c r="R261" i="10"/>
  <c r="Q261" i="10"/>
  <c r="O261" i="10"/>
  <c r="M261" i="10"/>
  <c r="K261" i="10"/>
  <c r="I261" i="10"/>
  <c r="G261" i="10"/>
  <c r="R260" i="10"/>
  <c r="Q260" i="10"/>
  <c r="O260" i="10"/>
  <c r="M260" i="10"/>
  <c r="K260" i="10"/>
  <c r="I260" i="10"/>
  <c r="G260" i="10"/>
  <c r="R259" i="10"/>
  <c r="Q259" i="10"/>
  <c r="O259" i="10"/>
  <c r="M259" i="10"/>
  <c r="K259" i="10"/>
  <c r="I259" i="10"/>
  <c r="G259" i="10"/>
  <c r="R258" i="10"/>
  <c r="Q258" i="10"/>
  <c r="O258" i="10"/>
  <c r="M258" i="10"/>
  <c r="K258" i="10"/>
  <c r="I258" i="10"/>
  <c r="G258" i="10"/>
  <c r="R257" i="10"/>
  <c r="Q257" i="10"/>
  <c r="O257" i="10"/>
  <c r="M257" i="10"/>
  <c r="K257" i="10"/>
  <c r="I257" i="10"/>
  <c r="G257" i="10"/>
  <c r="R256" i="10"/>
  <c r="Q256" i="10"/>
  <c r="O256" i="10"/>
  <c r="M256" i="10"/>
  <c r="K256" i="10"/>
  <c r="I256" i="10"/>
  <c r="G256" i="10"/>
  <c r="R255" i="10"/>
  <c r="Q255" i="10"/>
  <c r="O255" i="10"/>
  <c r="M255" i="10"/>
  <c r="K255" i="10"/>
  <c r="I255" i="10"/>
  <c r="G255" i="10"/>
  <c r="R254" i="10"/>
  <c r="Q254" i="10"/>
  <c r="O254" i="10"/>
  <c r="M254" i="10"/>
  <c r="K254" i="10"/>
  <c r="I254" i="10"/>
  <c r="G254" i="10"/>
  <c r="R253" i="10"/>
  <c r="Q253" i="10"/>
  <c r="O253" i="10"/>
  <c r="M253" i="10"/>
  <c r="K253" i="10"/>
  <c r="I253" i="10"/>
  <c r="G253" i="10"/>
  <c r="R252" i="10"/>
  <c r="Q252" i="10"/>
  <c r="O252" i="10"/>
  <c r="M252" i="10"/>
  <c r="K252" i="10"/>
  <c r="I252" i="10"/>
  <c r="G252" i="10"/>
  <c r="R251" i="10"/>
  <c r="Q251" i="10"/>
  <c r="O251" i="10"/>
  <c r="M251" i="10"/>
  <c r="K251" i="10"/>
  <c r="I251" i="10"/>
  <c r="G251" i="10"/>
  <c r="R250" i="10"/>
  <c r="Q250" i="10"/>
  <c r="O250" i="10"/>
  <c r="M250" i="10"/>
  <c r="K250" i="10"/>
  <c r="I250" i="10"/>
  <c r="G250" i="10"/>
  <c r="R249" i="10"/>
  <c r="Q249" i="10"/>
  <c r="O249" i="10"/>
  <c r="M249" i="10"/>
  <c r="K249" i="10"/>
  <c r="I249" i="10"/>
  <c r="G249" i="10"/>
  <c r="R248" i="10"/>
  <c r="Q248" i="10"/>
  <c r="O248" i="10"/>
  <c r="M248" i="10"/>
  <c r="K248" i="10"/>
  <c r="I248" i="10"/>
  <c r="G248" i="10"/>
  <c r="R247" i="10"/>
  <c r="Q247" i="10"/>
  <c r="O247" i="10"/>
  <c r="M247" i="10"/>
  <c r="K247" i="10"/>
  <c r="I247" i="10"/>
  <c r="G247" i="10"/>
  <c r="R246" i="10"/>
  <c r="Q246" i="10"/>
  <c r="O246" i="10"/>
  <c r="M246" i="10"/>
  <c r="K246" i="10"/>
  <c r="I246" i="10"/>
  <c r="G246" i="10"/>
  <c r="R245" i="10"/>
  <c r="Q245" i="10"/>
  <c r="O245" i="10"/>
  <c r="M245" i="10"/>
  <c r="K245" i="10"/>
  <c r="I245" i="10"/>
  <c r="G245" i="10"/>
  <c r="R244" i="10"/>
  <c r="Q244" i="10"/>
  <c r="O244" i="10"/>
  <c r="M244" i="10"/>
  <c r="K244" i="10"/>
  <c r="I244" i="10"/>
  <c r="G244" i="10"/>
  <c r="R243" i="10"/>
  <c r="Q243" i="10"/>
  <c r="O243" i="10"/>
  <c r="M243" i="10"/>
  <c r="K243" i="10"/>
  <c r="I243" i="10"/>
  <c r="G243" i="10"/>
  <c r="R242" i="10"/>
  <c r="Q242" i="10"/>
  <c r="O242" i="10"/>
  <c r="M242" i="10"/>
  <c r="K242" i="10"/>
  <c r="I242" i="10"/>
  <c r="G242" i="10"/>
  <c r="R241" i="10"/>
  <c r="Q241" i="10"/>
  <c r="O241" i="10"/>
  <c r="M241" i="10"/>
  <c r="K241" i="10"/>
  <c r="I241" i="10"/>
  <c r="G241" i="10"/>
  <c r="R240" i="10"/>
  <c r="Q240" i="10"/>
  <c r="O240" i="10"/>
  <c r="M240" i="10"/>
  <c r="K240" i="10"/>
  <c r="I240" i="10"/>
  <c r="G240" i="10"/>
  <c r="R239" i="10"/>
  <c r="Q239" i="10"/>
  <c r="O239" i="10"/>
  <c r="M239" i="10"/>
  <c r="K239" i="10"/>
  <c r="I239" i="10"/>
  <c r="G239" i="10"/>
  <c r="R238" i="10"/>
  <c r="Q238" i="10"/>
  <c r="O238" i="10"/>
  <c r="M238" i="10"/>
  <c r="K238" i="10"/>
  <c r="I238" i="10"/>
  <c r="G238" i="10"/>
  <c r="R237" i="10"/>
  <c r="Q237" i="10"/>
  <c r="O237" i="10"/>
  <c r="M237" i="10"/>
  <c r="K237" i="10"/>
  <c r="I237" i="10"/>
  <c r="G237" i="10"/>
  <c r="R236" i="10"/>
  <c r="Q236" i="10"/>
  <c r="O236" i="10"/>
  <c r="M236" i="10"/>
  <c r="K236" i="10"/>
  <c r="I236" i="10"/>
  <c r="G236" i="10"/>
  <c r="R235" i="10"/>
  <c r="Q235" i="10"/>
  <c r="O235" i="10"/>
  <c r="M235" i="10"/>
  <c r="K235" i="10"/>
  <c r="I235" i="10"/>
  <c r="G235" i="10"/>
  <c r="R234" i="10"/>
  <c r="Q234" i="10"/>
  <c r="O234" i="10"/>
  <c r="M234" i="10"/>
  <c r="K234" i="10"/>
  <c r="I234" i="10"/>
  <c r="G234" i="10"/>
  <c r="R233" i="10"/>
  <c r="Q233" i="10"/>
  <c r="O233" i="10"/>
  <c r="M233" i="10"/>
  <c r="K233" i="10"/>
  <c r="I233" i="10"/>
  <c r="G233" i="10"/>
  <c r="R232" i="10"/>
  <c r="Q232" i="10"/>
  <c r="O232" i="10"/>
  <c r="M232" i="10"/>
  <c r="K232" i="10"/>
  <c r="I232" i="10"/>
  <c r="G232" i="10"/>
  <c r="R231" i="10"/>
  <c r="Q231" i="10"/>
  <c r="O231" i="10"/>
  <c r="M231" i="10"/>
  <c r="K231" i="10"/>
  <c r="I231" i="10"/>
  <c r="G231" i="10"/>
  <c r="R230" i="10"/>
  <c r="Q230" i="10"/>
  <c r="O230" i="10"/>
  <c r="M230" i="10"/>
  <c r="K230" i="10"/>
  <c r="I230" i="10"/>
  <c r="G230" i="10"/>
  <c r="R229" i="10"/>
  <c r="Q229" i="10"/>
  <c r="O229" i="10"/>
  <c r="M229" i="10"/>
  <c r="K229" i="10"/>
  <c r="I229" i="10"/>
  <c r="G229" i="10"/>
  <c r="R228" i="10"/>
  <c r="Q228" i="10"/>
  <c r="O228" i="10"/>
  <c r="M228" i="10"/>
  <c r="K228" i="10"/>
  <c r="I228" i="10"/>
  <c r="G228" i="10"/>
  <c r="R227" i="10"/>
  <c r="Q227" i="10"/>
  <c r="O227" i="10"/>
  <c r="M227" i="10"/>
  <c r="K227" i="10"/>
  <c r="I227" i="10"/>
  <c r="G227" i="10"/>
  <c r="R226" i="10"/>
  <c r="Q226" i="10"/>
  <c r="O226" i="10"/>
  <c r="M226" i="10"/>
  <c r="K226" i="10"/>
  <c r="I226" i="10"/>
  <c r="G226" i="10"/>
  <c r="R225" i="10"/>
  <c r="Q225" i="10"/>
  <c r="O225" i="10"/>
  <c r="M225" i="10"/>
  <c r="K225" i="10"/>
  <c r="I225" i="10"/>
  <c r="G225" i="10"/>
  <c r="R224" i="10"/>
  <c r="Q224" i="10"/>
  <c r="O224" i="10"/>
  <c r="M224" i="10"/>
  <c r="K224" i="10"/>
  <c r="I224" i="10"/>
  <c r="G224" i="10"/>
  <c r="R223" i="10"/>
  <c r="Q223" i="10"/>
  <c r="O223" i="10"/>
  <c r="M223" i="10"/>
  <c r="K223" i="10"/>
  <c r="I223" i="10"/>
  <c r="G223" i="10"/>
  <c r="R222" i="10"/>
  <c r="Q222" i="10"/>
  <c r="O222" i="10"/>
  <c r="M222" i="10"/>
  <c r="K222" i="10"/>
  <c r="I222" i="10"/>
  <c r="G222" i="10"/>
  <c r="R221" i="10"/>
  <c r="Q221" i="10"/>
  <c r="O221" i="10"/>
  <c r="M221" i="10"/>
  <c r="K221" i="10"/>
  <c r="I221" i="10"/>
  <c r="G221" i="10"/>
  <c r="R220" i="10"/>
  <c r="Q220" i="10"/>
  <c r="O220" i="10"/>
  <c r="M220" i="10"/>
  <c r="K220" i="10"/>
  <c r="I220" i="10"/>
  <c r="G220" i="10"/>
  <c r="R219" i="10"/>
  <c r="Q219" i="10"/>
  <c r="O219" i="10"/>
  <c r="M219" i="10"/>
  <c r="K219" i="10"/>
  <c r="I219" i="10"/>
  <c r="G219" i="10"/>
  <c r="R218" i="10"/>
  <c r="Q218" i="10"/>
  <c r="O218" i="10"/>
  <c r="M218" i="10"/>
  <c r="K218" i="10"/>
  <c r="I218" i="10"/>
  <c r="G218" i="10"/>
  <c r="R217" i="10"/>
  <c r="Q217" i="10"/>
  <c r="O217" i="10"/>
  <c r="M217" i="10"/>
  <c r="K217" i="10"/>
  <c r="I217" i="10"/>
  <c r="G217" i="10"/>
  <c r="R216" i="10"/>
  <c r="Q216" i="10"/>
  <c r="O216" i="10"/>
  <c r="M216" i="10"/>
  <c r="K216" i="10"/>
  <c r="I216" i="10"/>
  <c r="G216" i="10"/>
  <c r="R215" i="10"/>
  <c r="Q215" i="10"/>
  <c r="O215" i="10"/>
  <c r="M215" i="10"/>
  <c r="K215" i="10"/>
  <c r="I215" i="10"/>
  <c r="G215" i="10"/>
  <c r="R214" i="10"/>
  <c r="Q214" i="10"/>
  <c r="O214" i="10"/>
  <c r="M214" i="10"/>
  <c r="K214" i="10"/>
  <c r="I214" i="10"/>
  <c r="G214" i="10"/>
  <c r="R213" i="10"/>
  <c r="Q213" i="10"/>
  <c r="O213" i="10"/>
  <c r="M213" i="10"/>
  <c r="K213" i="10"/>
  <c r="I213" i="10"/>
  <c r="G213" i="10"/>
  <c r="R212" i="10"/>
  <c r="Q212" i="10"/>
  <c r="O212" i="10"/>
  <c r="M212" i="10"/>
  <c r="K212" i="10"/>
  <c r="I212" i="10"/>
  <c r="G212" i="10"/>
  <c r="R211" i="10"/>
  <c r="Q211" i="10"/>
  <c r="O211" i="10"/>
  <c r="M211" i="10"/>
  <c r="K211" i="10"/>
  <c r="I211" i="10"/>
  <c r="G211" i="10"/>
  <c r="R210" i="10"/>
  <c r="Q210" i="10"/>
  <c r="O210" i="10"/>
  <c r="M210" i="10"/>
  <c r="K210" i="10"/>
  <c r="I210" i="10"/>
  <c r="G210" i="10"/>
  <c r="R209" i="10"/>
  <c r="Q209" i="10"/>
  <c r="O209" i="10"/>
  <c r="M209" i="10"/>
  <c r="K209" i="10"/>
  <c r="I209" i="10"/>
  <c r="G209" i="10"/>
  <c r="R208" i="10"/>
  <c r="Q208" i="10"/>
  <c r="O208" i="10"/>
  <c r="M208" i="10"/>
  <c r="K208" i="10"/>
  <c r="I208" i="10"/>
  <c r="G208" i="10"/>
  <c r="R207" i="10"/>
  <c r="Q207" i="10"/>
  <c r="O207" i="10"/>
  <c r="M207" i="10"/>
  <c r="K207" i="10"/>
  <c r="I207" i="10"/>
  <c r="G207" i="10"/>
  <c r="R206" i="10"/>
  <c r="Q206" i="10"/>
  <c r="O206" i="10"/>
  <c r="M206" i="10"/>
  <c r="K206" i="10"/>
  <c r="I206" i="10"/>
  <c r="G206" i="10"/>
  <c r="R205" i="10"/>
  <c r="Q205" i="10"/>
  <c r="O205" i="10"/>
  <c r="M205" i="10"/>
  <c r="K205" i="10"/>
  <c r="I205" i="10"/>
  <c r="G205" i="10"/>
  <c r="R204" i="10"/>
  <c r="Q204" i="10"/>
  <c r="O204" i="10"/>
  <c r="M204" i="10"/>
  <c r="K204" i="10"/>
  <c r="I204" i="10"/>
  <c r="G204" i="10"/>
  <c r="R203" i="10"/>
  <c r="Q203" i="10"/>
  <c r="O203" i="10"/>
  <c r="M203" i="10"/>
  <c r="K203" i="10"/>
  <c r="I203" i="10"/>
  <c r="G203" i="10"/>
  <c r="R202" i="10"/>
  <c r="Q202" i="10"/>
  <c r="O202" i="10"/>
  <c r="M202" i="10"/>
  <c r="K202" i="10"/>
  <c r="I202" i="10"/>
  <c r="G202" i="10"/>
  <c r="R201" i="10"/>
  <c r="Q201" i="10"/>
  <c r="O201" i="10"/>
  <c r="M201" i="10"/>
  <c r="K201" i="10"/>
  <c r="I201" i="10"/>
  <c r="G201" i="10"/>
  <c r="R200" i="10"/>
  <c r="Q200" i="10"/>
  <c r="O200" i="10"/>
  <c r="M200" i="10"/>
  <c r="K200" i="10"/>
  <c r="I200" i="10"/>
  <c r="G200" i="10"/>
  <c r="R199" i="10"/>
  <c r="Q199" i="10"/>
  <c r="O199" i="10"/>
  <c r="M199" i="10"/>
  <c r="K199" i="10"/>
  <c r="I199" i="10"/>
  <c r="G199" i="10"/>
  <c r="R198" i="10"/>
  <c r="Q198" i="10"/>
  <c r="O198" i="10"/>
  <c r="M198" i="10"/>
  <c r="K198" i="10"/>
  <c r="I198" i="10"/>
  <c r="G198" i="10"/>
  <c r="R197" i="10"/>
  <c r="Q197" i="10"/>
  <c r="O197" i="10"/>
  <c r="M197" i="10"/>
  <c r="K197" i="10"/>
  <c r="I197" i="10"/>
  <c r="G197" i="10"/>
  <c r="R196" i="10"/>
  <c r="Q196" i="10"/>
  <c r="O196" i="10"/>
  <c r="M196" i="10"/>
  <c r="K196" i="10"/>
  <c r="I196" i="10"/>
  <c r="G196" i="10"/>
  <c r="R195" i="10"/>
  <c r="Q195" i="10"/>
  <c r="O195" i="10"/>
  <c r="M195" i="10"/>
  <c r="K195" i="10"/>
  <c r="I195" i="10"/>
  <c r="G195" i="10"/>
  <c r="R194" i="10"/>
  <c r="Q194" i="10"/>
  <c r="O194" i="10"/>
  <c r="M194" i="10"/>
  <c r="K194" i="10"/>
  <c r="I194" i="10"/>
  <c r="G194" i="10"/>
  <c r="R193" i="10"/>
  <c r="Q193" i="10"/>
  <c r="O193" i="10"/>
  <c r="M193" i="10"/>
  <c r="K193" i="10"/>
  <c r="I193" i="10"/>
  <c r="G193" i="10"/>
  <c r="R192" i="10"/>
  <c r="Q192" i="10"/>
  <c r="O192" i="10"/>
  <c r="M192" i="10"/>
  <c r="K192" i="10"/>
  <c r="I192" i="10"/>
  <c r="G192" i="10"/>
  <c r="R191" i="10"/>
  <c r="Q191" i="10"/>
  <c r="O191" i="10"/>
  <c r="M191" i="10"/>
  <c r="K191" i="10"/>
  <c r="I191" i="10"/>
  <c r="G191" i="10"/>
  <c r="R190" i="10"/>
  <c r="Q190" i="10"/>
  <c r="O190" i="10"/>
  <c r="M190" i="10"/>
  <c r="K190" i="10"/>
  <c r="I190" i="10"/>
  <c r="G190" i="10"/>
  <c r="R189" i="10"/>
  <c r="Q189" i="10"/>
  <c r="O189" i="10"/>
  <c r="M189" i="10"/>
  <c r="K189" i="10"/>
  <c r="I189" i="10"/>
  <c r="G189" i="10"/>
  <c r="R188" i="10"/>
  <c r="Q188" i="10"/>
  <c r="O188" i="10"/>
  <c r="M188" i="10"/>
  <c r="K188" i="10"/>
  <c r="I188" i="10"/>
  <c r="G188" i="10"/>
  <c r="R187" i="10"/>
  <c r="Q187" i="10"/>
  <c r="O187" i="10"/>
  <c r="M187" i="10"/>
  <c r="K187" i="10"/>
  <c r="I187" i="10"/>
  <c r="G187" i="10"/>
  <c r="R186" i="10"/>
  <c r="Q186" i="10"/>
  <c r="O186" i="10"/>
  <c r="M186" i="10"/>
  <c r="K186" i="10"/>
  <c r="I186" i="10"/>
  <c r="G186" i="10"/>
  <c r="R185" i="10"/>
  <c r="Q185" i="10"/>
  <c r="O185" i="10"/>
  <c r="M185" i="10"/>
  <c r="K185" i="10"/>
  <c r="I185" i="10"/>
  <c r="G185" i="10"/>
  <c r="R184" i="10"/>
  <c r="Q184" i="10"/>
  <c r="O184" i="10"/>
  <c r="M184" i="10"/>
  <c r="K184" i="10"/>
  <c r="I184" i="10"/>
  <c r="G184" i="10"/>
  <c r="R183" i="10"/>
  <c r="Q183" i="10"/>
  <c r="O183" i="10"/>
  <c r="M183" i="10"/>
  <c r="K183" i="10"/>
  <c r="I183" i="10"/>
  <c r="G183" i="10"/>
  <c r="R182" i="10"/>
  <c r="Q182" i="10"/>
  <c r="O182" i="10"/>
  <c r="M182" i="10"/>
  <c r="K182" i="10"/>
  <c r="I182" i="10"/>
  <c r="G182" i="10"/>
  <c r="R181" i="10"/>
  <c r="Q181" i="10"/>
  <c r="O181" i="10"/>
  <c r="M181" i="10"/>
  <c r="K181" i="10"/>
  <c r="I181" i="10"/>
  <c r="G181" i="10"/>
  <c r="R180" i="10"/>
  <c r="Q180" i="10"/>
  <c r="O180" i="10"/>
  <c r="M180" i="10"/>
  <c r="K180" i="10"/>
  <c r="I180" i="10"/>
  <c r="G180" i="10"/>
  <c r="R179" i="10"/>
  <c r="Q179" i="10"/>
  <c r="O179" i="10"/>
  <c r="M179" i="10"/>
  <c r="K179" i="10"/>
  <c r="I179" i="10"/>
  <c r="G179" i="10"/>
  <c r="R178" i="10"/>
  <c r="Q178" i="10"/>
  <c r="O178" i="10"/>
  <c r="M178" i="10"/>
  <c r="K178" i="10"/>
  <c r="I178" i="10"/>
  <c r="G178" i="10"/>
  <c r="R177" i="10"/>
  <c r="Q177" i="10"/>
  <c r="O177" i="10"/>
  <c r="M177" i="10"/>
  <c r="K177" i="10"/>
  <c r="I177" i="10"/>
  <c r="G177" i="10"/>
  <c r="R176" i="10"/>
  <c r="Q176" i="10"/>
  <c r="O176" i="10"/>
  <c r="M176" i="10"/>
  <c r="K176" i="10"/>
  <c r="I176" i="10"/>
  <c r="G176" i="10"/>
  <c r="R175" i="10"/>
  <c r="Q175" i="10"/>
  <c r="O175" i="10"/>
  <c r="M175" i="10"/>
  <c r="K175" i="10"/>
  <c r="I175" i="10"/>
  <c r="G175" i="10"/>
  <c r="R174" i="10"/>
  <c r="Q174" i="10"/>
  <c r="O174" i="10"/>
  <c r="M174" i="10"/>
  <c r="K174" i="10"/>
  <c r="I174" i="10"/>
  <c r="G174" i="10"/>
  <c r="R173" i="10"/>
  <c r="Q173" i="10"/>
  <c r="O173" i="10"/>
  <c r="M173" i="10"/>
  <c r="K173" i="10"/>
  <c r="I173" i="10"/>
  <c r="G173" i="10"/>
  <c r="R172" i="10"/>
  <c r="Q172" i="10"/>
  <c r="O172" i="10"/>
  <c r="M172" i="10"/>
  <c r="K172" i="10"/>
  <c r="I172" i="10"/>
  <c r="G172" i="10"/>
  <c r="R171" i="10"/>
  <c r="Q171" i="10"/>
  <c r="O171" i="10"/>
  <c r="M171" i="10"/>
  <c r="K171" i="10"/>
  <c r="I171" i="10"/>
  <c r="G171" i="10"/>
  <c r="R170" i="10"/>
  <c r="Q170" i="10"/>
  <c r="O170" i="10"/>
  <c r="M170" i="10"/>
  <c r="K170" i="10"/>
  <c r="I170" i="10"/>
  <c r="G170" i="10"/>
  <c r="R169" i="10"/>
  <c r="Q169" i="10"/>
  <c r="O169" i="10"/>
  <c r="M169" i="10"/>
  <c r="K169" i="10"/>
  <c r="I169" i="10"/>
  <c r="G169" i="10"/>
  <c r="R168" i="10"/>
  <c r="Q168" i="10"/>
  <c r="O168" i="10"/>
  <c r="M168" i="10"/>
  <c r="K168" i="10"/>
  <c r="I168" i="10"/>
  <c r="G168" i="10"/>
  <c r="R167" i="10"/>
  <c r="Q167" i="10"/>
  <c r="O167" i="10"/>
  <c r="M167" i="10"/>
  <c r="K167" i="10"/>
  <c r="I167" i="10"/>
  <c r="G167" i="10"/>
  <c r="R166" i="10"/>
  <c r="Q166" i="10"/>
  <c r="O166" i="10"/>
  <c r="M166" i="10"/>
  <c r="K166" i="10"/>
  <c r="I166" i="10"/>
  <c r="G166" i="10"/>
  <c r="R165" i="10"/>
  <c r="Q165" i="10"/>
  <c r="O165" i="10"/>
  <c r="M165" i="10"/>
  <c r="K165" i="10"/>
  <c r="I165" i="10"/>
  <c r="G165" i="10"/>
  <c r="R164" i="10"/>
  <c r="Q164" i="10"/>
  <c r="O164" i="10"/>
  <c r="M164" i="10"/>
  <c r="K164" i="10"/>
  <c r="I164" i="10"/>
  <c r="G164" i="10"/>
  <c r="R163" i="10"/>
  <c r="Q163" i="10"/>
  <c r="O163" i="10"/>
  <c r="M163" i="10"/>
  <c r="K163" i="10"/>
  <c r="I163" i="10"/>
  <c r="G163" i="10"/>
  <c r="R162" i="10"/>
  <c r="Q162" i="10"/>
  <c r="O162" i="10"/>
  <c r="M162" i="10"/>
  <c r="K162" i="10"/>
  <c r="I162" i="10"/>
  <c r="G162" i="10"/>
  <c r="R161" i="10"/>
  <c r="Q161" i="10"/>
  <c r="O161" i="10"/>
  <c r="M161" i="10"/>
  <c r="K161" i="10"/>
  <c r="I161" i="10"/>
  <c r="G161" i="10"/>
  <c r="R160" i="10"/>
  <c r="Q160" i="10"/>
  <c r="O160" i="10"/>
  <c r="M160" i="10"/>
  <c r="K160" i="10"/>
  <c r="I160" i="10"/>
  <c r="G160" i="10"/>
  <c r="R159" i="10"/>
  <c r="Q159" i="10"/>
  <c r="O159" i="10"/>
  <c r="M159" i="10"/>
  <c r="K159" i="10"/>
  <c r="I159" i="10"/>
  <c r="G159" i="10"/>
  <c r="R158" i="10"/>
  <c r="Q158" i="10"/>
  <c r="O158" i="10"/>
  <c r="M158" i="10"/>
  <c r="K158" i="10"/>
  <c r="I158" i="10"/>
  <c r="G158" i="10"/>
  <c r="R157" i="10"/>
  <c r="Q157" i="10"/>
  <c r="O157" i="10"/>
  <c r="M157" i="10"/>
  <c r="K157" i="10"/>
  <c r="I157" i="10"/>
  <c r="G157" i="10"/>
  <c r="R156" i="10"/>
  <c r="Q156" i="10"/>
  <c r="O156" i="10"/>
  <c r="M156" i="10"/>
  <c r="K156" i="10"/>
  <c r="I156" i="10"/>
  <c r="G156" i="10"/>
  <c r="R155" i="10"/>
  <c r="Q155" i="10"/>
  <c r="O155" i="10"/>
  <c r="M155" i="10"/>
  <c r="K155" i="10"/>
  <c r="I155" i="10"/>
  <c r="G155" i="10"/>
  <c r="R154" i="10"/>
  <c r="Q154" i="10"/>
  <c r="O154" i="10"/>
  <c r="M154" i="10"/>
  <c r="K154" i="10"/>
  <c r="I154" i="10"/>
  <c r="G154" i="10"/>
  <c r="R153" i="10"/>
  <c r="Q153" i="10"/>
  <c r="O153" i="10"/>
  <c r="M153" i="10"/>
  <c r="K153" i="10"/>
  <c r="I153" i="10"/>
  <c r="G153" i="10"/>
  <c r="R152" i="10"/>
  <c r="Q152" i="10"/>
  <c r="O152" i="10"/>
  <c r="M152" i="10"/>
  <c r="K152" i="10"/>
  <c r="I152" i="10"/>
  <c r="G152" i="10"/>
  <c r="R151" i="10"/>
  <c r="Q151" i="10"/>
  <c r="O151" i="10"/>
  <c r="M151" i="10"/>
  <c r="K151" i="10"/>
  <c r="I151" i="10"/>
  <c r="G151" i="10"/>
  <c r="R150" i="10"/>
  <c r="Q150" i="10"/>
  <c r="O150" i="10"/>
  <c r="M150" i="10"/>
  <c r="K150" i="10"/>
  <c r="I150" i="10"/>
  <c r="G150" i="10"/>
  <c r="R149" i="10"/>
  <c r="Q149" i="10"/>
  <c r="O149" i="10"/>
  <c r="M149" i="10"/>
  <c r="K149" i="10"/>
  <c r="I149" i="10"/>
  <c r="G149" i="10"/>
  <c r="R148" i="10"/>
  <c r="Q148" i="10"/>
  <c r="O148" i="10"/>
  <c r="M148" i="10"/>
  <c r="K148" i="10"/>
  <c r="I148" i="10"/>
  <c r="G148" i="10"/>
  <c r="R147" i="10"/>
  <c r="Q147" i="10"/>
  <c r="O147" i="10"/>
  <c r="M147" i="10"/>
  <c r="K147" i="10"/>
  <c r="I147" i="10"/>
  <c r="G147" i="10"/>
  <c r="R146" i="10"/>
  <c r="Q146" i="10"/>
  <c r="O146" i="10"/>
  <c r="M146" i="10"/>
  <c r="K146" i="10"/>
  <c r="I146" i="10"/>
  <c r="G146" i="10"/>
  <c r="R145" i="10"/>
  <c r="Q145" i="10"/>
  <c r="O145" i="10"/>
  <c r="M145" i="10"/>
  <c r="K145" i="10"/>
  <c r="I145" i="10"/>
  <c r="G145" i="10"/>
  <c r="R144" i="10"/>
  <c r="Q144" i="10"/>
  <c r="O144" i="10"/>
  <c r="M144" i="10"/>
  <c r="K144" i="10"/>
  <c r="I144" i="10"/>
  <c r="G144" i="10"/>
  <c r="R143" i="10"/>
  <c r="Q143" i="10"/>
  <c r="O143" i="10"/>
  <c r="M143" i="10"/>
  <c r="K143" i="10"/>
  <c r="I143" i="10"/>
  <c r="G143" i="10"/>
  <c r="R142" i="10"/>
  <c r="Q142" i="10"/>
  <c r="O142" i="10"/>
  <c r="M142" i="10"/>
  <c r="K142" i="10"/>
  <c r="I142" i="10"/>
  <c r="G142" i="10"/>
  <c r="R141" i="10"/>
  <c r="Q141" i="10"/>
  <c r="O141" i="10"/>
  <c r="M141" i="10"/>
  <c r="K141" i="10"/>
  <c r="I141" i="10"/>
  <c r="G141" i="10"/>
  <c r="R140" i="10"/>
  <c r="Q140" i="10"/>
  <c r="O140" i="10"/>
  <c r="M140" i="10"/>
  <c r="K140" i="10"/>
  <c r="I140" i="10"/>
  <c r="G140" i="10"/>
  <c r="R139" i="10"/>
  <c r="Q139" i="10"/>
  <c r="O139" i="10"/>
  <c r="M139" i="10"/>
  <c r="K139" i="10"/>
  <c r="I139" i="10"/>
  <c r="G139" i="10"/>
  <c r="R138" i="10"/>
  <c r="Q138" i="10"/>
  <c r="O138" i="10"/>
  <c r="M138" i="10"/>
  <c r="K138" i="10"/>
  <c r="I138" i="10"/>
  <c r="G138" i="10"/>
  <c r="R137" i="10"/>
  <c r="Q137" i="10"/>
  <c r="O137" i="10"/>
  <c r="M137" i="10"/>
  <c r="K137" i="10"/>
  <c r="I137" i="10"/>
  <c r="G137" i="10"/>
  <c r="R136" i="10"/>
  <c r="Q136" i="10"/>
  <c r="O136" i="10"/>
  <c r="M136" i="10"/>
  <c r="K136" i="10"/>
  <c r="I136" i="10"/>
  <c r="G136" i="10"/>
  <c r="R135" i="10"/>
  <c r="Q135" i="10"/>
  <c r="O135" i="10"/>
  <c r="M135" i="10"/>
  <c r="K135" i="10"/>
  <c r="I135" i="10"/>
  <c r="G135" i="10"/>
  <c r="R134" i="10"/>
  <c r="Q134" i="10"/>
  <c r="O134" i="10"/>
  <c r="M134" i="10"/>
  <c r="K134" i="10"/>
  <c r="I134" i="10"/>
  <c r="G134" i="10"/>
  <c r="R133" i="10"/>
  <c r="Q133" i="10"/>
  <c r="O133" i="10"/>
  <c r="M133" i="10"/>
  <c r="K133" i="10"/>
  <c r="I133" i="10"/>
  <c r="G133" i="10"/>
  <c r="R132" i="10"/>
  <c r="Q132" i="10"/>
  <c r="O132" i="10"/>
  <c r="M132" i="10"/>
  <c r="K132" i="10"/>
  <c r="I132" i="10"/>
  <c r="G132" i="10"/>
  <c r="R131" i="10"/>
  <c r="Q131" i="10"/>
  <c r="O131" i="10"/>
  <c r="M131" i="10"/>
  <c r="K131" i="10"/>
  <c r="I131" i="10"/>
  <c r="G131" i="10"/>
  <c r="R130" i="10"/>
  <c r="Q130" i="10"/>
  <c r="O130" i="10"/>
  <c r="M130" i="10"/>
  <c r="K130" i="10"/>
  <c r="I130" i="10"/>
  <c r="G130" i="10"/>
  <c r="P61" i="10"/>
  <c r="N61" i="10"/>
  <c r="L61" i="10"/>
  <c r="J61" i="10"/>
  <c r="H61" i="10"/>
  <c r="F61" i="10"/>
  <c r="R59" i="10"/>
  <c r="R55" i="10"/>
  <c r="R51" i="10"/>
  <c r="R47" i="10"/>
  <c r="R43" i="10"/>
  <c r="R39" i="10"/>
  <c r="R35" i="10"/>
  <c r="R31" i="10"/>
  <c r="R27" i="10"/>
  <c r="R23" i="10"/>
  <c r="R19" i="10"/>
  <c r="R15" i="10"/>
  <c r="R11" i="10"/>
  <c r="R7" i="10"/>
  <c r="R3" i="10"/>
  <c r="S593" i="10" l="1"/>
  <c r="T593" i="10" s="1"/>
  <c r="S1115" i="10"/>
  <c r="T1115" i="10" s="1"/>
  <c r="S714" i="10"/>
  <c r="S738" i="10"/>
  <c r="S786" i="10"/>
  <c r="S834" i="10"/>
  <c r="T834" i="10" s="1"/>
  <c r="S661" i="10"/>
  <c r="T661" i="10" s="1"/>
  <c r="S697" i="10"/>
  <c r="T697" i="10" s="1"/>
  <c r="S164" i="10"/>
  <c r="T164" i="10" s="1"/>
  <c r="S296" i="10"/>
  <c r="T296" i="10" s="1"/>
  <c r="S332" i="10"/>
  <c r="T332" i="10" s="1"/>
  <c r="S489" i="10"/>
  <c r="T489" i="10" s="1"/>
  <c r="S513" i="10"/>
  <c r="S250" i="10"/>
  <c r="T250" i="10" s="1"/>
  <c r="S255" i="10"/>
  <c r="S262" i="10"/>
  <c r="T262" i="10" s="1"/>
  <c r="S274" i="10"/>
  <c r="T274" i="10" s="1"/>
  <c r="S310" i="10"/>
  <c r="T310" i="10" s="1"/>
  <c r="S315" i="10"/>
  <c r="T315" i="10" s="1"/>
  <c r="S466" i="10"/>
  <c r="T466" i="10" s="1"/>
  <c r="S478" i="10"/>
  <c r="T478" i="10" s="1"/>
  <c r="S490" i="10"/>
  <c r="T490" i="10" s="1"/>
  <c r="S514" i="10"/>
  <c r="T514" i="10" s="1"/>
  <c r="S538" i="10"/>
  <c r="T538" i="10" s="1"/>
  <c r="S562" i="10"/>
  <c r="T562" i="10" s="1"/>
  <c r="S901" i="10"/>
  <c r="T901" i="10" s="1"/>
  <c r="S653" i="10"/>
  <c r="T653" i="10" s="1"/>
  <c r="S572" i="10"/>
  <c r="T572" i="10" s="1"/>
  <c r="S322" i="10"/>
  <c r="T322" i="10" s="1"/>
  <c r="S394" i="10"/>
  <c r="T394" i="10" s="1"/>
  <c r="S418" i="10"/>
  <c r="T418" i="10" s="1"/>
  <c r="S430" i="10"/>
  <c r="T430" i="10" s="1"/>
  <c r="S442" i="10"/>
  <c r="T442" i="10" s="1"/>
  <c r="S709" i="10"/>
  <c r="T709" i="10" s="1"/>
  <c r="S757" i="10"/>
  <c r="T757" i="10" s="1"/>
  <c r="S930" i="10"/>
  <c r="T930" i="10" s="1"/>
  <c r="S838" i="10"/>
  <c r="S874" i="10"/>
  <c r="S922" i="10"/>
  <c r="S1415" i="10"/>
  <c r="S173" i="10"/>
  <c r="T173" i="10" s="1"/>
  <c r="S209" i="10"/>
  <c r="T209" i="10" s="1"/>
  <c r="S566" i="10"/>
  <c r="T566" i="10" s="1"/>
  <c r="S353" i="10"/>
  <c r="T353" i="10" s="1"/>
  <c r="S425" i="10"/>
  <c r="T425" i="10" s="1"/>
  <c r="S473" i="10"/>
  <c r="T473" i="10" s="1"/>
  <c r="S609" i="10"/>
  <c r="T609" i="10" s="1"/>
  <c r="S948" i="10"/>
  <c r="T948" i="10" s="1"/>
  <c r="S960" i="10"/>
  <c r="T960" i="10" s="1"/>
  <c r="S1032" i="10"/>
  <c r="S1121" i="10"/>
  <c r="T1121" i="10" s="1"/>
  <c r="S1205" i="10"/>
  <c r="S1289" i="10"/>
  <c r="T1289" i="10" s="1"/>
  <c r="S1301" i="10"/>
  <c r="T1301" i="10" s="1"/>
  <c r="S895" i="10"/>
  <c r="T895" i="10" s="1"/>
  <c r="S842" i="10"/>
  <c r="T842" i="10" s="1"/>
  <c r="S854" i="10"/>
  <c r="T854" i="10" s="1"/>
  <c r="S926" i="10"/>
  <c r="T926" i="10" s="1"/>
  <c r="S618" i="10"/>
  <c r="T618" i="10" s="1"/>
  <c r="S657" i="10"/>
  <c r="T657" i="10" s="1"/>
  <c r="S659" i="10"/>
  <c r="T659" i="10" s="1"/>
  <c r="S725" i="10"/>
  <c r="S736" i="10"/>
  <c r="T736" i="10" s="1"/>
  <c r="S789" i="10"/>
  <c r="S813" i="10"/>
  <c r="T813" i="10" s="1"/>
  <c r="S818" i="10"/>
  <c r="T818" i="10" s="1"/>
  <c r="S890" i="10"/>
  <c r="T890" i="10" s="1"/>
  <c r="S902" i="10"/>
  <c r="T902" i="10" s="1"/>
  <c r="S1005" i="10"/>
  <c r="T1005" i="10" s="1"/>
  <c r="S1274" i="10"/>
  <c r="T1274" i="10" s="1"/>
  <c r="S577" i="10"/>
  <c r="T577" i="10" s="1"/>
  <c r="S604" i="10"/>
  <c r="T604" i="10" s="1"/>
  <c r="S179" i="10"/>
  <c r="T179" i="10" s="1"/>
  <c r="S393" i="10"/>
  <c r="S417" i="10"/>
  <c r="T417" i="10" s="1"/>
  <c r="S441" i="10"/>
  <c r="S465" i="10"/>
  <c r="T465" i="10" s="1"/>
  <c r="S532" i="10"/>
  <c r="T532" i="10" s="1"/>
  <c r="S539" i="10"/>
  <c r="T539" i="10" s="1"/>
  <c r="S597" i="10"/>
  <c r="T597" i="10" s="1"/>
  <c r="S645" i="10"/>
  <c r="T645" i="10" s="1"/>
  <c r="S662" i="10"/>
  <c r="T662" i="10" s="1"/>
  <c r="S739" i="10"/>
  <c r="T739" i="10" s="1"/>
  <c r="S763" i="10"/>
  <c r="T763" i="10" s="1"/>
  <c r="S821" i="10"/>
  <c r="T821" i="10" s="1"/>
  <c r="S845" i="10"/>
  <c r="S886" i="10"/>
  <c r="T886" i="10" s="1"/>
  <c r="S898" i="10"/>
  <c r="S910" i="10"/>
  <c r="T910" i="10" s="1"/>
  <c r="S1059" i="10"/>
  <c r="T1059" i="10" s="1"/>
  <c r="S1136" i="10"/>
  <c r="T1136" i="10" s="1"/>
  <c r="S1148" i="10"/>
  <c r="T1148" i="10" s="1"/>
  <c r="S1232" i="10"/>
  <c r="T1232" i="10" s="1"/>
  <c r="S1244" i="10"/>
  <c r="T1244" i="10" s="1"/>
  <c r="S1316" i="10"/>
  <c r="T1316" i="10" s="1"/>
  <c r="S1328" i="10"/>
  <c r="T1328" i="10" s="1"/>
  <c r="S1388" i="10"/>
  <c r="T1388" i="10" s="1"/>
  <c r="S1408" i="10"/>
  <c r="T1408" i="10" s="1"/>
  <c r="S1410" i="10"/>
  <c r="S174" i="10"/>
  <c r="S198" i="10"/>
  <c r="T198" i="10" s="1"/>
  <c r="S261" i="10"/>
  <c r="T261" i="10" s="1"/>
  <c r="S273" i="10"/>
  <c r="T273" i="10" s="1"/>
  <c r="S299" i="10"/>
  <c r="T299" i="10" s="1"/>
  <c r="S306" i="10"/>
  <c r="T306" i="10" s="1"/>
  <c r="S318" i="10"/>
  <c r="T318" i="10" s="1"/>
  <c r="S366" i="10"/>
  <c r="T366" i="10" s="1"/>
  <c r="S398" i="10"/>
  <c r="T398" i="10" s="1"/>
  <c r="S402" i="10"/>
  <c r="T402" i="10" s="1"/>
  <c r="S426" i="10"/>
  <c r="T426" i="10" s="1"/>
  <c r="S446" i="10"/>
  <c r="T446" i="10" s="1"/>
  <c r="S450" i="10"/>
  <c r="T450" i="10" s="1"/>
  <c r="S474" i="10"/>
  <c r="T474" i="10" s="1"/>
  <c r="S494" i="10"/>
  <c r="T494" i="10" s="1"/>
  <c r="S498" i="10"/>
  <c r="T498" i="10" s="1"/>
  <c r="S546" i="10"/>
  <c r="T546" i="10" s="1"/>
  <c r="S633" i="10"/>
  <c r="T633" i="10" s="1"/>
  <c r="S648" i="10"/>
  <c r="T648" i="10" s="1"/>
  <c r="S669" i="10"/>
  <c r="T669" i="10" s="1"/>
  <c r="S693" i="10"/>
  <c r="T693" i="10" s="1"/>
  <c r="S698" i="10"/>
  <c r="T698" i="10" s="1"/>
  <c r="S722" i="10"/>
  <c r="S734" i="10"/>
  <c r="S746" i="10"/>
  <c r="S770" i="10"/>
  <c r="T770" i="10" s="1"/>
  <c r="S782" i="10"/>
  <c r="T782" i="10" s="1"/>
  <c r="S853" i="10"/>
  <c r="T853" i="10" s="1"/>
  <c r="S934" i="10"/>
  <c r="T934" i="10" s="1"/>
  <c r="S958" i="10"/>
  <c r="T958" i="10" s="1"/>
  <c r="S966" i="10"/>
  <c r="T966" i="10" s="1"/>
  <c r="S970" i="10"/>
  <c r="T970" i="10" s="1"/>
  <c r="S1355" i="10"/>
  <c r="T1355" i="10" s="1"/>
  <c r="S133" i="10"/>
  <c r="T133" i="10" s="1"/>
  <c r="S145" i="10"/>
  <c r="S397" i="10"/>
  <c r="S421" i="10"/>
  <c r="S469" i="10"/>
  <c r="T469" i="10" s="1"/>
  <c r="S517" i="10"/>
  <c r="T517" i="10" s="1"/>
  <c r="S534" i="10"/>
  <c r="T534" i="10" s="1"/>
  <c r="S570" i="10"/>
  <c r="T570" i="10" s="1"/>
  <c r="S705" i="10"/>
  <c r="T705" i="10" s="1"/>
  <c r="S741" i="10"/>
  <c r="T741" i="10" s="1"/>
  <c r="S753" i="10"/>
  <c r="T753" i="10" s="1"/>
  <c r="S765" i="10"/>
  <c r="T765" i="10" s="1"/>
  <c r="S794" i="10"/>
  <c r="T794" i="10" s="1"/>
  <c r="S806" i="10"/>
  <c r="S830" i="10"/>
  <c r="S900" i="10"/>
  <c r="T900" i="10" s="1"/>
  <c r="S1025" i="10"/>
  <c r="T1025" i="10" s="1"/>
  <c r="S1026" i="10"/>
  <c r="T1026" i="10" s="1"/>
  <c r="S1037" i="10"/>
  <c r="T1037" i="10" s="1"/>
  <c r="S1086" i="10"/>
  <c r="T1086" i="10" s="1"/>
  <c r="S1187" i="10"/>
  <c r="T1187" i="10" s="1"/>
  <c r="S1271" i="10"/>
  <c r="T1271" i="10" s="1"/>
  <c r="S1376" i="10"/>
  <c r="T1376" i="10" s="1"/>
  <c r="S1391" i="10"/>
  <c r="T1391" i="10" s="1"/>
  <c r="S1412" i="10"/>
  <c r="T1412" i="10" s="1"/>
  <c r="S1432" i="10"/>
  <c r="S159" i="10"/>
  <c r="T159" i="10" s="1"/>
  <c r="S524" i="10"/>
  <c r="T524" i="10" s="1"/>
  <c r="S625" i="10"/>
  <c r="T625" i="10" s="1"/>
  <c r="S649" i="10"/>
  <c r="T649" i="10" s="1"/>
  <c r="S731" i="10"/>
  <c r="T731" i="10" s="1"/>
  <c r="S779" i="10"/>
  <c r="T779" i="10" s="1"/>
  <c r="S861" i="10"/>
  <c r="T861" i="10" s="1"/>
  <c r="S943" i="10"/>
  <c r="T943" i="10" s="1"/>
  <c r="S967" i="10"/>
  <c r="T967" i="10" s="1"/>
  <c r="S979" i="10"/>
  <c r="T979" i="10" s="1"/>
  <c r="S1027" i="10"/>
  <c r="T1027" i="10" s="1"/>
  <c r="S1128" i="10"/>
  <c r="T1128" i="10" s="1"/>
  <c r="S1284" i="10"/>
  <c r="T1284" i="10" s="1"/>
  <c r="S1368" i="10"/>
  <c r="T1368" i="10" s="1"/>
  <c r="S1380" i="10"/>
  <c r="T1380" i="10" s="1"/>
  <c r="S1400" i="10"/>
  <c r="T1400" i="10" s="1"/>
  <c r="S1402" i="10"/>
  <c r="T1402" i="10" s="1"/>
  <c r="S217" i="10"/>
  <c r="T217" i="10" s="1"/>
  <c r="S229" i="10"/>
  <c r="T229" i="10" s="1"/>
  <c r="S253" i="10"/>
  <c r="T253" i="10" s="1"/>
  <c r="S313" i="10"/>
  <c r="T313" i="10" s="1"/>
  <c r="S325" i="10"/>
  <c r="T325" i="10" s="1"/>
  <c r="S390" i="10"/>
  <c r="T390" i="10" s="1"/>
  <c r="S414" i="10"/>
  <c r="T414" i="10" s="1"/>
  <c r="S438" i="10"/>
  <c r="T438" i="10" s="1"/>
  <c r="S462" i="10"/>
  <c r="T462" i="10" s="1"/>
  <c r="S486" i="10"/>
  <c r="T486" i="10" s="1"/>
  <c r="S510" i="10"/>
  <c r="T510" i="10" s="1"/>
  <c r="S616" i="10"/>
  <c r="T616" i="10" s="1"/>
  <c r="S998" i="10"/>
  <c r="T998" i="10" s="1"/>
  <c r="S1106" i="10"/>
  <c r="T1106" i="10" s="1"/>
  <c r="S1135" i="10"/>
  <c r="T1135" i="10" s="1"/>
  <c r="S1383" i="10"/>
  <c r="T1383" i="10" s="1"/>
  <c r="S1424" i="10"/>
  <c r="T1424" i="10" s="1"/>
  <c r="S373" i="10"/>
  <c r="S377" i="10"/>
  <c r="S433" i="10"/>
  <c r="S481" i="10"/>
  <c r="T481" i="10" s="1"/>
  <c r="S558" i="10"/>
  <c r="T558" i="10" s="1"/>
  <c r="S613" i="10"/>
  <c r="T613" i="10" s="1"/>
  <c r="S681" i="10"/>
  <c r="T681" i="10" s="1"/>
  <c r="S685" i="10"/>
  <c r="T685" i="10" s="1"/>
  <c r="S733" i="10"/>
  <c r="T733" i="10" s="1"/>
  <c r="S781" i="10"/>
  <c r="T781" i="10" s="1"/>
  <c r="S798" i="10"/>
  <c r="T798" i="10" s="1"/>
  <c r="S810" i="10"/>
  <c r="T810" i="10" s="1"/>
  <c r="S938" i="10"/>
  <c r="T938" i="10" s="1"/>
  <c r="S1054" i="10"/>
  <c r="S1090" i="10"/>
  <c r="T1090" i="10" s="1"/>
  <c r="S1191" i="10"/>
  <c r="S1251" i="10"/>
  <c r="T1251" i="10" s="1"/>
  <c r="S1275" i="10"/>
  <c r="T1275" i="10" s="1"/>
  <c r="S1404" i="10"/>
  <c r="T1404" i="10" s="1"/>
  <c r="S240" i="10"/>
  <c r="T240" i="10" s="1"/>
  <c r="S288" i="10"/>
  <c r="T288" i="10" s="1"/>
  <c r="S370" i="10"/>
  <c r="T370" i="10" s="1"/>
  <c r="S408" i="10"/>
  <c r="T408" i="10" s="1"/>
  <c r="S456" i="10"/>
  <c r="T456" i="10" s="1"/>
  <c r="S504" i="10"/>
  <c r="T504" i="10" s="1"/>
  <c r="S605" i="10"/>
  <c r="T605" i="10" s="1"/>
  <c r="S646" i="10"/>
  <c r="T646" i="10" s="1"/>
  <c r="S675" i="10"/>
  <c r="T675" i="10" s="1"/>
  <c r="S712" i="10"/>
  <c r="T712" i="10" s="1"/>
  <c r="S716" i="10"/>
  <c r="T716" i="10" s="1"/>
  <c r="S728" i="10"/>
  <c r="T728" i="10" s="1"/>
  <c r="S762" i="10"/>
  <c r="T762" i="10" s="1"/>
  <c r="S846" i="10"/>
  <c r="T846" i="10" s="1"/>
  <c r="S870" i="10"/>
  <c r="T870" i="10" s="1"/>
  <c r="S1096" i="10"/>
  <c r="T1096" i="10" s="1"/>
  <c r="S1173" i="10"/>
  <c r="T1173" i="10" s="1"/>
  <c r="S1392" i="10"/>
  <c r="T1392" i="10" s="1"/>
  <c r="S1394" i="10"/>
  <c r="S1407" i="10"/>
  <c r="T1407" i="10" s="1"/>
  <c r="S1428" i="10"/>
  <c r="T1428" i="10" s="1"/>
  <c r="S401" i="10"/>
  <c r="T401" i="10" s="1"/>
  <c r="S427" i="10"/>
  <c r="T427" i="10" s="1"/>
  <c r="S449" i="10"/>
  <c r="T449" i="10" s="1"/>
  <c r="S475" i="10"/>
  <c r="T475" i="10" s="1"/>
  <c r="S547" i="10"/>
  <c r="T547" i="10" s="1"/>
  <c r="S600" i="10"/>
  <c r="T600" i="10" s="1"/>
  <c r="S601" i="10"/>
  <c r="T601" i="10" s="1"/>
  <c r="S617" i="10"/>
  <c r="T617" i="10" s="1"/>
  <c r="S641" i="10"/>
  <c r="T641" i="10" s="1"/>
  <c r="S723" i="10"/>
  <c r="T723" i="10" s="1"/>
  <c r="S805" i="10"/>
  <c r="T805" i="10" s="1"/>
  <c r="S866" i="10"/>
  <c r="T866" i="10" s="1"/>
  <c r="S882" i="10"/>
  <c r="T882" i="10" s="1"/>
  <c r="S918" i="10"/>
  <c r="T918" i="10" s="1"/>
  <c r="S995" i="10"/>
  <c r="T995" i="10" s="1"/>
  <c r="S1091" i="10"/>
  <c r="T1091" i="10" s="1"/>
  <c r="S1168" i="10"/>
  <c r="T1168" i="10" s="1"/>
  <c r="S1192" i="10"/>
  <c r="T1192" i="10" s="1"/>
  <c r="S1276" i="10"/>
  <c r="T1276" i="10" s="1"/>
  <c r="S1372" i="10"/>
  <c r="T1372" i="10" s="1"/>
  <c r="S1416" i="10"/>
  <c r="T1416" i="10" s="1"/>
  <c r="S1418" i="10"/>
  <c r="T1418" i="10" s="1"/>
  <c r="S206" i="10"/>
  <c r="T206" i="10" s="1"/>
  <c r="S218" i="10"/>
  <c r="T218" i="10" s="1"/>
  <c r="S266" i="10"/>
  <c r="T266" i="10" s="1"/>
  <c r="S269" i="10"/>
  <c r="T269" i="10" s="1"/>
  <c r="S271" i="10"/>
  <c r="T271" i="10" s="1"/>
  <c r="S317" i="10"/>
  <c r="T317" i="10" s="1"/>
  <c r="S406" i="10"/>
  <c r="T406" i="10" s="1"/>
  <c r="S422" i="10"/>
  <c r="T422" i="10" s="1"/>
  <c r="S434" i="10"/>
  <c r="T434" i="10" s="1"/>
  <c r="S454" i="10"/>
  <c r="T454" i="10" s="1"/>
  <c r="S470" i="10"/>
  <c r="T470" i="10" s="1"/>
  <c r="S482" i="10"/>
  <c r="T482" i="10" s="1"/>
  <c r="S502" i="10"/>
  <c r="T502" i="10" s="1"/>
  <c r="S506" i="10"/>
  <c r="T506" i="10" s="1"/>
  <c r="S518" i="10"/>
  <c r="T518" i="10" s="1"/>
  <c r="S554" i="10"/>
  <c r="T554" i="10" s="1"/>
  <c r="S637" i="10"/>
  <c r="T637" i="10" s="1"/>
  <c r="S677" i="10"/>
  <c r="T677" i="10" s="1"/>
  <c r="S689" i="10"/>
  <c r="T689" i="10" s="1"/>
  <c r="S754" i="10"/>
  <c r="T754" i="10" s="1"/>
  <c r="S778" i="10"/>
  <c r="T778" i="10" s="1"/>
  <c r="S795" i="10"/>
  <c r="T795" i="10" s="1"/>
  <c r="S914" i="10"/>
  <c r="T914" i="10" s="1"/>
  <c r="S942" i="10"/>
  <c r="T942" i="10" s="1"/>
  <c r="S978" i="10"/>
  <c r="T978" i="10" s="1"/>
  <c r="S986" i="10"/>
  <c r="T986" i="10" s="1"/>
  <c r="S1375" i="10"/>
  <c r="T1375" i="10" s="1"/>
  <c r="S1396" i="10"/>
  <c r="T1396" i="10" s="1"/>
  <c r="S333" i="10"/>
  <c r="T333" i="10" s="1"/>
  <c r="S357" i="10"/>
  <c r="T357" i="10" s="1"/>
  <c r="S381" i="10"/>
  <c r="T381" i="10" s="1"/>
  <c r="S410" i="10"/>
  <c r="T410" i="10" s="1"/>
  <c r="S458" i="10"/>
  <c r="T458" i="10" s="1"/>
  <c r="S701" i="10"/>
  <c r="T701" i="10" s="1"/>
  <c r="S713" i="10"/>
  <c r="T713" i="10" s="1"/>
  <c r="S749" i="10"/>
  <c r="T749" i="10" s="1"/>
  <c r="S773" i="10"/>
  <c r="T773" i="10" s="1"/>
  <c r="S793" i="10"/>
  <c r="T793" i="10" s="1"/>
  <c r="S802" i="10"/>
  <c r="T802" i="10" s="1"/>
  <c r="S814" i="10"/>
  <c r="T814" i="10" s="1"/>
  <c r="S826" i="10"/>
  <c r="T826" i="10" s="1"/>
  <c r="S894" i="10"/>
  <c r="T894" i="10" s="1"/>
  <c r="S908" i="10"/>
  <c r="T908" i="10" s="1"/>
  <c r="S1022" i="10"/>
  <c r="T1022" i="10" s="1"/>
  <c r="S1057" i="10"/>
  <c r="T1057" i="10" s="1"/>
  <c r="S1058" i="10"/>
  <c r="T1058" i="10" s="1"/>
  <c r="S1069" i="10"/>
  <c r="T1069" i="10" s="1"/>
  <c r="S1105" i="10"/>
  <c r="T1105" i="10" s="1"/>
  <c r="S1147" i="10"/>
  <c r="T1147" i="10" s="1"/>
  <c r="S1170" i="10"/>
  <c r="T1170" i="10" s="1"/>
  <c r="S1219" i="10"/>
  <c r="T1219" i="10" s="1"/>
  <c r="S1243" i="10"/>
  <c r="T1243" i="10" s="1"/>
  <c r="S1254" i="10"/>
  <c r="T1254" i="10" s="1"/>
  <c r="S1326" i="10"/>
  <c r="T1326" i="10" s="1"/>
  <c r="S1327" i="10"/>
  <c r="T1327" i="10" s="1"/>
  <c r="S1384" i="10"/>
  <c r="T1384" i="10" s="1"/>
  <c r="S1420" i="10"/>
  <c r="T1420" i="10" s="1"/>
  <c r="S184" i="10"/>
  <c r="T184" i="10" s="1"/>
  <c r="S220" i="10"/>
  <c r="T220" i="10" s="1"/>
  <c r="S328" i="10"/>
  <c r="T328" i="10" s="1"/>
  <c r="S340" i="10"/>
  <c r="T340" i="10" s="1"/>
  <c r="S369" i="10"/>
  <c r="T369" i="10" s="1"/>
  <c r="S497" i="10"/>
  <c r="T497" i="10" s="1"/>
  <c r="S585" i="10"/>
  <c r="T585" i="10" s="1"/>
  <c r="S744" i="10"/>
  <c r="T744" i="10" s="1"/>
  <c r="S768" i="10"/>
  <c r="T768" i="10" s="1"/>
  <c r="S790" i="10"/>
  <c r="T790" i="10" s="1"/>
  <c r="S797" i="10"/>
  <c r="T797" i="10" s="1"/>
  <c r="S822" i="10"/>
  <c r="T822" i="10" s="1"/>
  <c r="S862" i="10"/>
  <c r="T862" i="10" s="1"/>
  <c r="S903" i="10"/>
  <c r="T903" i="10" s="1"/>
  <c r="S1064" i="10"/>
  <c r="S1127" i="10"/>
  <c r="T1127" i="10" s="1"/>
  <c r="S1249" i="10"/>
  <c r="T1249" i="10" s="1"/>
  <c r="S1321" i="10"/>
  <c r="T1321" i="10" s="1"/>
  <c r="S1333" i="10"/>
  <c r="T1333" i="10" s="1"/>
  <c r="S1399" i="10"/>
  <c r="T1399" i="10" s="1"/>
  <c r="S152" i="10"/>
  <c r="T152" i="10" s="1"/>
  <c r="S157" i="10"/>
  <c r="T157" i="10" s="1"/>
  <c r="S162" i="10"/>
  <c r="T162" i="10" s="1"/>
  <c r="S165" i="10"/>
  <c r="T165" i="10" s="1"/>
  <c r="S177" i="10"/>
  <c r="T177" i="10" s="1"/>
  <c r="S221" i="10"/>
  <c r="T221" i="10" s="1"/>
  <c r="S223" i="10"/>
  <c r="T223" i="10" s="1"/>
  <c r="S265" i="10"/>
  <c r="T265" i="10" s="1"/>
  <c r="S267" i="10"/>
  <c r="T267" i="10" s="1"/>
  <c r="S277" i="10"/>
  <c r="T277" i="10" s="1"/>
  <c r="S309" i="10"/>
  <c r="T309" i="10" s="1"/>
  <c r="S311" i="10"/>
  <c r="T311" i="10" s="1"/>
  <c r="S321" i="10"/>
  <c r="T321" i="10" s="1"/>
  <c r="S323" i="10"/>
  <c r="T323" i="10" s="1"/>
  <c r="S147" i="10"/>
  <c r="T147" i="10" s="1"/>
  <c r="S186" i="10"/>
  <c r="T186" i="10" s="1"/>
  <c r="S189" i="10"/>
  <c r="T189" i="10" s="1"/>
  <c r="S191" i="10"/>
  <c r="T191" i="10" s="1"/>
  <c r="S230" i="10"/>
  <c r="T230" i="10" s="1"/>
  <c r="S233" i="10"/>
  <c r="T233" i="10" s="1"/>
  <c r="S252" i="10"/>
  <c r="T252" i="10" s="1"/>
  <c r="S330" i="10"/>
  <c r="T330" i="10" s="1"/>
  <c r="S384" i="10"/>
  <c r="T384" i="10" s="1"/>
  <c r="S850" i="10"/>
  <c r="T850" i="10" s="1"/>
  <c r="S201" i="10"/>
  <c r="T201" i="10" s="1"/>
  <c r="S242" i="10"/>
  <c r="T242" i="10" s="1"/>
  <c r="S245" i="10"/>
  <c r="T245" i="10" s="1"/>
  <c r="S247" i="10"/>
  <c r="T247" i="10" s="1"/>
  <c r="S276" i="10"/>
  <c r="T276" i="10" s="1"/>
  <c r="S286" i="10"/>
  <c r="T286" i="10" s="1"/>
  <c r="S289" i="10"/>
  <c r="T289" i="10" s="1"/>
  <c r="S308" i="10"/>
  <c r="T308" i="10" s="1"/>
  <c r="S345" i="10"/>
  <c r="T345" i="10" s="1"/>
  <c r="S362" i="10"/>
  <c r="T362" i="10" s="1"/>
  <c r="S379" i="10"/>
  <c r="T379" i="10" s="1"/>
  <c r="S382" i="10"/>
  <c r="T382" i="10" s="1"/>
  <c r="S522" i="10"/>
  <c r="T522" i="10" s="1"/>
  <c r="S621" i="10"/>
  <c r="T621" i="10" s="1"/>
  <c r="S149" i="10"/>
  <c r="T149" i="10" s="1"/>
  <c r="S154" i="10"/>
  <c r="T154" i="10" s="1"/>
  <c r="S171" i="10"/>
  <c r="T171" i="10" s="1"/>
  <c r="S232" i="10"/>
  <c r="T232" i="10" s="1"/>
  <c r="S254" i="10"/>
  <c r="T254" i="10" s="1"/>
  <c r="S257" i="10"/>
  <c r="T257" i="10" s="1"/>
  <c r="S298" i="10"/>
  <c r="T298" i="10" s="1"/>
  <c r="S301" i="10"/>
  <c r="T301" i="10" s="1"/>
  <c r="S303" i="10"/>
  <c r="T303" i="10" s="1"/>
  <c r="S337" i="10"/>
  <c r="T337" i="10" s="1"/>
  <c r="S349" i="10"/>
  <c r="T349" i="10" s="1"/>
  <c r="S354" i="10"/>
  <c r="T354" i="10" s="1"/>
  <c r="S946" i="10"/>
  <c r="T946" i="10" s="1"/>
  <c r="S161" i="10"/>
  <c r="T161" i="10" s="1"/>
  <c r="S166" i="10"/>
  <c r="T166" i="10" s="1"/>
  <c r="S169" i="10"/>
  <c r="T169" i="10" s="1"/>
  <c r="S178" i="10"/>
  <c r="T178" i="10" s="1"/>
  <c r="S181" i="10"/>
  <c r="T181" i="10" s="1"/>
  <c r="S200" i="10"/>
  <c r="T200" i="10" s="1"/>
  <c r="S210" i="10"/>
  <c r="T210" i="10" s="1"/>
  <c r="S213" i="10"/>
  <c r="T213" i="10" s="1"/>
  <c r="S222" i="10"/>
  <c r="T222" i="10" s="1"/>
  <c r="S225" i="10"/>
  <c r="T225" i="10" s="1"/>
  <c r="S389" i="10"/>
  <c r="T389" i="10" s="1"/>
  <c r="S405" i="10"/>
  <c r="T405" i="10" s="1"/>
  <c r="S413" i="10"/>
  <c r="T413" i="10" s="1"/>
  <c r="S437" i="10"/>
  <c r="T437" i="10" s="1"/>
  <c r="S445" i="10"/>
  <c r="T445" i="10" s="1"/>
  <c r="S453" i="10"/>
  <c r="T453" i="10" s="1"/>
  <c r="S461" i="10"/>
  <c r="T461" i="10" s="1"/>
  <c r="S485" i="10"/>
  <c r="T485" i="10" s="1"/>
  <c r="S493" i="10"/>
  <c r="T493" i="10" s="1"/>
  <c r="S501" i="10"/>
  <c r="T501" i="10" s="1"/>
  <c r="S509" i="10"/>
  <c r="T509" i="10" s="1"/>
  <c r="T145" i="10"/>
  <c r="S151" i="10"/>
  <c r="T151" i="10" s="1"/>
  <c r="S156" i="10"/>
  <c r="T156" i="10" s="1"/>
  <c r="S195" i="10"/>
  <c r="T195" i="10" s="1"/>
  <c r="S234" i="10"/>
  <c r="T234" i="10" s="1"/>
  <c r="S237" i="10"/>
  <c r="T237" i="10" s="1"/>
  <c r="S278" i="10"/>
  <c r="T278" i="10" s="1"/>
  <c r="S281" i="10"/>
  <c r="T281" i="10" s="1"/>
  <c r="S300" i="10"/>
  <c r="T300" i="10" s="1"/>
  <c r="S342" i="10"/>
  <c r="T342" i="10" s="1"/>
  <c r="S371" i="10"/>
  <c r="T371" i="10" s="1"/>
  <c r="S837" i="10"/>
  <c r="T837" i="10" s="1"/>
  <c r="T1432" i="10"/>
  <c r="S180" i="10"/>
  <c r="T180" i="10" s="1"/>
  <c r="S190" i="10"/>
  <c r="T190" i="10" s="1"/>
  <c r="S193" i="10"/>
  <c r="T193" i="10" s="1"/>
  <c r="S207" i="10"/>
  <c r="T207" i="10" s="1"/>
  <c r="S212" i="10"/>
  <c r="T212" i="10" s="1"/>
  <c r="S239" i="10"/>
  <c r="T239" i="10" s="1"/>
  <c r="S246" i="10"/>
  <c r="T246" i="10" s="1"/>
  <c r="S249" i="10"/>
  <c r="T249" i="10" s="1"/>
  <c r="S268" i="10"/>
  <c r="T268" i="10" s="1"/>
  <c r="S290" i="10"/>
  <c r="T290" i="10" s="1"/>
  <c r="S293" i="10"/>
  <c r="T293" i="10" s="1"/>
  <c r="S295" i="10"/>
  <c r="T295" i="10" s="1"/>
  <c r="S324" i="10"/>
  <c r="T324" i="10" s="1"/>
  <c r="S346" i="10"/>
  <c r="T346" i="10" s="1"/>
  <c r="S374" i="10"/>
  <c r="T374" i="10" s="1"/>
  <c r="S383" i="10"/>
  <c r="T383" i="10" s="1"/>
  <c r="S386" i="10"/>
  <c r="T386" i="10" s="1"/>
  <c r="S428" i="10"/>
  <c r="T428" i="10" s="1"/>
  <c r="S476" i="10"/>
  <c r="T476" i="10" s="1"/>
  <c r="S526" i="10"/>
  <c r="T526" i="10" s="1"/>
  <c r="S550" i="10"/>
  <c r="T550" i="10" s="1"/>
  <c r="S673" i="10"/>
  <c r="T673" i="10" s="1"/>
  <c r="S719" i="10"/>
  <c r="T719" i="10" s="1"/>
  <c r="S1003" i="10"/>
  <c r="T1003" i="10" s="1"/>
  <c r="S153" i="10"/>
  <c r="T153" i="10" s="1"/>
  <c r="S158" i="10"/>
  <c r="T158" i="10" s="1"/>
  <c r="S175" i="10"/>
  <c r="T175" i="10" s="1"/>
  <c r="S202" i="10"/>
  <c r="T202" i="10" s="1"/>
  <c r="S205" i="10"/>
  <c r="T205" i="10" s="1"/>
  <c r="S251" i="10"/>
  <c r="T251" i="10" s="1"/>
  <c r="S280" i="10"/>
  <c r="T280" i="10" s="1"/>
  <c r="S302" i="10"/>
  <c r="T302" i="10" s="1"/>
  <c r="S305" i="10"/>
  <c r="T305" i="10" s="1"/>
  <c r="S334" i="10"/>
  <c r="T334" i="10" s="1"/>
  <c r="S363" i="10"/>
  <c r="T363" i="10" s="1"/>
  <c r="S521" i="10"/>
  <c r="T521" i="10" s="1"/>
  <c r="S878" i="10"/>
  <c r="T878" i="10" s="1"/>
  <c r="S170" i="10"/>
  <c r="T170" i="10" s="1"/>
  <c r="S187" i="10"/>
  <c r="T187" i="10" s="1"/>
  <c r="S192" i="10"/>
  <c r="T192" i="10" s="1"/>
  <c r="S214" i="10"/>
  <c r="T214" i="10" s="1"/>
  <c r="S219" i="10"/>
  <c r="T219" i="10" s="1"/>
  <c r="S226" i="10"/>
  <c r="T226" i="10" s="1"/>
  <c r="S248" i="10"/>
  <c r="T248" i="10" s="1"/>
  <c r="S258" i="10"/>
  <c r="T258" i="10" s="1"/>
  <c r="S263" i="10"/>
  <c r="T263" i="10" s="1"/>
  <c r="S270" i="10"/>
  <c r="T270" i="10" s="1"/>
  <c r="S314" i="10"/>
  <c r="T314" i="10" s="1"/>
  <c r="S319" i="10"/>
  <c r="T319" i="10" s="1"/>
  <c r="S336" i="10"/>
  <c r="T336" i="10" s="1"/>
  <c r="S361" i="10"/>
  <c r="T361" i="10" s="1"/>
  <c r="S385" i="10"/>
  <c r="T385" i="10" s="1"/>
  <c r="S143" i="10"/>
  <c r="T143" i="10" s="1"/>
  <c r="S182" i="10"/>
  <c r="T182" i="10" s="1"/>
  <c r="S185" i="10"/>
  <c r="T185" i="10" s="1"/>
  <c r="S199" i="10"/>
  <c r="T199" i="10" s="1"/>
  <c r="S204" i="10"/>
  <c r="T204" i="10" s="1"/>
  <c r="S282" i="10"/>
  <c r="T282" i="10" s="1"/>
  <c r="S285" i="10"/>
  <c r="T285" i="10" s="1"/>
  <c r="S326" i="10"/>
  <c r="T326" i="10" s="1"/>
  <c r="S329" i="10"/>
  <c r="T329" i="10" s="1"/>
  <c r="S343" i="10"/>
  <c r="T343" i="10" s="1"/>
  <c r="S360" i="10"/>
  <c r="T360" i="10" s="1"/>
  <c r="S365" i="10"/>
  <c r="T365" i="10" s="1"/>
  <c r="S629" i="10"/>
  <c r="T629" i="10" s="1"/>
  <c r="S829" i="10"/>
  <c r="T829" i="10" s="1"/>
  <c r="S858" i="10"/>
  <c r="T858" i="10" s="1"/>
  <c r="S138" i="10"/>
  <c r="T138" i="10" s="1"/>
  <c r="S150" i="10"/>
  <c r="T150" i="10" s="1"/>
  <c r="S172" i="10"/>
  <c r="T172" i="10" s="1"/>
  <c r="S194" i="10"/>
  <c r="T194" i="10" s="1"/>
  <c r="S197" i="10"/>
  <c r="T197" i="10" s="1"/>
  <c r="S228" i="10"/>
  <c r="T228" i="10" s="1"/>
  <c r="S238" i="10"/>
  <c r="T238" i="10" s="1"/>
  <c r="S241" i="10"/>
  <c r="T241" i="10" s="1"/>
  <c r="S260" i="10"/>
  <c r="T260" i="10" s="1"/>
  <c r="S287" i="10"/>
  <c r="T287" i="10" s="1"/>
  <c r="S294" i="10"/>
  <c r="T294" i="10" s="1"/>
  <c r="S297" i="10"/>
  <c r="T297" i="10" s="1"/>
  <c r="S316" i="10"/>
  <c r="T316" i="10" s="1"/>
  <c r="S338" i="10"/>
  <c r="T338" i="10" s="1"/>
  <c r="S350" i="10"/>
  <c r="T350" i="10" s="1"/>
  <c r="S358" i="10"/>
  <c r="T358" i="10" s="1"/>
  <c r="S378" i="10"/>
  <c r="T378" i="10" s="1"/>
  <c r="S387" i="10"/>
  <c r="T387" i="10" s="1"/>
  <c r="S395" i="10"/>
  <c r="T395" i="10" s="1"/>
  <c r="S409" i="10"/>
  <c r="T409" i="10" s="1"/>
  <c r="S411" i="10"/>
  <c r="T411" i="10" s="1"/>
  <c r="S419" i="10"/>
  <c r="T419" i="10" s="1"/>
  <c r="S435" i="10"/>
  <c r="T435" i="10" s="1"/>
  <c r="S443" i="10"/>
  <c r="T443" i="10" s="1"/>
  <c r="S457" i="10"/>
  <c r="T457" i="10" s="1"/>
  <c r="S459" i="10"/>
  <c r="T459" i="10" s="1"/>
  <c r="S467" i="10"/>
  <c r="T467" i="10" s="1"/>
  <c r="S483" i="10"/>
  <c r="T483" i="10" s="1"/>
  <c r="S491" i="10"/>
  <c r="T491" i="10" s="1"/>
  <c r="S505" i="10"/>
  <c r="T505" i="10" s="1"/>
  <c r="S507" i="10"/>
  <c r="T507" i="10" s="1"/>
  <c r="S515" i="10"/>
  <c r="T515" i="10" s="1"/>
  <c r="S530" i="10"/>
  <c r="T530" i="10" s="1"/>
  <c r="S542" i="10"/>
  <c r="T542" i="10" s="1"/>
  <c r="S665" i="10"/>
  <c r="T665" i="10" s="1"/>
  <c r="S906" i="10"/>
  <c r="T906" i="10" s="1"/>
  <c r="S545" i="10"/>
  <c r="T545" i="10" s="1"/>
  <c r="S552" i="10"/>
  <c r="T552" i="10" s="1"/>
  <c r="S567" i="10"/>
  <c r="T567" i="10" s="1"/>
  <c r="S573" i="10"/>
  <c r="T573" i="10" s="1"/>
  <c r="S587" i="10"/>
  <c r="T587" i="10" s="1"/>
  <c r="S654" i="10"/>
  <c r="T654" i="10" s="1"/>
  <c r="S667" i="10"/>
  <c r="T667" i="10" s="1"/>
  <c r="S704" i="10"/>
  <c r="T704" i="10" s="1"/>
  <c r="S706" i="10"/>
  <c r="T706" i="10" s="1"/>
  <c r="S727" i="10"/>
  <c r="T727" i="10" s="1"/>
  <c r="S742" i="10"/>
  <c r="T742" i="10" s="1"/>
  <c r="S769" i="10"/>
  <c r="T769" i="10" s="1"/>
  <c r="S785" i="10"/>
  <c r="T785" i="10" s="1"/>
  <c r="S787" i="10"/>
  <c r="T787" i="10" s="1"/>
  <c r="S875" i="10"/>
  <c r="T875" i="10" s="1"/>
  <c r="S923" i="10"/>
  <c r="T923" i="10" s="1"/>
  <c r="S953" i="10"/>
  <c r="T953" i="10" s="1"/>
  <c r="S975" i="10"/>
  <c r="T975" i="10" s="1"/>
  <c r="S985" i="10"/>
  <c r="T985" i="10" s="1"/>
  <c r="S990" i="10"/>
  <c r="T990" i="10" s="1"/>
  <c r="S1015" i="10"/>
  <c r="T1015" i="10" s="1"/>
  <c r="S1047" i="10"/>
  <c r="T1047" i="10" s="1"/>
  <c r="S1079" i="10"/>
  <c r="T1079" i="10" s="1"/>
  <c r="S1089" i="10"/>
  <c r="T1089" i="10" s="1"/>
  <c r="S1116" i="10"/>
  <c r="T1116" i="10" s="1"/>
  <c r="S1159" i="10"/>
  <c r="T1159" i="10" s="1"/>
  <c r="S1180" i="10"/>
  <c r="T1180" i="10" s="1"/>
  <c r="S1185" i="10"/>
  <c r="T1185" i="10" s="1"/>
  <c r="S1212" i="10"/>
  <c r="T1212" i="10" s="1"/>
  <c r="S1223" i="10"/>
  <c r="T1223" i="10" s="1"/>
  <c r="S1264" i="10"/>
  <c r="T1264" i="10" s="1"/>
  <c r="S1269" i="10"/>
  <c r="T1269" i="10" s="1"/>
  <c r="S1296" i="10"/>
  <c r="T1296" i="10" s="1"/>
  <c r="S1307" i="10"/>
  <c r="T1307" i="10" s="1"/>
  <c r="S1348" i="10"/>
  <c r="T1348" i="10" s="1"/>
  <c r="S1353" i="10"/>
  <c r="T1353" i="10" s="1"/>
  <c r="S1373" i="10"/>
  <c r="T1373" i="10" s="1"/>
  <c r="S1381" i="10"/>
  <c r="T1381" i="10" s="1"/>
  <c r="S1389" i="10"/>
  <c r="T1389" i="10" s="1"/>
  <c r="S1397" i="10"/>
  <c r="T1397" i="10" s="1"/>
  <c r="S1405" i="10"/>
  <c r="T1405" i="10" s="1"/>
  <c r="S1413" i="10"/>
  <c r="T1413" i="10" s="1"/>
  <c r="S1421" i="10"/>
  <c r="T1421" i="10" s="1"/>
  <c r="S1429" i="10"/>
  <c r="T1429" i="10" s="1"/>
  <c r="S580" i="10"/>
  <c r="T580" i="10" s="1"/>
  <c r="S696" i="10"/>
  <c r="T696" i="10" s="1"/>
  <c r="T845" i="10"/>
  <c r="S893" i="10"/>
  <c r="T893" i="10" s="1"/>
  <c r="S941" i="10"/>
  <c r="T941" i="10" s="1"/>
  <c r="S951" i="10"/>
  <c r="T951" i="10" s="1"/>
  <c r="S963" i="10"/>
  <c r="T963" i="10" s="1"/>
  <c r="S983" i="10"/>
  <c r="T983" i="10" s="1"/>
  <c r="S1038" i="10"/>
  <c r="T1038" i="10" s="1"/>
  <c r="S1070" i="10"/>
  <c r="T1070" i="10" s="1"/>
  <c r="S1171" i="10"/>
  <c r="T1171" i="10" s="1"/>
  <c r="S1203" i="10"/>
  <c r="T1203" i="10" s="1"/>
  <c r="S1255" i="10"/>
  <c r="T1255" i="10" s="1"/>
  <c r="S1287" i="10"/>
  <c r="T1287" i="10" s="1"/>
  <c r="S1339" i="10"/>
  <c r="T1339" i="10" s="1"/>
  <c r="S1370" i="10"/>
  <c r="T1370" i="10" s="1"/>
  <c r="S1378" i="10"/>
  <c r="T1378" i="10" s="1"/>
  <c r="S1386" i="10"/>
  <c r="T1386" i="10" s="1"/>
  <c r="S1426" i="10"/>
  <c r="T1426" i="10" s="1"/>
  <c r="S1434" i="10"/>
  <c r="T1434" i="10" s="1"/>
  <c r="S537" i="10"/>
  <c r="T537" i="10" s="1"/>
  <c r="S544" i="10"/>
  <c r="T544" i="10" s="1"/>
  <c r="S559" i="10"/>
  <c r="T559" i="10" s="1"/>
  <c r="S589" i="10"/>
  <c r="T589" i="10" s="1"/>
  <c r="S592" i="10"/>
  <c r="T592" i="10" s="1"/>
  <c r="S607" i="10"/>
  <c r="T607" i="10" s="1"/>
  <c r="S608" i="10"/>
  <c r="T608" i="10" s="1"/>
  <c r="S638" i="10"/>
  <c r="T638" i="10" s="1"/>
  <c r="S651" i="10"/>
  <c r="T651" i="10" s="1"/>
  <c r="S688" i="10"/>
  <c r="T688" i="10" s="1"/>
  <c r="S690" i="10"/>
  <c r="T690" i="10" s="1"/>
  <c r="S726" i="10"/>
  <c r="T726" i="10" s="1"/>
  <c r="S761" i="10"/>
  <c r="T761" i="10" s="1"/>
  <c r="S784" i="10"/>
  <c r="T784" i="10" s="1"/>
  <c r="S865" i="10"/>
  <c r="T865" i="10" s="1"/>
  <c r="S867" i="10"/>
  <c r="T867" i="10" s="1"/>
  <c r="S872" i="10"/>
  <c r="T872" i="10" s="1"/>
  <c r="S913" i="10"/>
  <c r="T913" i="10" s="1"/>
  <c r="S915" i="10"/>
  <c r="T915" i="10" s="1"/>
  <c r="S920" i="10"/>
  <c r="T920" i="10" s="1"/>
  <c r="S955" i="10"/>
  <c r="T955" i="10" s="1"/>
  <c r="S987" i="10"/>
  <c r="T987" i="10" s="1"/>
  <c r="S1002" i="10"/>
  <c r="T1002" i="10" s="1"/>
  <c r="S1017" i="10"/>
  <c r="T1017" i="10" s="1"/>
  <c r="S1018" i="10"/>
  <c r="T1018" i="10" s="1"/>
  <c r="S1049" i="10"/>
  <c r="T1049" i="10" s="1"/>
  <c r="S1050" i="10"/>
  <c r="T1050" i="10" s="1"/>
  <c r="S1081" i="10"/>
  <c r="T1081" i="10" s="1"/>
  <c r="S1082" i="10"/>
  <c r="T1082" i="10" s="1"/>
  <c r="S1113" i="10"/>
  <c r="T1113" i="10" s="1"/>
  <c r="S1138" i="10"/>
  <c r="T1138" i="10" s="1"/>
  <c r="S1139" i="10"/>
  <c r="T1139" i="10" s="1"/>
  <c r="S1160" i="10"/>
  <c r="T1160" i="10" s="1"/>
  <c r="S1165" i="10"/>
  <c r="T1165" i="10" s="1"/>
  <c r="S1182" i="10"/>
  <c r="T1182" i="10" s="1"/>
  <c r="S1183" i="10"/>
  <c r="T1183" i="10" s="1"/>
  <c r="S1224" i="10"/>
  <c r="T1224" i="10" s="1"/>
  <c r="S1229" i="10"/>
  <c r="T1229" i="10" s="1"/>
  <c r="S1234" i="10"/>
  <c r="T1234" i="10" s="1"/>
  <c r="S1235" i="10"/>
  <c r="T1235" i="10" s="1"/>
  <c r="S1267" i="10"/>
  <c r="T1267" i="10" s="1"/>
  <c r="S1281" i="10"/>
  <c r="T1281" i="10" s="1"/>
  <c r="S1308" i="10"/>
  <c r="T1308" i="10" s="1"/>
  <c r="S1313" i="10"/>
  <c r="T1313" i="10" s="1"/>
  <c r="S1319" i="10"/>
  <c r="T1319" i="10" s="1"/>
  <c r="S1351" i="10"/>
  <c r="T1351" i="10" s="1"/>
  <c r="S1360" i="10"/>
  <c r="T1360" i="10" s="1"/>
  <c r="S1365" i="10"/>
  <c r="T1365" i="10" s="1"/>
  <c r="S531" i="10"/>
  <c r="T531" i="10" s="1"/>
  <c r="S564" i="10"/>
  <c r="T564" i="10" s="1"/>
  <c r="S594" i="10"/>
  <c r="T594" i="10" s="1"/>
  <c r="S630" i="10"/>
  <c r="T630" i="10" s="1"/>
  <c r="S643" i="10"/>
  <c r="T643" i="10" s="1"/>
  <c r="S680" i="10"/>
  <c r="T680" i="10" s="1"/>
  <c r="S682" i="10"/>
  <c r="T682" i="10" s="1"/>
  <c r="S771" i="10"/>
  <c r="T771" i="10" s="1"/>
  <c r="S776" i="10"/>
  <c r="T776" i="10" s="1"/>
  <c r="S857" i="10"/>
  <c r="T857" i="10" s="1"/>
  <c r="S859" i="10"/>
  <c r="T859" i="10" s="1"/>
  <c r="S887" i="10"/>
  <c r="T887" i="10" s="1"/>
  <c r="S935" i="10"/>
  <c r="T935" i="10" s="1"/>
  <c r="S950" i="10"/>
  <c r="T950" i="10" s="1"/>
  <c r="S982" i="10"/>
  <c r="T982" i="10" s="1"/>
  <c r="S1007" i="10"/>
  <c r="T1007" i="10" s="1"/>
  <c r="S1039" i="10"/>
  <c r="T1039" i="10" s="1"/>
  <c r="S1071" i="10"/>
  <c r="T1071" i="10" s="1"/>
  <c r="S1103" i="10"/>
  <c r="T1103" i="10" s="1"/>
  <c r="S1111" i="10"/>
  <c r="T1111" i="10" s="1"/>
  <c r="S1150" i="10"/>
  <c r="T1150" i="10" s="1"/>
  <c r="S1151" i="10"/>
  <c r="T1151" i="10" s="1"/>
  <c r="S1172" i="10"/>
  <c r="T1172" i="10" s="1"/>
  <c r="S1177" i="10"/>
  <c r="T1177" i="10" s="1"/>
  <c r="S1204" i="10"/>
  <c r="T1204" i="10" s="1"/>
  <c r="S1215" i="10"/>
  <c r="T1215" i="10" s="1"/>
  <c r="S1246" i="10"/>
  <c r="T1246" i="10" s="1"/>
  <c r="S1247" i="10"/>
  <c r="T1247" i="10" s="1"/>
  <c r="S1256" i="10"/>
  <c r="T1256" i="10" s="1"/>
  <c r="S1288" i="10"/>
  <c r="T1288" i="10" s="1"/>
  <c r="S1293" i="10"/>
  <c r="T1293" i="10" s="1"/>
  <c r="S1299" i="10"/>
  <c r="T1299" i="10" s="1"/>
  <c r="S1340" i="10"/>
  <c r="T1340" i="10" s="1"/>
  <c r="S1345" i="10"/>
  <c r="T1345" i="10" s="1"/>
  <c r="S1350" i="10"/>
  <c r="T1350" i="10" s="1"/>
  <c r="S529" i="10"/>
  <c r="T529" i="10" s="1"/>
  <c r="S536" i="10"/>
  <c r="T536" i="10" s="1"/>
  <c r="S551" i="10"/>
  <c r="T551" i="10" s="1"/>
  <c r="S622" i="10"/>
  <c r="T622" i="10" s="1"/>
  <c r="S635" i="10"/>
  <c r="T635" i="10" s="1"/>
  <c r="S672" i="10"/>
  <c r="T672" i="10" s="1"/>
  <c r="S674" i="10"/>
  <c r="T674" i="10" s="1"/>
  <c r="S774" i="10"/>
  <c r="T774" i="10" s="1"/>
  <c r="S849" i="10"/>
  <c r="T849" i="10" s="1"/>
  <c r="S851" i="10"/>
  <c r="T851" i="10" s="1"/>
  <c r="T898" i="10"/>
  <c r="S905" i="10"/>
  <c r="T905" i="10" s="1"/>
  <c r="S907" i="10"/>
  <c r="T907" i="10" s="1"/>
  <c r="S912" i="10"/>
  <c r="T912" i="10" s="1"/>
  <c r="S957" i="10"/>
  <c r="T957" i="10" s="1"/>
  <c r="S1019" i="10"/>
  <c r="T1019" i="10" s="1"/>
  <c r="S1024" i="10"/>
  <c r="T1024" i="10" s="1"/>
  <c r="S1029" i="10"/>
  <c r="T1029" i="10" s="1"/>
  <c r="S1030" i="10"/>
  <c r="T1030" i="10" s="1"/>
  <c r="S1051" i="10"/>
  <c r="T1051" i="10" s="1"/>
  <c r="S1056" i="10"/>
  <c r="T1056" i="10" s="1"/>
  <c r="S1061" i="10"/>
  <c r="T1061" i="10" s="1"/>
  <c r="S1062" i="10"/>
  <c r="T1062" i="10" s="1"/>
  <c r="S1083" i="10"/>
  <c r="T1083" i="10" s="1"/>
  <c r="S1088" i="10"/>
  <c r="T1088" i="10" s="1"/>
  <c r="S1094" i="10"/>
  <c r="T1094" i="10" s="1"/>
  <c r="S1101" i="10"/>
  <c r="T1101" i="10" s="1"/>
  <c r="S1131" i="10"/>
  <c r="T1131" i="10" s="1"/>
  <c r="S1140" i="10"/>
  <c r="T1140" i="10" s="1"/>
  <c r="S1145" i="10"/>
  <c r="T1145" i="10" s="1"/>
  <c r="S1163" i="10"/>
  <c r="T1163" i="10" s="1"/>
  <c r="S1184" i="10"/>
  <c r="T1184" i="10" s="1"/>
  <c r="S1195" i="10"/>
  <c r="T1195" i="10" s="1"/>
  <c r="S1226" i="10"/>
  <c r="T1226" i="10" s="1"/>
  <c r="S1227" i="10"/>
  <c r="T1227" i="10" s="1"/>
  <c r="S1236" i="10"/>
  <c r="T1236" i="10" s="1"/>
  <c r="S1241" i="10"/>
  <c r="T1241" i="10" s="1"/>
  <c r="S1268" i="10"/>
  <c r="T1268" i="10" s="1"/>
  <c r="S1273" i="10"/>
  <c r="T1273" i="10" s="1"/>
  <c r="S1278" i="10"/>
  <c r="T1278" i="10" s="1"/>
  <c r="S1279" i="10"/>
  <c r="T1279" i="10" s="1"/>
  <c r="S1320" i="10"/>
  <c r="T1320" i="10" s="1"/>
  <c r="S1325" i="10"/>
  <c r="T1325" i="10" s="1"/>
  <c r="S1330" i="10"/>
  <c r="T1330" i="10" s="1"/>
  <c r="S1331" i="10"/>
  <c r="T1331" i="10" s="1"/>
  <c r="S1343" i="10"/>
  <c r="T1343" i="10" s="1"/>
  <c r="S523" i="10"/>
  <c r="T523" i="10" s="1"/>
  <c r="S556" i="10"/>
  <c r="T556" i="10" s="1"/>
  <c r="S571" i="10"/>
  <c r="T571" i="10" s="1"/>
  <c r="S581" i="10"/>
  <c r="T581" i="10" s="1"/>
  <c r="S584" i="10"/>
  <c r="T584" i="10" s="1"/>
  <c r="S612" i="10"/>
  <c r="T612" i="10" s="1"/>
  <c r="S620" i="10"/>
  <c r="T620" i="10" s="1"/>
  <c r="S627" i="10"/>
  <c r="T627" i="10" s="1"/>
  <c r="S664" i="10"/>
  <c r="T664" i="10" s="1"/>
  <c r="S666" i="10"/>
  <c r="T666" i="10" s="1"/>
  <c r="S710" i="10"/>
  <c r="T710" i="10" s="1"/>
  <c r="S718" i="10"/>
  <c r="T718" i="10" s="1"/>
  <c r="S841" i="10"/>
  <c r="T841" i="10" s="1"/>
  <c r="S843" i="10"/>
  <c r="T843" i="10" s="1"/>
  <c r="S877" i="10"/>
  <c r="T877" i="10" s="1"/>
  <c r="S879" i="10"/>
  <c r="T879" i="10" s="1"/>
  <c r="S884" i="10"/>
  <c r="T884" i="10" s="1"/>
  <c r="S925" i="10"/>
  <c r="T925" i="10" s="1"/>
  <c r="S927" i="10"/>
  <c r="T927" i="10" s="1"/>
  <c r="S932" i="10"/>
  <c r="T932" i="10" s="1"/>
  <c r="S964" i="10"/>
  <c r="T964" i="10" s="1"/>
  <c r="S999" i="10"/>
  <c r="T999" i="10" s="1"/>
  <c r="S1009" i="10"/>
  <c r="T1009" i="10" s="1"/>
  <c r="S1010" i="10"/>
  <c r="T1010" i="10" s="1"/>
  <c r="S1041" i="10"/>
  <c r="T1041" i="10" s="1"/>
  <c r="S1042" i="10"/>
  <c r="T1042" i="10" s="1"/>
  <c r="S1073" i="10"/>
  <c r="T1073" i="10" s="1"/>
  <c r="S1074" i="10"/>
  <c r="T1074" i="10" s="1"/>
  <c r="S1093" i="10"/>
  <c r="T1093" i="10" s="1"/>
  <c r="S1152" i="10"/>
  <c r="T1152" i="10" s="1"/>
  <c r="S1157" i="10"/>
  <c r="T1157" i="10" s="1"/>
  <c r="T1205" i="10"/>
  <c r="S1216" i="10"/>
  <c r="T1216" i="10" s="1"/>
  <c r="S1221" i="10"/>
  <c r="T1221" i="10" s="1"/>
  <c r="S1248" i="10"/>
  <c r="T1248" i="10" s="1"/>
  <c r="S1259" i="10"/>
  <c r="T1259" i="10" s="1"/>
  <c r="S1300" i="10"/>
  <c r="T1300" i="10" s="1"/>
  <c r="S1305" i="10"/>
  <c r="T1305" i="10" s="1"/>
  <c r="S1311" i="10"/>
  <c r="T1311" i="10" s="1"/>
  <c r="S1342" i="10"/>
  <c r="T1342" i="10" s="1"/>
  <c r="S1352" i="10"/>
  <c r="T1352" i="10" s="1"/>
  <c r="S1357" i="10"/>
  <c r="T1357" i="10" s="1"/>
  <c r="S528" i="10"/>
  <c r="T528" i="10" s="1"/>
  <c r="S543" i="10"/>
  <c r="T543" i="10" s="1"/>
  <c r="S569" i="10"/>
  <c r="T569" i="10" s="1"/>
  <c r="S619" i="10"/>
  <c r="T619" i="10" s="1"/>
  <c r="S656" i="10"/>
  <c r="T656" i="10" s="1"/>
  <c r="S658" i="10"/>
  <c r="T658" i="10" s="1"/>
  <c r="S702" i="10"/>
  <c r="T702" i="10" s="1"/>
  <c r="S745" i="10"/>
  <c r="T745" i="10" s="1"/>
  <c r="S766" i="10"/>
  <c r="T766" i="10" s="1"/>
  <c r="S833" i="10"/>
  <c r="T833" i="10" s="1"/>
  <c r="S835" i="10"/>
  <c r="T835" i="10" s="1"/>
  <c r="S899" i="10"/>
  <c r="T899" i="10" s="1"/>
  <c r="S947" i="10"/>
  <c r="T947" i="10" s="1"/>
  <c r="S959" i="10"/>
  <c r="T959" i="10" s="1"/>
  <c r="S1004" i="10"/>
  <c r="T1004" i="10" s="1"/>
  <c r="S1031" i="10"/>
  <c r="T1031" i="10" s="1"/>
  <c r="S1063" i="10"/>
  <c r="T1063" i="10" s="1"/>
  <c r="S1095" i="10"/>
  <c r="T1095" i="10" s="1"/>
  <c r="S1122" i="10"/>
  <c r="T1122" i="10" s="1"/>
  <c r="S1123" i="10"/>
  <c r="T1123" i="10" s="1"/>
  <c r="S1132" i="10"/>
  <c r="T1132" i="10" s="1"/>
  <c r="S1143" i="10"/>
  <c r="T1143" i="10" s="1"/>
  <c r="S1164" i="10"/>
  <c r="T1164" i="10" s="1"/>
  <c r="S1175" i="10"/>
  <c r="T1175" i="10" s="1"/>
  <c r="S1196" i="10"/>
  <c r="T1196" i="10" s="1"/>
  <c r="S1206" i="10"/>
  <c r="T1206" i="10" s="1"/>
  <c r="S1207" i="10"/>
  <c r="T1207" i="10" s="1"/>
  <c r="S1228" i="10"/>
  <c r="T1228" i="10" s="1"/>
  <c r="S1239" i="10"/>
  <c r="T1239" i="10" s="1"/>
  <c r="S1253" i="10"/>
  <c r="T1253" i="10" s="1"/>
  <c r="S1280" i="10"/>
  <c r="T1280" i="10" s="1"/>
  <c r="S1285" i="10"/>
  <c r="T1285" i="10" s="1"/>
  <c r="S1291" i="10"/>
  <c r="T1291" i="10" s="1"/>
  <c r="S1322" i="10"/>
  <c r="T1322" i="10" s="1"/>
  <c r="S1323" i="10"/>
  <c r="T1323" i="10" s="1"/>
  <c r="S1332" i="10"/>
  <c r="T1332" i="10" s="1"/>
  <c r="S1337" i="10"/>
  <c r="T1337" i="10" s="1"/>
  <c r="S1364" i="10"/>
  <c r="T1364" i="10" s="1"/>
  <c r="S1369" i="10"/>
  <c r="T1369" i="10" s="1"/>
  <c r="S1377" i="10"/>
  <c r="T1377" i="10" s="1"/>
  <c r="S1385" i="10"/>
  <c r="T1385" i="10" s="1"/>
  <c r="S1393" i="10"/>
  <c r="T1393" i="10" s="1"/>
  <c r="S1401" i="10"/>
  <c r="T1401" i="10" s="1"/>
  <c r="S1409" i="10"/>
  <c r="T1409" i="10" s="1"/>
  <c r="S1417" i="10"/>
  <c r="T1417" i="10" s="1"/>
  <c r="S1423" i="10"/>
  <c r="T1423" i="10" s="1"/>
  <c r="S1425" i="10"/>
  <c r="T1425" i="10" s="1"/>
  <c r="S1431" i="10"/>
  <c r="T1431" i="10" s="1"/>
  <c r="S1433" i="10"/>
  <c r="T1433" i="10" s="1"/>
  <c r="S548" i="10"/>
  <c r="T548" i="10" s="1"/>
  <c r="S563" i="10"/>
  <c r="T563" i="10" s="1"/>
  <c r="S606" i="10"/>
  <c r="T606" i="10" s="1"/>
  <c r="S611" i="10"/>
  <c r="T611" i="10" s="1"/>
  <c r="S650" i="10"/>
  <c r="T650" i="10" s="1"/>
  <c r="S694" i="10"/>
  <c r="T694" i="10" s="1"/>
  <c r="S707" i="10"/>
  <c r="T707" i="10" s="1"/>
  <c r="S715" i="10"/>
  <c r="T715" i="10" s="1"/>
  <c r="S755" i="10"/>
  <c r="T755" i="10" s="1"/>
  <c r="S760" i="10"/>
  <c r="T760" i="10" s="1"/>
  <c r="S825" i="10"/>
  <c r="T825" i="10" s="1"/>
  <c r="S827" i="10"/>
  <c r="T827" i="10" s="1"/>
  <c r="S871" i="10"/>
  <c r="T871" i="10" s="1"/>
  <c r="S919" i="10"/>
  <c r="T919" i="10" s="1"/>
  <c r="S976" i="10"/>
  <c r="T976" i="10" s="1"/>
  <c r="S1011" i="10"/>
  <c r="T1011" i="10" s="1"/>
  <c r="S1016" i="10"/>
  <c r="T1016" i="10" s="1"/>
  <c r="S1021" i="10"/>
  <c r="T1021" i="10" s="1"/>
  <c r="S1043" i="10"/>
  <c r="T1043" i="10" s="1"/>
  <c r="S1048" i="10"/>
  <c r="T1048" i="10" s="1"/>
  <c r="S1053" i="10"/>
  <c r="T1053" i="10" s="1"/>
  <c r="S1075" i="10"/>
  <c r="T1075" i="10" s="1"/>
  <c r="S1080" i="10"/>
  <c r="T1080" i="10" s="1"/>
  <c r="S1085" i="10"/>
  <c r="T1085" i="10" s="1"/>
  <c r="S1137" i="10"/>
  <c r="T1137" i="10" s="1"/>
  <c r="S1181" i="10"/>
  <c r="T1181" i="10" s="1"/>
  <c r="S1233" i="10"/>
  <c r="T1233" i="10" s="1"/>
  <c r="S1260" i="10"/>
  <c r="T1260" i="10" s="1"/>
  <c r="S1312" i="10"/>
  <c r="T1312" i="10" s="1"/>
  <c r="S1317" i="10"/>
  <c r="T1317" i="10" s="1"/>
  <c r="S1344" i="10"/>
  <c r="T1344" i="10" s="1"/>
  <c r="S535" i="10"/>
  <c r="T535" i="10" s="1"/>
  <c r="S561" i="10"/>
  <c r="T561" i="10" s="1"/>
  <c r="S568" i="10"/>
  <c r="T568" i="10" s="1"/>
  <c r="S596" i="10"/>
  <c r="T596" i="10" s="1"/>
  <c r="S598" i="10"/>
  <c r="T598" i="10" s="1"/>
  <c r="S640" i="10"/>
  <c r="T640" i="10" s="1"/>
  <c r="S642" i="10"/>
  <c r="T642" i="10" s="1"/>
  <c r="S686" i="10"/>
  <c r="T686" i="10" s="1"/>
  <c r="S699" i="10"/>
  <c r="T699" i="10" s="1"/>
  <c r="S717" i="10"/>
  <c r="T717" i="10" s="1"/>
  <c r="S737" i="10"/>
  <c r="T737" i="10" s="1"/>
  <c r="S758" i="10"/>
  <c r="T758" i="10" s="1"/>
  <c r="S817" i="10"/>
  <c r="T817" i="10" s="1"/>
  <c r="S819" i="10"/>
  <c r="T819" i="10" s="1"/>
  <c r="S891" i="10"/>
  <c r="T891" i="10" s="1"/>
  <c r="S939" i="10"/>
  <c r="T939" i="10" s="1"/>
  <c r="S961" i="10"/>
  <c r="T961" i="10" s="1"/>
  <c r="S962" i="10"/>
  <c r="T962" i="10" s="1"/>
  <c r="S971" i="10"/>
  <c r="T971" i="10" s="1"/>
  <c r="S1033" i="10"/>
  <c r="T1033" i="10" s="1"/>
  <c r="S1034" i="10"/>
  <c r="T1034" i="10" s="1"/>
  <c r="S1065" i="10"/>
  <c r="T1065" i="10" s="1"/>
  <c r="S1066" i="10"/>
  <c r="T1066" i="10" s="1"/>
  <c r="S1098" i="10"/>
  <c r="T1098" i="10" s="1"/>
  <c r="S1107" i="10"/>
  <c r="T1107" i="10" s="1"/>
  <c r="S1124" i="10"/>
  <c r="T1124" i="10" s="1"/>
  <c r="S1144" i="10"/>
  <c r="T1144" i="10" s="1"/>
  <c r="S1155" i="10"/>
  <c r="T1155" i="10" s="1"/>
  <c r="S1176" i="10"/>
  <c r="T1176" i="10" s="1"/>
  <c r="S1198" i="10"/>
  <c r="T1198" i="10" s="1"/>
  <c r="S1199" i="10"/>
  <c r="T1199" i="10" s="1"/>
  <c r="S1208" i="10"/>
  <c r="T1208" i="10" s="1"/>
  <c r="S1240" i="10"/>
  <c r="T1240" i="10" s="1"/>
  <c r="S1292" i="10"/>
  <c r="T1292" i="10" s="1"/>
  <c r="S1297" i="10"/>
  <c r="T1297" i="10" s="1"/>
  <c r="S1302" i="10"/>
  <c r="T1302" i="10" s="1"/>
  <c r="S1303" i="10"/>
  <c r="T1303" i="10" s="1"/>
  <c r="S1324" i="10"/>
  <c r="T1324" i="10" s="1"/>
  <c r="S1335" i="10"/>
  <c r="T1335" i="10" s="1"/>
  <c r="S1349" i="10"/>
  <c r="T1349" i="10" s="1"/>
  <c r="S1367" i="10"/>
  <c r="T1367" i="10" s="1"/>
  <c r="S540" i="10"/>
  <c r="T540" i="10" s="1"/>
  <c r="S555" i="10"/>
  <c r="T555" i="10" s="1"/>
  <c r="S575" i="10"/>
  <c r="T575" i="10" s="1"/>
  <c r="S590" i="10"/>
  <c r="T590" i="10" s="1"/>
  <c r="S632" i="10"/>
  <c r="T632" i="10" s="1"/>
  <c r="S634" i="10"/>
  <c r="T634" i="10" s="1"/>
  <c r="S678" i="10"/>
  <c r="T678" i="10" s="1"/>
  <c r="S691" i="10"/>
  <c r="T691" i="10" s="1"/>
  <c r="S747" i="10"/>
  <c r="T747" i="10" s="1"/>
  <c r="S752" i="10"/>
  <c r="T752" i="10" s="1"/>
  <c r="S809" i="10"/>
  <c r="T809" i="10" s="1"/>
  <c r="S811" i="10"/>
  <c r="T811" i="10" s="1"/>
  <c r="S911" i="10"/>
  <c r="T911" i="10" s="1"/>
  <c r="S954" i="10"/>
  <c r="T954" i="10" s="1"/>
  <c r="S956" i="10"/>
  <c r="T956" i="10" s="1"/>
  <c r="S974" i="10"/>
  <c r="T974" i="10" s="1"/>
  <c r="S994" i="10"/>
  <c r="T994" i="10" s="1"/>
  <c r="S1023" i="10"/>
  <c r="T1023" i="10" s="1"/>
  <c r="S1055" i="10"/>
  <c r="T1055" i="10" s="1"/>
  <c r="S1087" i="10"/>
  <c r="T1087" i="10" s="1"/>
  <c r="S1097" i="10"/>
  <c r="T1097" i="10" s="1"/>
  <c r="S1119" i="10"/>
  <c r="T1119" i="10" s="1"/>
  <c r="S1129" i="10"/>
  <c r="T1129" i="10" s="1"/>
  <c r="S1167" i="10"/>
  <c r="T1167" i="10" s="1"/>
  <c r="S1188" i="10"/>
  <c r="T1188" i="10" s="1"/>
  <c r="S1193" i="10"/>
  <c r="T1193" i="10" s="1"/>
  <c r="S1220" i="10"/>
  <c r="T1220" i="10" s="1"/>
  <c r="S1225" i="10"/>
  <c r="T1225" i="10" s="1"/>
  <c r="S1230" i="10"/>
  <c r="T1230" i="10" s="1"/>
  <c r="S1231" i="10"/>
  <c r="T1231" i="10" s="1"/>
  <c r="S1272" i="10"/>
  <c r="T1272" i="10" s="1"/>
  <c r="S1277" i="10"/>
  <c r="T1277" i="10" s="1"/>
  <c r="S1282" i="10"/>
  <c r="T1282" i="10" s="1"/>
  <c r="S1283" i="10"/>
  <c r="T1283" i="10" s="1"/>
  <c r="S1315" i="10"/>
  <c r="T1315" i="10" s="1"/>
  <c r="S1329" i="10"/>
  <c r="T1329" i="10" s="1"/>
  <c r="S1347" i="10"/>
  <c r="T1347" i="10" s="1"/>
  <c r="S1356" i="10"/>
  <c r="T1356" i="10" s="1"/>
  <c r="S1361" i="10"/>
  <c r="T1361" i="10" s="1"/>
  <c r="S527" i="10"/>
  <c r="T527" i="10" s="1"/>
  <c r="S553" i="10"/>
  <c r="T553" i="10" s="1"/>
  <c r="S560" i="10"/>
  <c r="T560" i="10" s="1"/>
  <c r="S595" i="10"/>
  <c r="T595" i="10" s="1"/>
  <c r="S624" i="10"/>
  <c r="T624" i="10" s="1"/>
  <c r="S626" i="10"/>
  <c r="T626" i="10" s="1"/>
  <c r="S670" i="10"/>
  <c r="T670" i="10" s="1"/>
  <c r="S683" i="10"/>
  <c r="T683" i="10" s="1"/>
  <c r="S730" i="10"/>
  <c r="T730" i="10" s="1"/>
  <c r="S750" i="10"/>
  <c r="T750" i="10" s="1"/>
  <c r="S777" i="10"/>
  <c r="T777" i="10" s="1"/>
  <c r="S801" i="10"/>
  <c r="T801" i="10" s="1"/>
  <c r="S803" i="10"/>
  <c r="T803" i="10" s="1"/>
  <c r="T874" i="10"/>
  <c r="S881" i="10"/>
  <c r="T881" i="10" s="1"/>
  <c r="S883" i="10"/>
  <c r="T883" i="10" s="1"/>
  <c r="S888" i="10"/>
  <c r="T888" i="10" s="1"/>
  <c r="T922" i="10"/>
  <c r="S929" i="10"/>
  <c r="T929" i="10" s="1"/>
  <c r="S931" i="10"/>
  <c r="T931" i="10" s="1"/>
  <c r="S936" i="10"/>
  <c r="T936" i="10" s="1"/>
  <c r="S973" i="10"/>
  <c r="T973" i="10" s="1"/>
  <c r="S988" i="10"/>
  <c r="T988" i="10" s="1"/>
  <c r="S991" i="10"/>
  <c r="T991" i="10" s="1"/>
  <c r="S1008" i="10"/>
  <c r="T1008" i="10" s="1"/>
  <c r="S1013" i="10"/>
  <c r="T1013" i="10" s="1"/>
  <c r="S1014" i="10"/>
  <c r="T1014" i="10" s="1"/>
  <c r="S1035" i="10"/>
  <c r="T1035" i="10" s="1"/>
  <c r="S1040" i="10"/>
  <c r="T1040" i="10" s="1"/>
  <c r="S1045" i="10"/>
  <c r="T1045" i="10" s="1"/>
  <c r="S1046" i="10"/>
  <c r="T1046" i="10" s="1"/>
  <c r="S1067" i="10"/>
  <c r="T1067" i="10" s="1"/>
  <c r="S1072" i="10"/>
  <c r="T1072" i="10" s="1"/>
  <c r="S1077" i="10"/>
  <c r="T1077" i="10" s="1"/>
  <c r="S1078" i="10"/>
  <c r="T1078" i="10" s="1"/>
  <c r="S1099" i="10"/>
  <c r="T1099" i="10" s="1"/>
  <c r="S1156" i="10"/>
  <c r="T1156" i="10" s="1"/>
  <c r="S1178" i="10"/>
  <c r="T1178" i="10" s="1"/>
  <c r="S1179" i="10"/>
  <c r="T1179" i="10" s="1"/>
  <c r="S1200" i="10"/>
  <c r="T1200" i="10" s="1"/>
  <c r="S1211" i="10"/>
  <c r="T1211" i="10" s="1"/>
  <c r="S1252" i="10"/>
  <c r="T1252" i="10" s="1"/>
  <c r="S1263" i="10"/>
  <c r="T1263" i="10" s="1"/>
  <c r="S1294" i="10"/>
  <c r="T1294" i="10" s="1"/>
  <c r="S1295" i="10"/>
  <c r="T1295" i="10" s="1"/>
  <c r="S1304" i="10"/>
  <c r="T1304" i="10" s="1"/>
  <c r="S1309" i="10"/>
  <c r="T1309" i="10" s="1"/>
  <c r="S1336" i="10"/>
  <c r="T1336" i="10" s="1"/>
  <c r="S1341" i="10"/>
  <c r="T1341" i="10" s="1"/>
  <c r="S19" i="10"/>
  <c r="T19" i="10" s="1"/>
  <c r="S31" i="10"/>
  <c r="T31" i="10" s="1"/>
  <c r="S35" i="10"/>
  <c r="T35" i="10" s="1"/>
  <c r="S15" i="10"/>
  <c r="T15" i="10" s="1"/>
  <c r="S43" i="10"/>
  <c r="T43" i="10" s="1"/>
  <c r="S39" i="10"/>
  <c r="T39" i="10" s="1"/>
  <c r="S11" i="10"/>
  <c r="T11" i="10" s="1"/>
  <c r="S55" i="10"/>
  <c r="T55" i="10" s="1"/>
  <c r="S51" i="10"/>
  <c r="T51" i="10" s="1"/>
  <c r="S27" i="10"/>
  <c r="T27" i="10" s="1"/>
  <c r="S47" i="10"/>
  <c r="T47" i="10" s="1"/>
  <c r="S7" i="10"/>
  <c r="T7" i="10" s="1"/>
  <c r="S23" i="10"/>
  <c r="T23" i="10" s="1"/>
  <c r="S59" i="10"/>
  <c r="T59" i="10" s="1"/>
  <c r="S141" i="10"/>
  <c r="T141" i="10" s="1"/>
  <c r="S131" i="10"/>
  <c r="T131" i="10" s="1"/>
  <c r="S136" i="10"/>
  <c r="T136" i="10" s="1"/>
  <c r="S146" i="10"/>
  <c r="T146" i="10" s="1"/>
  <c r="G1437" i="10"/>
  <c r="S130" i="10"/>
  <c r="T130" i="10" s="1"/>
  <c r="S132" i="10"/>
  <c r="T132" i="10" s="1"/>
  <c r="S137" i="10"/>
  <c r="T137" i="10" s="1"/>
  <c r="S142" i="10"/>
  <c r="T142" i="10" s="1"/>
  <c r="S139" i="10"/>
  <c r="T139" i="10" s="1"/>
  <c r="S144" i="10"/>
  <c r="T144" i="10" s="1"/>
  <c r="S134" i="10"/>
  <c r="T134" i="10" s="1"/>
  <c r="Q61" i="10"/>
  <c r="Q1437" i="10" s="1"/>
  <c r="Q1438" i="10" s="1"/>
  <c r="S167" i="10"/>
  <c r="T167" i="10" s="1"/>
  <c r="S215" i="10"/>
  <c r="T215" i="10" s="1"/>
  <c r="S243" i="10"/>
  <c r="T243" i="10" s="1"/>
  <c r="S291" i="10"/>
  <c r="T291" i="10" s="1"/>
  <c r="S429" i="10"/>
  <c r="T429" i="10" s="1"/>
  <c r="S431" i="10"/>
  <c r="T431" i="10" s="1"/>
  <c r="S477" i="10"/>
  <c r="T477" i="10" s="1"/>
  <c r="S479" i="10"/>
  <c r="T479" i="10" s="1"/>
  <c r="S588" i="10"/>
  <c r="T588" i="10" s="1"/>
  <c r="M61" i="10"/>
  <c r="M1437" i="10" s="1"/>
  <c r="M1438" i="10" s="1"/>
  <c r="S235" i="10"/>
  <c r="T235" i="10" s="1"/>
  <c r="S283" i="10"/>
  <c r="T283" i="10" s="1"/>
  <c r="S344" i="10"/>
  <c r="T344" i="10" s="1"/>
  <c r="S227" i="10"/>
  <c r="T227" i="10" s="1"/>
  <c r="S275" i="10"/>
  <c r="T275" i="10" s="1"/>
  <c r="S341" i="10"/>
  <c r="T341" i="10" s="1"/>
  <c r="S380" i="10"/>
  <c r="T380" i="10" s="1"/>
  <c r="R61" i="10"/>
  <c r="S3" i="10"/>
  <c r="S176" i="10"/>
  <c r="T176" i="10" s="1"/>
  <c r="S224" i="10"/>
  <c r="T224" i="10" s="1"/>
  <c r="S272" i="10"/>
  <c r="T272" i="10" s="1"/>
  <c r="S320" i="10"/>
  <c r="T320" i="10" s="1"/>
  <c r="S148" i="10"/>
  <c r="T148" i="10" s="1"/>
  <c r="S196" i="10"/>
  <c r="T196" i="10" s="1"/>
  <c r="S244" i="10"/>
  <c r="T244" i="10" s="1"/>
  <c r="S292" i="10"/>
  <c r="T292" i="10" s="1"/>
  <c r="S163" i="10"/>
  <c r="T163" i="10" s="1"/>
  <c r="S168" i="10"/>
  <c r="T168" i="10" s="1"/>
  <c r="S211" i="10"/>
  <c r="T211" i="10" s="1"/>
  <c r="S216" i="10"/>
  <c r="T216" i="10" s="1"/>
  <c r="S264" i="10"/>
  <c r="T264" i="10" s="1"/>
  <c r="S312" i="10"/>
  <c r="T312" i="10" s="1"/>
  <c r="I61" i="10"/>
  <c r="I1437" i="10" s="1"/>
  <c r="I1438" i="10" s="1"/>
  <c r="S135" i="10"/>
  <c r="T135" i="10" s="1"/>
  <c r="S140" i="10"/>
  <c r="T140" i="10" s="1"/>
  <c r="S183" i="10"/>
  <c r="T183" i="10" s="1"/>
  <c r="S188" i="10"/>
  <c r="T188" i="10" s="1"/>
  <c r="S236" i="10"/>
  <c r="T236" i="10" s="1"/>
  <c r="T255" i="10"/>
  <c r="S259" i="10"/>
  <c r="T259" i="10" s="1"/>
  <c r="S284" i="10"/>
  <c r="T284" i="10" s="1"/>
  <c r="S307" i="10"/>
  <c r="T307" i="10" s="1"/>
  <c r="O1437" i="10"/>
  <c r="O1438" i="10" s="1"/>
  <c r="K61" i="10"/>
  <c r="K1437" i="10" s="1"/>
  <c r="K1438" i="10" s="1"/>
  <c r="S155" i="10"/>
  <c r="T155" i="10" s="1"/>
  <c r="S160" i="10"/>
  <c r="T160" i="10" s="1"/>
  <c r="T174" i="10"/>
  <c r="S203" i="10"/>
  <c r="T203" i="10" s="1"/>
  <c r="S208" i="10"/>
  <c r="T208" i="10" s="1"/>
  <c r="S231" i="10"/>
  <c r="T231" i="10" s="1"/>
  <c r="S256" i="10"/>
  <c r="T256" i="10" s="1"/>
  <c r="S279" i="10"/>
  <c r="T279" i="10" s="1"/>
  <c r="S304" i="10"/>
  <c r="T304" i="10" s="1"/>
  <c r="S327" i="10"/>
  <c r="T327" i="10" s="1"/>
  <c r="S352" i="10"/>
  <c r="T352" i="10" s="1"/>
  <c r="S355" i="10"/>
  <c r="T355" i="10" s="1"/>
  <c r="T373" i="10"/>
  <c r="S400" i="10"/>
  <c r="T400" i="10" s="1"/>
  <c r="S403" i="10"/>
  <c r="T403" i="10" s="1"/>
  <c r="T421" i="10"/>
  <c r="S448" i="10"/>
  <c r="T448" i="10" s="1"/>
  <c r="S451" i="10"/>
  <c r="T451" i="10" s="1"/>
  <c r="S496" i="10"/>
  <c r="T496" i="10" s="1"/>
  <c r="S499" i="10"/>
  <c r="T499" i="10" s="1"/>
  <c r="S525" i="10"/>
  <c r="T525" i="10" s="1"/>
  <c r="S533" i="10"/>
  <c r="T533" i="10" s="1"/>
  <c r="S541" i="10"/>
  <c r="T541" i="10" s="1"/>
  <c r="S549" i="10"/>
  <c r="T549" i="10" s="1"/>
  <c r="S557" i="10"/>
  <c r="T557" i="10" s="1"/>
  <c r="S565" i="10"/>
  <c r="T565" i="10" s="1"/>
  <c r="S388" i="10"/>
  <c r="T388" i="10" s="1"/>
  <c r="S391" i="10"/>
  <c r="T391" i="10" s="1"/>
  <c r="S436" i="10"/>
  <c r="T436" i="10" s="1"/>
  <c r="S439" i="10"/>
  <c r="T439" i="10" s="1"/>
  <c r="S484" i="10"/>
  <c r="T484" i="10" s="1"/>
  <c r="S487" i="10"/>
  <c r="T487" i="10" s="1"/>
  <c r="S610" i="10"/>
  <c r="T610" i="10" s="1"/>
  <c r="S368" i="10"/>
  <c r="T368" i="10" s="1"/>
  <c r="S416" i="10"/>
  <c r="T416" i="10" s="1"/>
  <c r="S464" i="10"/>
  <c r="T464" i="10" s="1"/>
  <c r="S512" i="10"/>
  <c r="T512" i="10" s="1"/>
  <c r="S339" i="10"/>
  <c r="T339" i="10" s="1"/>
  <c r="S348" i="10"/>
  <c r="T348" i="10" s="1"/>
  <c r="S351" i="10"/>
  <c r="T351" i="10" s="1"/>
  <c r="S396" i="10"/>
  <c r="T396" i="10" s="1"/>
  <c r="S399" i="10"/>
  <c r="T399" i="10" s="1"/>
  <c r="S444" i="10"/>
  <c r="T444" i="10" s="1"/>
  <c r="S447" i="10"/>
  <c r="T447" i="10" s="1"/>
  <c r="S492" i="10"/>
  <c r="T492" i="10" s="1"/>
  <c r="S495" i="10"/>
  <c r="T495" i="10" s="1"/>
  <c r="T513" i="10"/>
  <c r="S376" i="10"/>
  <c r="T376" i="10" s="1"/>
  <c r="T397" i="10"/>
  <c r="S424" i="10"/>
  <c r="T424" i="10" s="1"/>
  <c r="S472" i="10"/>
  <c r="T472" i="10" s="1"/>
  <c r="S520" i="10"/>
  <c r="T520" i="10" s="1"/>
  <c r="S356" i="10"/>
  <c r="T356" i="10" s="1"/>
  <c r="S359" i="10"/>
  <c r="T359" i="10" s="1"/>
  <c r="T377" i="10"/>
  <c r="S404" i="10"/>
  <c r="T404" i="10" s="1"/>
  <c r="S407" i="10"/>
  <c r="T407" i="10" s="1"/>
  <c r="S452" i="10"/>
  <c r="T452" i="10" s="1"/>
  <c r="S455" i="10"/>
  <c r="T455" i="10" s="1"/>
  <c r="S500" i="10"/>
  <c r="T500" i="10" s="1"/>
  <c r="S503" i="10"/>
  <c r="T503" i="10" s="1"/>
  <c r="S335" i="10"/>
  <c r="T335" i="10" s="1"/>
  <c r="S432" i="10"/>
  <c r="T432" i="10" s="1"/>
  <c r="S480" i="10"/>
  <c r="T480" i="10" s="1"/>
  <c r="S364" i="10"/>
  <c r="T364" i="10" s="1"/>
  <c r="S367" i="10"/>
  <c r="T367" i="10" s="1"/>
  <c r="S412" i="10"/>
  <c r="T412" i="10" s="1"/>
  <c r="S415" i="10"/>
  <c r="T415" i="10" s="1"/>
  <c r="T433" i="10"/>
  <c r="S460" i="10"/>
  <c r="T460" i="10" s="1"/>
  <c r="S463" i="10"/>
  <c r="T463" i="10" s="1"/>
  <c r="S508" i="10"/>
  <c r="T508" i="10" s="1"/>
  <c r="S511" i="10"/>
  <c r="T511" i="10" s="1"/>
  <c r="S576" i="10"/>
  <c r="T576" i="10" s="1"/>
  <c r="S347" i="10"/>
  <c r="T347" i="10" s="1"/>
  <c r="S392" i="10"/>
  <c r="T392" i="10" s="1"/>
  <c r="S440" i="10"/>
  <c r="T440" i="10" s="1"/>
  <c r="S488" i="10"/>
  <c r="T488" i="10" s="1"/>
  <c r="S331" i="10"/>
  <c r="T331" i="10" s="1"/>
  <c r="S372" i="10"/>
  <c r="T372" i="10" s="1"/>
  <c r="S375" i="10"/>
  <c r="T375" i="10" s="1"/>
  <c r="T393" i="10"/>
  <c r="S420" i="10"/>
  <c r="T420" i="10" s="1"/>
  <c r="S423" i="10"/>
  <c r="T423" i="10" s="1"/>
  <c r="T441" i="10"/>
  <c r="S468" i="10"/>
  <c r="T468" i="10" s="1"/>
  <c r="S471" i="10"/>
  <c r="T471" i="10" s="1"/>
  <c r="S516" i="10"/>
  <c r="T516" i="10" s="1"/>
  <c r="S519" i="10"/>
  <c r="T519" i="10" s="1"/>
  <c r="S578" i="10"/>
  <c r="T578" i="10" s="1"/>
  <c r="S615" i="10"/>
  <c r="T615" i="10" s="1"/>
  <c r="S623" i="10"/>
  <c r="T623" i="10" s="1"/>
  <c r="S631" i="10"/>
  <c r="T631" i="10" s="1"/>
  <c r="S639" i="10"/>
  <c r="T639" i="10" s="1"/>
  <c r="S647" i="10"/>
  <c r="T647" i="10" s="1"/>
  <c r="S655" i="10"/>
  <c r="T655" i="10" s="1"/>
  <c r="S663" i="10"/>
  <c r="T663" i="10" s="1"/>
  <c r="S671" i="10"/>
  <c r="T671" i="10" s="1"/>
  <c r="S679" i="10"/>
  <c r="T679" i="10" s="1"/>
  <c r="S687" i="10"/>
  <c r="T687" i="10" s="1"/>
  <c r="S695" i="10"/>
  <c r="T695" i="10" s="1"/>
  <c r="S703" i="10"/>
  <c r="T703" i="10" s="1"/>
  <c r="S711" i="10"/>
  <c r="T711" i="10" s="1"/>
  <c r="S729" i="10"/>
  <c r="T729" i="10" s="1"/>
  <c r="S574" i="10"/>
  <c r="T574" i="10" s="1"/>
  <c r="S583" i="10"/>
  <c r="T583" i="10" s="1"/>
  <c r="S603" i="10"/>
  <c r="T603" i="10" s="1"/>
  <c r="S586" i="10"/>
  <c r="T586" i="10" s="1"/>
  <c r="S614" i="10"/>
  <c r="T614" i="10" s="1"/>
  <c r="S628" i="10"/>
  <c r="T628" i="10" s="1"/>
  <c r="S636" i="10"/>
  <c r="T636" i="10" s="1"/>
  <c r="S644" i="10"/>
  <c r="T644" i="10" s="1"/>
  <c r="S652" i="10"/>
  <c r="T652" i="10" s="1"/>
  <c r="S660" i="10"/>
  <c r="T660" i="10" s="1"/>
  <c r="S668" i="10"/>
  <c r="T668" i="10" s="1"/>
  <c r="S676" i="10"/>
  <c r="T676" i="10" s="1"/>
  <c r="S684" i="10"/>
  <c r="T684" i="10" s="1"/>
  <c r="S692" i="10"/>
  <c r="T692" i="10" s="1"/>
  <c r="S700" i="10"/>
  <c r="T700" i="10" s="1"/>
  <c r="S708" i="10"/>
  <c r="T708" i="10" s="1"/>
  <c r="S721" i="10"/>
  <c r="T721" i="10" s="1"/>
  <c r="S591" i="10"/>
  <c r="T591" i="10" s="1"/>
  <c r="S579" i="10"/>
  <c r="T579" i="10" s="1"/>
  <c r="S582" i="10"/>
  <c r="T582" i="10" s="1"/>
  <c r="S599" i="10"/>
  <c r="T599" i="10" s="1"/>
  <c r="S602" i="10"/>
  <c r="T602" i="10" s="1"/>
  <c r="T789" i="10"/>
  <c r="T722" i="10"/>
  <c r="S732" i="10"/>
  <c r="T732" i="10" s="1"/>
  <c r="S740" i="10"/>
  <c r="T740" i="10" s="1"/>
  <c r="S748" i="10"/>
  <c r="T748" i="10" s="1"/>
  <c r="S756" i="10"/>
  <c r="T756" i="10" s="1"/>
  <c r="S764" i="10"/>
  <c r="T764" i="10" s="1"/>
  <c r="S772" i="10"/>
  <c r="T772" i="10" s="1"/>
  <c r="S780" i="10"/>
  <c r="T780" i="10" s="1"/>
  <c r="S788" i="10"/>
  <c r="T788" i="10" s="1"/>
  <c r="S796" i="10"/>
  <c r="T796" i="10" s="1"/>
  <c r="S804" i="10"/>
  <c r="T804" i="10" s="1"/>
  <c r="S812" i="10"/>
  <c r="T812" i="10" s="1"/>
  <c r="S820" i="10"/>
  <c r="T820" i="10" s="1"/>
  <c r="S828" i="10"/>
  <c r="T828" i="10" s="1"/>
  <c r="S836" i="10"/>
  <c r="T836" i="10" s="1"/>
  <c r="S844" i="10"/>
  <c r="T844" i="10" s="1"/>
  <c r="S852" i="10"/>
  <c r="T852" i="10" s="1"/>
  <c r="S860" i="10"/>
  <c r="T860" i="10" s="1"/>
  <c r="S868" i="10"/>
  <c r="T868" i="10" s="1"/>
  <c r="S909" i="10"/>
  <c r="T909" i="10" s="1"/>
  <c r="S916" i="10"/>
  <c r="T916" i="10" s="1"/>
  <c r="S720" i="10"/>
  <c r="T720" i="10" s="1"/>
  <c r="T738" i="10"/>
  <c r="T746" i="10"/>
  <c r="T786" i="10"/>
  <c r="S873" i="10"/>
  <c r="T873" i="10" s="1"/>
  <c r="S880" i="10"/>
  <c r="T880" i="10" s="1"/>
  <c r="S921" i="10"/>
  <c r="T921" i="10" s="1"/>
  <c r="S928" i="10"/>
  <c r="T928" i="10" s="1"/>
  <c r="S792" i="10"/>
  <c r="T792" i="10" s="1"/>
  <c r="S800" i="10"/>
  <c r="T800" i="10" s="1"/>
  <c r="S808" i="10"/>
  <c r="T808" i="10" s="1"/>
  <c r="S816" i="10"/>
  <c r="T816" i="10" s="1"/>
  <c r="S824" i="10"/>
  <c r="T824" i="10" s="1"/>
  <c r="S832" i="10"/>
  <c r="T832" i="10" s="1"/>
  <c r="S840" i="10"/>
  <c r="T840" i="10" s="1"/>
  <c r="S848" i="10"/>
  <c r="T848" i="10" s="1"/>
  <c r="S856" i="10"/>
  <c r="T856" i="10" s="1"/>
  <c r="S864" i="10"/>
  <c r="T864" i="10" s="1"/>
  <c r="S885" i="10"/>
  <c r="T885" i="10" s="1"/>
  <c r="S892" i="10"/>
  <c r="T892" i="10" s="1"/>
  <c r="S933" i="10"/>
  <c r="T933" i="10" s="1"/>
  <c r="S940" i="10"/>
  <c r="T940" i="10" s="1"/>
  <c r="T714" i="10"/>
  <c r="T734" i="10"/>
  <c r="T806" i="10"/>
  <c r="T830" i="10"/>
  <c r="T838" i="10"/>
  <c r="S897" i="10"/>
  <c r="T897" i="10" s="1"/>
  <c r="S904" i="10"/>
  <c r="T904" i="10" s="1"/>
  <c r="S945" i="10"/>
  <c r="T945" i="10" s="1"/>
  <c r="S724" i="10"/>
  <c r="T724" i="10" s="1"/>
  <c r="S869" i="10"/>
  <c r="T869" i="10" s="1"/>
  <c r="S876" i="10"/>
  <c r="T876" i="10" s="1"/>
  <c r="S917" i="10"/>
  <c r="T917" i="10" s="1"/>
  <c r="S924" i="10"/>
  <c r="T924" i="10" s="1"/>
  <c r="T725" i="10"/>
  <c r="S735" i="10"/>
  <c r="T735" i="10" s="1"/>
  <c r="S743" i="10"/>
  <c r="T743" i="10" s="1"/>
  <c r="S751" i="10"/>
  <c r="T751" i="10" s="1"/>
  <c r="S759" i="10"/>
  <c r="T759" i="10" s="1"/>
  <c r="S767" i="10"/>
  <c r="T767" i="10" s="1"/>
  <c r="S775" i="10"/>
  <c r="T775" i="10" s="1"/>
  <c r="S783" i="10"/>
  <c r="T783" i="10" s="1"/>
  <c r="S791" i="10"/>
  <c r="T791" i="10" s="1"/>
  <c r="S799" i="10"/>
  <c r="T799" i="10" s="1"/>
  <c r="S807" i="10"/>
  <c r="T807" i="10" s="1"/>
  <c r="S815" i="10"/>
  <c r="T815" i="10" s="1"/>
  <c r="S823" i="10"/>
  <c r="T823" i="10" s="1"/>
  <c r="S831" i="10"/>
  <c r="T831" i="10" s="1"/>
  <c r="S839" i="10"/>
  <c r="T839" i="10" s="1"/>
  <c r="S847" i="10"/>
  <c r="T847" i="10" s="1"/>
  <c r="S855" i="10"/>
  <c r="T855" i="10" s="1"/>
  <c r="S863" i="10"/>
  <c r="T863" i="10" s="1"/>
  <c r="S889" i="10"/>
  <c r="T889" i="10" s="1"/>
  <c r="S896" i="10"/>
  <c r="T896" i="10" s="1"/>
  <c r="S937" i="10"/>
  <c r="T937" i="10" s="1"/>
  <c r="S944" i="10"/>
  <c r="T944" i="10" s="1"/>
  <c r="S1006" i="10"/>
  <c r="T1006" i="10" s="1"/>
  <c r="S965" i="10"/>
  <c r="T965" i="10" s="1"/>
  <c r="S968" i="10"/>
  <c r="T968" i="10" s="1"/>
  <c r="T1054" i="10"/>
  <c r="S993" i="10"/>
  <c r="T993" i="10" s="1"/>
  <c r="S996" i="10"/>
  <c r="T996" i="10" s="1"/>
  <c r="S1001" i="10"/>
  <c r="T1001" i="10" s="1"/>
  <c r="S981" i="10"/>
  <c r="T981" i="10" s="1"/>
  <c r="S984" i="10"/>
  <c r="T984" i="10" s="1"/>
  <c r="S1012" i="10"/>
  <c r="T1012" i="10" s="1"/>
  <c r="S1020" i="10"/>
  <c r="T1020" i="10" s="1"/>
  <c r="S1028" i="10"/>
  <c r="T1028" i="10" s="1"/>
  <c r="T1032" i="10"/>
  <c r="S1036" i="10"/>
  <c r="T1036" i="10" s="1"/>
  <c r="S1044" i="10"/>
  <c r="T1044" i="10" s="1"/>
  <c r="S1052" i="10"/>
  <c r="T1052" i="10" s="1"/>
  <c r="S1060" i="10"/>
  <c r="T1060" i="10" s="1"/>
  <c r="T1064" i="10"/>
  <c r="S1068" i="10"/>
  <c r="T1068" i="10" s="1"/>
  <c r="S1076" i="10"/>
  <c r="T1076" i="10" s="1"/>
  <c r="S1084" i="10"/>
  <c r="T1084" i="10" s="1"/>
  <c r="S1092" i="10"/>
  <c r="T1092" i="10" s="1"/>
  <c r="S1130" i="10"/>
  <c r="T1130" i="10" s="1"/>
  <c r="S949" i="10"/>
  <c r="T949" i="10" s="1"/>
  <c r="S952" i="10"/>
  <c r="T952" i="10" s="1"/>
  <c r="S989" i="10"/>
  <c r="T989" i="10" s="1"/>
  <c r="S992" i="10"/>
  <c r="T992" i="10" s="1"/>
  <c r="S969" i="10"/>
  <c r="T969" i="10" s="1"/>
  <c r="S972" i="10"/>
  <c r="T972" i="10" s="1"/>
  <c r="S997" i="10"/>
  <c r="T997" i="10" s="1"/>
  <c r="S1000" i="10"/>
  <c r="T1000" i="10" s="1"/>
  <c r="S1186" i="10"/>
  <c r="T1186" i="10" s="1"/>
  <c r="S977" i="10"/>
  <c r="T977" i="10" s="1"/>
  <c r="S980" i="10"/>
  <c r="T980" i="10" s="1"/>
  <c r="S1104" i="10"/>
  <c r="T1104" i="10" s="1"/>
  <c r="S1125" i="10"/>
  <c r="T1125" i="10" s="1"/>
  <c r="S1133" i="10"/>
  <c r="T1133" i="10" s="1"/>
  <c r="S1161" i="10"/>
  <c r="T1161" i="10" s="1"/>
  <c r="S1166" i="10"/>
  <c r="T1166" i="10" s="1"/>
  <c r="S1209" i="10"/>
  <c r="T1209" i="10" s="1"/>
  <c r="S1214" i="10"/>
  <c r="T1214" i="10" s="1"/>
  <c r="S1257" i="10"/>
  <c r="T1257" i="10" s="1"/>
  <c r="S1262" i="10"/>
  <c r="T1262" i="10" s="1"/>
  <c r="S1310" i="10"/>
  <c r="T1310" i="10" s="1"/>
  <c r="S1358" i="10"/>
  <c r="T1358" i="10" s="1"/>
  <c r="S1100" i="10"/>
  <c r="T1100" i="10" s="1"/>
  <c r="S1110" i="10"/>
  <c r="T1110" i="10" s="1"/>
  <c r="S1153" i="10"/>
  <c r="T1153" i="10" s="1"/>
  <c r="S1158" i="10"/>
  <c r="T1158" i="10" s="1"/>
  <c r="S1201" i="10"/>
  <c r="T1201" i="10" s="1"/>
  <c r="S1371" i="10"/>
  <c r="T1371" i="10" s="1"/>
  <c r="S1379" i="10"/>
  <c r="T1379" i="10" s="1"/>
  <c r="S1387" i="10"/>
  <c r="T1387" i="10" s="1"/>
  <c r="S1395" i="10"/>
  <c r="T1395" i="10" s="1"/>
  <c r="S1403" i="10"/>
  <c r="T1403" i="10" s="1"/>
  <c r="S1411" i="10"/>
  <c r="T1411" i="10" s="1"/>
  <c r="S1419" i="10"/>
  <c r="T1419" i="10" s="1"/>
  <c r="S1427" i="10"/>
  <c r="T1427" i="10" s="1"/>
  <c r="S1363" i="10"/>
  <c r="T1363" i="10" s="1"/>
  <c r="S1213" i="10"/>
  <c r="T1213" i="10" s="1"/>
  <c r="S1218" i="10"/>
  <c r="T1218" i="10" s="1"/>
  <c r="S1261" i="10"/>
  <c r="T1261" i="10" s="1"/>
  <c r="S1266" i="10"/>
  <c r="T1266" i="10" s="1"/>
  <c r="S1314" i="10"/>
  <c r="T1314" i="10" s="1"/>
  <c r="S1362" i="10"/>
  <c r="T1362" i="10" s="1"/>
  <c r="S1109" i="10"/>
  <c r="T1109" i="10" s="1"/>
  <c r="S1142" i="10"/>
  <c r="T1142" i="10" s="1"/>
  <c r="S1190" i="10"/>
  <c r="T1190" i="10" s="1"/>
  <c r="S1238" i="10"/>
  <c r="T1238" i="10" s="1"/>
  <c r="S1286" i="10"/>
  <c r="T1286" i="10" s="1"/>
  <c r="S1334" i="10"/>
  <c r="T1334" i="10" s="1"/>
  <c r="S1102" i="10"/>
  <c r="T1102" i="10" s="1"/>
  <c r="S1112" i="10"/>
  <c r="T1112" i="10" s="1"/>
  <c r="S1118" i="10"/>
  <c r="T1118" i="10" s="1"/>
  <c r="S1126" i="10"/>
  <c r="T1126" i="10" s="1"/>
  <c r="S1134" i="10"/>
  <c r="T1134" i="10" s="1"/>
  <c r="S1162" i="10"/>
  <c r="T1162" i="10" s="1"/>
  <c r="T1191" i="10"/>
  <c r="S1210" i="10"/>
  <c r="T1210" i="10" s="1"/>
  <c r="S1258" i="10"/>
  <c r="T1258" i="10" s="1"/>
  <c r="S1306" i="10"/>
  <c r="T1306" i="10" s="1"/>
  <c r="S1354" i="10"/>
  <c r="T1354" i="10" s="1"/>
  <c r="S1149" i="10"/>
  <c r="T1149" i="10" s="1"/>
  <c r="S1154" i="10"/>
  <c r="T1154" i="10" s="1"/>
  <c r="S1197" i="10"/>
  <c r="T1197" i="10" s="1"/>
  <c r="S1202" i="10"/>
  <c r="T1202" i="10" s="1"/>
  <c r="S1245" i="10"/>
  <c r="T1245" i="10" s="1"/>
  <c r="S1250" i="10"/>
  <c r="T1250" i="10" s="1"/>
  <c r="S1298" i="10"/>
  <c r="T1298" i="10" s="1"/>
  <c r="S1346" i="10"/>
  <c r="T1346" i="10" s="1"/>
  <c r="S1374" i="10"/>
  <c r="T1374" i="10" s="1"/>
  <c r="S1382" i="10"/>
  <c r="T1382" i="10" s="1"/>
  <c r="S1390" i="10"/>
  <c r="T1390" i="10" s="1"/>
  <c r="T1394" i="10"/>
  <c r="S1398" i="10"/>
  <c r="T1398" i="10" s="1"/>
  <c r="S1406" i="10"/>
  <c r="T1406" i="10" s="1"/>
  <c r="T1410" i="10"/>
  <c r="S1414" i="10"/>
  <c r="T1414" i="10" s="1"/>
  <c r="S1422" i="10"/>
  <c r="T1422" i="10" s="1"/>
  <c r="S1430" i="10"/>
  <c r="T1430" i="10" s="1"/>
  <c r="S1108" i="10"/>
  <c r="T1108" i="10" s="1"/>
  <c r="S1120" i="10"/>
  <c r="T1120" i="10" s="1"/>
  <c r="S1169" i="10"/>
  <c r="T1169" i="10" s="1"/>
  <c r="S1174" i="10"/>
  <c r="T1174" i="10" s="1"/>
  <c r="S1217" i="10"/>
  <c r="T1217" i="10" s="1"/>
  <c r="S1222" i="10"/>
  <c r="T1222" i="10" s="1"/>
  <c r="S1265" i="10"/>
  <c r="T1265" i="10" s="1"/>
  <c r="S1270" i="10"/>
  <c r="T1270" i="10" s="1"/>
  <c r="S1318" i="10"/>
  <c r="T1318" i="10" s="1"/>
  <c r="S1366" i="10"/>
  <c r="T1366" i="10" s="1"/>
  <c r="T1415" i="10"/>
  <c r="S1114" i="10"/>
  <c r="T1114" i="10" s="1"/>
  <c r="S1117" i="10"/>
  <c r="T1117" i="10" s="1"/>
  <c r="S1141" i="10"/>
  <c r="T1141" i="10" s="1"/>
  <c r="S1146" i="10"/>
  <c r="T1146" i="10" s="1"/>
  <c r="S1189" i="10"/>
  <c r="T1189" i="10" s="1"/>
  <c r="S1194" i="10"/>
  <c r="T1194" i="10" s="1"/>
  <c r="S1237" i="10"/>
  <c r="T1237" i="10" s="1"/>
  <c r="S1242" i="10"/>
  <c r="T1242" i="10" s="1"/>
  <c r="S1290" i="10"/>
  <c r="T1290" i="10" s="1"/>
  <c r="S1338" i="10"/>
  <c r="T1338" i="10" s="1"/>
  <c r="S1359" i="10"/>
  <c r="T1359" i="10" s="1"/>
  <c r="G1438" i="10" l="1"/>
  <c r="S1437" i="10"/>
  <c r="S61" i="10"/>
  <c r="T3" i="10"/>
  <c r="S1438" i="10" l="1"/>
  <c r="T1437" i="10"/>
  <c r="N11" i="3" l="1"/>
  <c r="S11" i="3" s="1"/>
  <c r="N12" i="3"/>
  <c r="N13" i="3"/>
  <c r="N14" i="3"/>
  <c r="N15" i="3"/>
  <c r="N16" i="3"/>
  <c r="N17" i="3"/>
  <c r="N18" i="3"/>
  <c r="N19" i="3"/>
  <c r="N20" i="3"/>
  <c r="N21" i="3"/>
  <c r="N22" i="3"/>
  <c r="N23" i="3"/>
  <c r="N24" i="3"/>
  <c r="N25" i="3"/>
  <c r="N26" i="3"/>
  <c r="N27" i="3"/>
  <c r="N28" i="3"/>
  <c r="N29" i="3"/>
  <c r="N30" i="3"/>
  <c r="N31" i="3"/>
  <c r="N32" i="3"/>
  <c r="N33" i="3"/>
  <c r="N34" i="3"/>
  <c r="N10" i="3"/>
  <c r="H304" i="3" l="1"/>
  <c r="AQ304" i="3"/>
  <c r="H289" i="3"/>
  <c r="AQ289" i="3"/>
  <c r="A1" i="59" l="1"/>
  <c r="B1" i="59"/>
  <c r="T77" i="60" l="1"/>
  <c r="T78" i="60"/>
  <c r="T79" i="60"/>
  <c r="T80" i="60"/>
  <c r="T81" i="60"/>
  <c r="T82" i="60"/>
  <c r="T83" i="60"/>
  <c r="T84" i="60"/>
  <c r="T85" i="60"/>
  <c r="T86" i="60"/>
  <c r="T87" i="60"/>
  <c r="T88" i="60"/>
  <c r="T91" i="60"/>
  <c r="T92" i="60"/>
  <c r="T93" i="60"/>
  <c r="T94" i="60"/>
  <c r="T95" i="60"/>
  <c r="T96" i="60"/>
  <c r="T97" i="60"/>
  <c r="T98" i="60"/>
  <c r="T99" i="60"/>
  <c r="T100" i="60"/>
  <c r="T101" i="60"/>
  <c r="T102" i="60"/>
  <c r="T103" i="60"/>
  <c r="T106" i="60"/>
  <c r="T107" i="60"/>
  <c r="T108" i="60"/>
  <c r="T109" i="60"/>
  <c r="T110" i="60"/>
  <c r="T111" i="60"/>
  <c r="T112" i="60"/>
  <c r="T113" i="60"/>
  <c r="T114" i="60"/>
  <c r="T115" i="60"/>
  <c r="T116" i="60"/>
  <c r="T117" i="60"/>
  <c r="T118" i="60"/>
  <c r="T121" i="60"/>
  <c r="T122" i="60"/>
  <c r="T123" i="60"/>
  <c r="T124" i="60"/>
  <c r="T125" i="60"/>
  <c r="T126" i="60"/>
  <c r="T127" i="60"/>
  <c r="T128" i="60"/>
  <c r="T129" i="60"/>
  <c r="T130" i="60"/>
  <c r="T131" i="60"/>
  <c r="T132" i="60"/>
  <c r="T133" i="60"/>
  <c r="T136" i="60"/>
  <c r="T137" i="60"/>
  <c r="T138" i="60"/>
  <c r="T139" i="60"/>
  <c r="T140" i="60"/>
  <c r="T141" i="60"/>
  <c r="T142" i="60"/>
  <c r="T143" i="60"/>
  <c r="T144" i="60"/>
  <c r="T145" i="60"/>
  <c r="T146" i="60"/>
  <c r="T147" i="60"/>
  <c r="T148" i="60"/>
  <c r="T151" i="60"/>
  <c r="T152" i="60"/>
  <c r="T153" i="60"/>
  <c r="T154" i="60"/>
  <c r="T155" i="60"/>
  <c r="T156" i="60"/>
  <c r="T157" i="60"/>
  <c r="T158" i="60"/>
  <c r="T159" i="60"/>
  <c r="T160" i="60"/>
  <c r="T161" i="60"/>
  <c r="T162" i="60"/>
  <c r="T163" i="60"/>
  <c r="T166" i="60"/>
  <c r="T167" i="60"/>
  <c r="T168" i="60"/>
  <c r="T169" i="60"/>
  <c r="T170" i="60"/>
  <c r="T171" i="60"/>
  <c r="T172" i="60"/>
  <c r="T173" i="60"/>
  <c r="T174" i="60"/>
  <c r="T175" i="60"/>
  <c r="T176" i="60"/>
  <c r="T177" i="60"/>
  <c r="T178" i="60"/>
  <c r="T181" i="60"/>
  <c r="T182" i="60"/>
  <c r="T183" i="60"/>
  <c r="T184" i="60"/>
  <c r="T185" i="60"/>
  <c r="T186" i="60"/>
  <c r="T187" i="60"/>
  <c r="T188" i="60"/>
  <c r="T189" i="60"/>
  <c r="T190" i="60"/>
  <c r="T191" i="60"/>
  <c r="T192" i="60"/>
  <c r="T193" i="60"/>
  <c r="T196" i="60"/>
  <c r="T197" i="60"/>
  <c r="T198" i="60"/>
  <c r="T199" i="60"/>
  <c r="T200" i="60"/>
  <c r="T201" i="60"/>
  <c r="T202" i="60"/>
  <c r="T203" i="60"/>
  <c r="T204" i="60"/>
  <c r="T205" i="60"/>
  <c r="T206" i="60"/>
  <c r="T207" i="60"/>
  <c r="T208" i="60"/>
  <c r="T76" i="60"/>
  <c r="Q77" i="60"/>
  <c r="Q78" i="60"/>
  <c r="Q79" i="60"/>
  <c r="Q80" i="60"/>
  <c r="Q81" i="60"/>
  <c r="Q82" i="60"/>
  <c r="Q83" i="60"/>
  <c r="Q84" i="60"/>
  <c r="Q85" i="60"/>
  <c r="Q86" i="60"/>
  <c r="Q87" i="60"/>
  <c r="Q88" i="60"/>
  <c r="Q91" i="60"/>
  <c r="Q92" i="60"/>
  <c r="Q93" i="60"/>
  <c r="Q94" i="60"/>
  <c r="Q95" i="60"/>
  <c r="Q96" i="60"/>
  <c r="Q97" i="60"/>
  <c r="Q98" i="60"/>
  <c r="Q99" i="60"/>
  <c r="Q100" i="60"/>
  <c r="Q101" i="60"/>
  <c r="Q102" i="60"/>
  <c r="Q103" i="60"/>
  <c r="Q106" i="60"/>
  <c r="Q107" i="60"/>
  <c r="Q108" i="60"/>
  <c r="Q109" i="60"/>
  <c r="Q110" i="60"/>
  <c r="Q111" i="60"/>
  <c r="Q112" i="60"/>
  <c r="Q113" i="60"/>
  <c r="Q114" i="60"/>
  <c r="Q115" i="60"/>
  <c r="Q116" i="60"/>
  <c r="Q117" i="60"/>
  <c r="Q118" i="60"/>
  <c r="Q121" i="60"/>
  <c r="Q122" i="60"/>
  <c r="Q123" i="60"/>
  <c r="Q124" i="60"/>
  <c r="Q125" i="60"/>
  <c r="Q126" i="60"/>
  <c r="Q127" i="60"/>
  <c r="Q128" i="60"/>
  <c r="Q129" i="60"/>
  <c r="Q130" i="60"/>
  <c r="Q131" i="60"/>
  <c r="Q132" i="60"/>
  <c r="Q133" i="60"/>
  <c r="Q136" i="60"/>
  <c r="Q137" i="60"/>
  <c r="Q138" i="60"/>
  <c r="Q139" i="60"/>
  <c r="Q140" i="60"/>
  <c r="Q141" i="60"/>
  <c r="Q142" i="60"/>
  <c r="Q143" i="60"/>
  <c r="Q144" i="60"/>
  <c r="Q145" i="60"/>
  <c r="Q146" i="60"/>
  <c r="Q147" i="60"/>
  <c r="Q148" i="60"/>
  <c r="Q151" i="60"/>
  <c r="Q152" i="60"/>
  <c r="Q153" i="60"/>
  <c r="Q154" i="60"/>
  <c r="Q155" i="60"/>
  <c r="Q156" i="60"/>
  <c r="Q157" i="60"/>
  <c r="Q158" i="60"/>
  <c r="Q159" i="60"/>
  <c r="Q160" i="60"/>
  <c r="Q161" i="60"/>
  <c r="Q162" i="60"/>
  <c r="Q163" i="60"/>
  <c r="Q166" i="60"/>
  <c r="Q167" i="60"/>
  <c r="Q168" i="60"/>
  <c r="Q169" i="60"/>
  <c r="Q170" i="60"/>
  <c r="Q171" i="60"/>
  <c r="Q172" i="60"/>
  <c r="Q173" i="60"/>
  <c r="Q174" i="60"/>
  <c r="Q175" i="60"/>
  <c r="Q176" i="60"/>
  <c r="Q177" i="60"/>
  <c r="Q178" i="60"/>
  <c r="Q181" i="60"/>
  <c r="Q182" i="60"/>
  <c r="Q183" i="60"/>
  <c r="Q184" i="60"/>
  <c r="Q185" i="60"/>
  <c r="Q186" i="60"/>
  <c r="Q187" i="60"/>
  <c r="Q188" i="60"/>
  <c r="Q189" i="60"/>
  <c r="Q190" i="60"/>
  <c r="Q191" i="60"/>
  <c r="Q192" i="60"/>
  <c r="Q193" i="60"/>
  <c r="Q196" i="60"/>
  <c r="Q197" i="60"/>
  <c r="Q198" i="60"/>
  <c r="Q199" i="60"/>
  <c r="Q200" i="60"/>
  <c r="Q201" i="60"/>
  <c r="Q202" i="60"/>
  <c r="Q203" i="60"/>
  <c r="Q204" i="60"/>
  <c r="Q205" i="60"/>
  <c r="Q206" i="60"/>
  <c r="Q207" i="60"/>
  <c r="Q208" i="60"/>
  <c r="Q76" i="60"/>
  <c r="N77" i="60"/>
  <c r="N78" i="60"/>
  <c r="N79" i="60"/>
  <c r="N80" i="60"/>
  <c r="N81" i="60"/>
  <c r="N82" i="60"/>
  <c r="N83" i="60"/>
  <c r="N84" i="60"/>
  <c r="N85" i="60"/>
  <c r="N86" i="60"/>
  <c r="N87" i="60"/>
  <c r="N88" i="60"/>
  <c r="N91" i="60"/>
  <c r="N92" i="60"/>
  <c r="N93" i="60"/>
  <c r="N94" i="60"/>
  <c r="N95" i="60"/>
  <c r="N96" i="60"/>
  <c r="N97" i="60"/>
  <c r="N98" i="60"/>
  <c r="N99" i="60"/>
  <c r="N100" i="60"/>
  <c r="N101" i="60"/>
  <c r="N102" i="60"/>
  <c r="N103" i="60"/>
  <c r="N106" i="60"/>
  <c r="N107" i="60"/>
  <c r="N108" i="60"/>
  <c r="N109" i="60"/>
  <c r="N110" i="60"/>
  <c r="N111" i="60"/>
  <c r="N112" i="60"/>
  <c r="N113" i="60"/>
  <c r="N114" i="60"/>
  <c r="N115" i="60"/>
  <c r="N116" i="60"/>
  <c r="N117" i="60"/>
  <c r="N118" i="60"/>
  <c r="N121" i="60"/>
  <c r="N122" i="60"/>
  <c r="N123" i="60"/>
  <c r="N124" i="60"/>
  <c r="N125" i="60"/>
  <c r="N126" i="60"/>
  <c r="N127" i="60"/>
  <c r="N128" i="60"/>
  <c r="N129" i="60"/>
  <c r="N130" i="60"/>
  <c r="N131" i="60"/>
  <c r="N132" i="60"/>
  <c r="N133" i="60"/>
  <c r="N136" i="60"/>
  <c r="N137" i="60"/>
  <c r="N138" i="60"/>
  <c r="N139" i="60"/>
  <c r="N140" i="60"/>
  <c r="N141" i="60"/>
  <c r="N142" i="60"/>
  <c r="N143" i="60"/>
  <c r="N144" i="60"/>
  <c r="N145" i="60"/>
  <c r="N146" i="60"/>
  <c r="N147" i="60"/>
  <c r="N148" i="60"/>
  <c r="N151" i="60"/>
  <c r="N152" i="60"/>
  <c r="N153" i="60"/>
  <c r="N154" i="60"/>
  <c r="N155" i="60"/>
  <c r="N156" i="60"/>
  <c r="N157" i="60"/>
  <c r="N158" i="60"/>
  <c r="N159" i="60"/>
  <c r="N160" i="60"/>
  <c r="N161" i="60"/>
  <c r="N162" i="60"/>
  <c r="N163" i="60"/>
  <c r="N166" i="60"/>
  <c r="N167" i="60"/>
  <c r="N168" i="60"/>
  <c r="N169" i="60"/>
  <c r="N170" i="60"/>
  <c r="N171" i="60"/>
  <c r="N172" i="60"/>
  <c r="N173" i="60"/>
  <c r="N174" i="60"/>
  <c r="N175" i="60"/>
  <c r="N176" i="60"/>
  <c r="N177" i="60"/>
  <c r="N178" i="60"/>
  <c r="N181" i="60"/>
  <c r="N182" i="60"/>
  <c r="N183" i="60"/>
  <c r="N184" i="60"/>
  <c r="N185" i="60"/>
  <c r="N186" i="60"/>
  <c r="N187" i="60"/>
  <c r="N188" i="60"/>
  <c r="N189" i="60"/>
  <c r="N190" i="60"/>
  <c r="N191" i="60"/>
  <c r="N192" i="60"/>
  <c r="N193" i="60"/>
  <c r="N196" i="60"/>
  <c r="N197" i="60"/>
  <c r="N198" i="60"/>
  <c r="N199" i="60"/>
  <c r="N200" i="60"/>
  <c r="N201" i="60"/>
  <c r="N202" i="60"/>
  <c r="N203" i="60"/>
  <c r="N204" i="60"/>
  <c r="N205" i="60"/>
  <c r="N206" i="60"/>
  <c r="N207" i="60"/>
  <c r="N208" i="60"/>
  <c r="N76" i="60"/>
  <c r="K77" i="60"/>
  <c r="K78" i="60"/>
  <c r="K79" i="60"/>
  <c r="K80" i="60"/>
  <c r="K81" i="60"/>
  <c r="K82" i="60"/>
  <c r="K83" i="60"/>
  <c r="K84" i="60"/>
  <c r="K85" i="60"/>
  <c r="K86" i="60"/>
  <c r="K87" i="60"/>
  <c r="K88" i="60"/>
  <c r="K91" i="60"/>
  <c r="K92" i="60"/>
  <c r="K93" i="60"/>
  <c r="K94" i="60"/>
  <c r="K95" i="60"/>
  <c r="K96" i="60"/>
  <c r="K97" i="60"/>
  <c r="K98" i="60"/>
  <c r="K99" i="60"/>
  <c r="K100" i="60"/>
  <c r="K101" i="60"/>
  <c r="K102" i="60"/>
  <c r="K103" i="60"/>
  <c r="K106" i="60"/>
  <c r="K107" i="60"/>
  <c r="K108" i="60"/>
  <c r="K109" i="60"/>
  <c r="K110" i="60"/>
  <c r="K111" i="60"/>
  <c r="K112" i="60"/>
  <c r="K113" i="60"/>
  <c r="K114" i="60"/>
  <c r="K115" i="60"/>
  <c r="K116" i="60"/>
  <c r="K117" i="60"/>
  <c r="K118" i="60"/>
  <c r="K121" i="60"/>
  <c r="K122" i="60"/>
  <c r="K123" i="60"/>
  <c r="K124" i="60"/>
  <c r="K125" i="60"/>
  <c r="K126" i="60"/>
  <c r="K127" i="60"/>
  <c r="K128" i="60"/>
  <c r="K129" i="60"/>
  <c r="K130" i="60"/>
  <c r="K131" i="60"/>
  <c r="K132" i="60"/>
  <c r="K133" i="60"/>
  <c r="K136" i="60"/>
  <c r="K137" i="60"/>
  <c r="K138" i="60"/>
  <c r="K139" i="60"/>
  <c r="K140" i="60"/>
  <c r="K141" i="60"/>
  <c r="K142" i="60"/>
  <c r="K143" i="60"/>
  <c r="K144" i="60"/>
  <c r="K145" i="60"/>
  <c r="K146" i="60"/>
  <c r="K147" i="60"/>
  <c r="K148" i="60"/>
  <c r="K151" i="60"/>
  <c r="K152" i="60"/>
  <c r="K153" i="60"/>
  <c r="K154" i="60"/>
  <c r="K155" i="60"/>
  <c r="K156" i="60"/>
  <c r="K157" i="60"/>
  <c r="K158" i="60"/>
  <c r="K159" i="60"/>
  <c r="K160" i="60"/>
  <c r="K161" i="60"/>
  <c r="K162" i="60"/>
  <c r="K163" i="60"/>
  <c r="K166" i="60"/>
  <c r="K167" i="60"/>
  <c r="K168" i="60"/>
  <c r="K169" i="60"/>
  <c r="K170" i="60"/>
  <c r="K171" i="60"/>
  <c r="K172" i="60"/>
  <c r="K173" i="60"/>
  <c r="K174" i="60"/>
  <c r="K175" i="60"/>
  <c r="K176" i="60"/>
  <c r="K177" i="60"/>
  <c r="K178" i="60"/>
  <c r="K181" i="60"/>
  <c r="K182" i="60"/>
  <c r="K183" i="60"/>
  <c r="K184" i="60"/>
  <c r="K185" i="60"/>
  <c r="K186" i="60"/>
  <c r="K187" i="60"/>
  <c r="K188" i="60"/>
  <c r="K189" i="60"/>
  <c r="K190" i="60"/>
  <c r="K191" i="60"/>
  <c r="K192" i="60"/>
  <c r="K193" i="60"/>
  <c r="K196" i="60"/>
  <c r="K197" i="60"/>
  <c r="K198" i="60"/>
  <c r="K199" i="60"/>
  <c r="K200" i="60"/>
  <c r="K201" i="60"/>
  <c r="K202" i="60"/>
  <c r="K203" i="60"/>
  <c r="K204" i="60"/>
  <c r="K205" i="60"/>
  <c r="K206" i="60"/>
  <c r="K207" i="60"/>
  <c r="K208" i="60"/>
  <c r="K76" i="60"/>
  <c r="H77" i="60"/>
  <c r="H78" i="60"/>
  <c r="H79" i="60"/>
  <c r="H80" i="60"/>
  <c r="H81" i="60"/>
  <c r="H82" i="60"/>
  <c r="H83" i="60"/>
  <c r="H84" i="60"/>
  <c r="H85" i="60"/>
  <c r="H86" i="60"/>
  <c r="H87" i="60"/>
  <c r="H88" i="60"/>
  <c r="H91" i="60"/>
  <c r="H92" i="60"/>
  <c r="H93" i="60"/>
  <c r="H94" i="60"/>
  <c r="H95" i="60"/>
  <c r="H96" i="60"/>
  <c r="H97" i="60"/>
  <c r="H98" i="60"/>
  <c r="H99" i="60"/>
  <c r="H100" i="60"/>
  <c r="H101" i="60"/>
  <c r="H102" i="60"/>
  <c r="H103" i="60"/>
  <c r="H106" i="60"/>
  <c r="H107" i="60"/>
  <c r="H108" i="60"/>
  <c r="H109" i="60"/>
  <c r="H110" i="60"/>
  <c r="H111" i="60"/>
  <c r="H112" i="60"/>
  <c r="H113" i="60"/>
  <c r="H114" i="60"/>
  <c r="H115" i="60"/>
  <c r="H116" i="60"/>
  <c r="H117" i="60"/>
  <c r="H118" i="60"/>
  <c r="H121" i="60"/>
  <c r="H122" i="60"/>
  <c r="H123" i="60"/>
  <c r="H124" i="60"/>
  <c r="H125" i="60"/>
  <c r="H126" i="60"/>
  <c r="H127" i="60"/>
  <c r="H128" i="60"/>
  <c r="H129" i="60"/>
  <c r="H130" i="60"/>
  <c r="H131" i="60"/>
  <c r="H132" i="60"/>
  <c r="H133" i="60"/>
  <c r="H136" i="60"/>
  <c r="H137" i="60"/>
  <c r="H138" i="60"/>
  <c r="H139" i="60"/>
  <c r="H140" i="60"/>
  <c r="H141" i="60"/>
  <c r="H142" i="60"/>
  <c r="H143" i="60"/>
  <c r="H144" i="60"/>
  <c r="H145" i="60"/>
  <c r="H146" i="60"/>
  <c r="H147" i="60"/>
  <c r="H148" i="60"/>
  <c r="H151" i="60"/>
  <c r="H152" i="60"/>
  <c r="H153" i="60"/>
  <c r="H154" i="60"/>
  <c r="H155" i="60"/>
  <c r="H156" i="60"/>
  <c r="H157" i="60"/>
  <c r="H158" i="60"/>
  <c r="H159" i="60"/>
  <c r="H160" i="60"/>
  <c r="H161" i="60"/>
  <c r="H162" i="60"/>
  <c r="H163" i="60"/>
  <c r="H166" i="60"/>
  <c r="H167" i="60"/>
  <c r="H168" i="60"/>
  <c r="H169" i="60"/>
  <c r="H170" i="60"/>
  <c r="H171" i="60"/>
  <c r="H172" i="60"/>
  <c r="H173" i="60"/>
  <c r="H174" i="60"/>
  <c r="H175" i="60"/>
  <c r="H176" i="60"/>
  <c r="H177" i="60"/>
  <c r="H178" i="60"/>
  <c r="H181" i="60"/>
  <c r="H182" i="60"/>
  <c r="H183" i="60"/>
  <c r="H184" i="60"/>
  <c r="H185" i="60"/>
  <c r="H186" i="60"/>
  <c r="H187" i="60"/>
  <c r="H188" i="60"/>
  <c r="H189" i="60"/>
  <c r="H190" i="60"/>
  <c r="H191" i="60"/>
  <c r="H192" i="60"/>
  <c r="H193" i="60"/>
  <c r="H196" i="60"/>
  <c r="H197" i="60"/>
  <c r="H198" i="60"/>
  <c r="H199" i="60"/>
  <c r="H200" i="60"/>
  <c r="H201" i="60"/>
  <c r="H202" i="60"/>
  <c r="H203" i="60"/>
  <c r="H204" i="60"/>
  <c r="H205" i="60"/>
  <c r="H206" i="60"/>
  <c r="H207" i="60"/>
  <c r="H208" i="60"/>
  <c r="H76" i="60"/>
  <c r="E92" i="60"/>
  <c r="E93" i="60"/>
  <c r="E94" i="60"/>
  <c r="E95" i="60"/>
  <c r="E96" i="60"/>
  <c r="E97" i="60"/>
  <c r="E98" i="60"/>
  <c r="E99" i="60"/>
  <c r="E100" i="60"/>
  <c r="E101" i="60"/>
  <c r="E102" i="60"/>
  <c r="E103" i="60"/>
  <c r="E106" i="60"/>
  <c r="E107" i="60"/>
  <c r="E108" i="60"/>
  <c r="E109" i="60"/>
  <c r="E110" i="60"/>
  <c r="E111" i="60"/>
  <c r="E112" i="60"/>
  <c r="E113" i="60"/>
  <c r="E114" i="60"/>
  <c r="E115" i="60"/>
  <c r="E116" i="60"/>
  <c r="E117" i="60"/>
  <c r="E118" i="60"/>
  <c r="E121" i="60"/>
  <c r="E122" i="60"/>
  <c r="E123" i="60"/>
  <c r="E124" i="60"/>
  <c r="E125" i="60"/>
  <c r="E126" i="60"/>
  <c r="E127" i="60"/>
  <c r="E128" i="60"/>
  <c r="E129" i="60"/>
  <c r="E130" i="60"/>
  <c r="E131" i="60"/>
  <c r="E132" i="60"/>
  <c r="E133" i="60"/>
  <c r="E136" i="60"/>
  <c r="E137" i="60"/>
  <c r="E138" i="60"/>
  <c r="E139" i="60"/>
  <c r="E140" i="60"/>
  <c r="E141" i="60"/>
  <c r="E142" i="60"/>
  <c r="E143" i="60"/>
  <c r="E144" i="60"/>
  <c r="E145" i="60"/>
  <c r="E146" i="60"/>
  <c r="E147" i="60"/>
  <c r="E148" i="60"/>
  <c r="E151" i="60"/>
  <c r="E152" i="60"/>
  <c r="E153" i="60"/>
  <c r="E154" i="60"/>
  <c r="E155" i="60"/>
  <c r="E156" i="60"/>
  <c r="E157" i="60"/>
  <c r="E158" i="60"/>
  <c r="E159" i="60"/>
  <c r="E160" i="60"/>
  <c r="E161" i="60"/>
  <c r="E162" i="60"/>
  <c r="E163" i="60"/>
  <c r="E166" i="60"/>
  <c r="E167" i="60"/>
  <c r="E168" i="60"/>
  <c r="E169" i="60"/>
  <c r="E170" i="60"/>
  <c r="E171" i="60"/>
  <c r="E172" i="60"/>
  <c r="E173" i="60"/>
  <c r="E174" i="60"/>
  <c r="E175" i="60"/>
  <c r="E176" i="60"/>
  <c r="E177" i="60"/>
  <c r="E178" i="60"/>
  <c r="E181" i="60"/>
  <c r="E182" i="60"/>
  <c r="E183" i="60"/>
  <c r="E184" i="60"/>
  <c r="E185" i="60"/>
  <c r="E186" i="60"/>
  <c r="E187" i="60"/>
  <c r="E188" i="60"/>
  <c r="E189" i="60"/>
  <c r="E190" i="60"/>
  <c r="E191" i="60"/>
  <c r="E192" i="60"/>
  <c r="E193" i="60"/>
  <c r="E196" i="60"/>
  <c r="E197" i="60"/>
  <c r="E198" i="60"/>
  <c r="E199" i="60"/>
  <c r="E200" i="60"/>
  <c r="E201" i="60"/>
  <c r="E202" i="60"/>
  <c r="E203" i="60"/>
  <c r="E204" i="60"/>
  <c r="E205" i="60"/>
  <c r="E206" i="60"/>
  <c r="E207" i="60"/>
  <c r="E208" i="60"/>
  <c r="E77" i="60"/>
  <c r="E78" i="60"/>
  <c r="E79" i="60"/>
  <c r="E80" i="60"/>
  <c r="E81" i="60"/>
  <c r="E82" i="60"/>
  <c r="E83" i="60"/>
  <c r="E84" i="60"/>
  <c r="E85" i="60"/>
  <c r="E86" i="60"/>
  <c r="E87" i="60"/>
  <c r="E88" i="60"/>
  <c r="E91" i="60"/>
  <c r="E76" i="60"/>
  <c r="T11" i="60"/>
  <c r="T12" i="60"/>
  <c r="T13" i="60"/>
  <c r="T14" i="60"/>
  <c r="T15" i="60"/>
  <c r="T16" i="60"/>
  <c r="T17" i="60"/>
  <c r="T18" i="60"/>
  <c r="T19" i="60"/>
  <c r="T20" i="60"/>
  <c r="T21" i="60"/>
  <c r="T22" i="60"/>
  <c r="T23" i="60"/>
  <c r="T24" i="60"/>
  <c r="T25" i="60"/>
  <c r="T26" i="60"/>
  <c r="T27" i="60"/>
  <c r="T28" i="60"/>
  <c r="T29" i="60"/>
  <c r="T30" i="60"/>
  <c r="T31" i="60"/>
  <c r="T32" i="60"/>
  <c r="T33" i="60"/>
  <c r="T34" i="60"/>
  <c r="T35" i="60"/>
  <c r="T36" i="60"/>
  <c r="T37" i="60"/>
  <c r="T38" i="60"/>
  <c r="T39" i="60"/>
  <c r="T40" i="60"/>
  <c r="T41" i="60"/>
  <c r="T42" i="60"/>
  <c r="T43" i="60"/>
  <c r="T44" i="60"/>
  <c r="T45" i="60"/>
  <c r="T46" i="60"/>
  <c r="T47" i="60"/>
  <c r="T48" i="60"/>
  <c r="T49" i="60"/>
  <c r="T50" i="60"/>
  <c r="T51" i="60"/>
  <c r="T52" i="60"/>
  <c r="T53" i="60"/>
  <c r="T54" i="60"/>
  <c r="T55" i="60"/>
  <c r="T56" i="60"/>
  <c r="T57" i="60"/>
  <c r="T58" i="60"/>
  <c r="T59" i="60"/>
  <c r="T60" i="60"/>
  <c r="T61" i="60"/>
  <c r="T62" i="60"/>
  <c r="T63" i="60"/>
  <c r="T64" i="60"/>
  <c r="T65" i="60"/>
  <c r="T66" i="60"/>
  <c r="T67" i="60"/>
  <c r="T68" i="60"/>
  <c r="T69" i="60"/>
  <c r="T70" i="60"/>
  <c r="T71" i="60"/>
  <c r="T72" i="60"/>
  <c r="T10" i="60"/>
  <c r="Q11" i="60"/>
  <c r="Q12" i="60"/>
  <c r="Q13" i="60"/>
  <c r="Q14" i="60"/>
  <c r="Q15" i="60"/>
  <c r="Q16" i="60"/>
  <c r="Q17" i="60"/>
  <c r="Q18" i="60"/>
  <c r="Q19" i="60"/>
  <c r="Q20" i="60"/>
  <c r="Q21" i="60"/>
  <c r="Q22" i="60"/>
  <c r="Q23" i="60"/>
  <c r="Q24" i="60"/>
  <c r="Q25" i="60"/>
  <c r="Q26" i="60"/>
  <c r="Q27" i="60"/>
  <c r="Q28" i="60"/>
  <c r="Q29" i="60"/>
  <c r="Q30" i="60"/>
  <c r="Q31" i="60"/>
  <c r="Q32" i="60"/>
  <c r="Q33" i="60"/>
  <c r="Q34" i="60"/>
  <c r="Q35" i="60"/>
  <c r="Q36" i="60"/>
  <c r="Q37" i="60"/>
  <c r="Q38" i="60"/>
  <c r="Q39" i="60"/>
  <c r="Q40" i="60"/>
  <c r="Q41" i="60"/>
  <c r="Q42" i="60"/>
  <c r="Q43" i="60"/>
  <c r="Q44" i="60"/>
  <c r="Q45" i="60"/>
  <c r="Q46" i="60"/>
  <c r="Q47" i="60"/>
  <c r="Q48" i="60"/>
  <c r="Q49" i="60"/>
  <c r="Q50" i="60"/>
  <c r="Q51" i="60"/>
  <c r="Q52" i="60"/>
  <c r="Q53" i="60"/>
  <c r="Q54" i="60"/>
  <c r="Q55" i="60"/>
  <c r="Q56" i="60"/>
  <c r="Q57" i="60"/>
  <c r="Q58" i="60"/>
  <c r="Q59" i="60"/>
  <c r="Q60" i="60"/>
  <c r="Q61" i="60"/>
  <c r="Q62" i="60"/>
  <c r="Q63" i="60"/>
  <c r="Q64" i="60"/>
  <c r="Q65" i="60"/>
  <c r="Q66" i="60"/>
  <c r="Q67" i="60"/>
  <c r="Q68" i="60"/>
  <c r="Q69" i="60"/>
  <c r="Q70" i="60"/>
  <c r="Q71" i="60"/>
  <c r="Q72" i="60"/>
  <c r="Q10" i="60"/>
  <c r="N10" i="60"/>
  <c r="K11" i="60"/>
  <c r="K12" i="60"/>
  <c r="K13" i="60"/>
  <c r="K14" i="60"/>
  <c r="K15" i="60"/>
  <c r="K16" i="60"/>
  <c r="K17" i="60"/>
  <c r="K18" i="60"/>
  <c r="K19" i="60"/>
  <c r="K20" i="60"/>
  <c r="K21" i="60"/>
  <c r="K22" i="60"/>
  <c r="K23" i="60"/>
  <c r="K24" i="60"/>
  <c r="K25" i="60"/>
  <c r="K26" i="60"/>
  <c r="K27" i="60"/>
  <c r="K28" i="60"/>
  <c r="K29" i="60"/>
  <c r="K30" i="60"/>
  <c r="K31" i="60"/>
  <c r="K32" i="60"/>
  <c r="K33" i="60"/>
  <c r="K34" i="60"/>
  <c r="K35" i="60"/>
  <c r="K36" i="60"/>
  <c r="K37" i="60"/>
  <c r="K38" i="60"/>
  <c r="K39" i="60"/>
  <c r="K40" i="60"/>
  <c r="K41" i="60"/>
  <c r="K42" i="60"/>
  <c r="K43" i="60"/>
  <c r="K44" i="60"/>
  <c r="K45" i="60"/>
  <c r="K46" i="60"/>
  <c r="K47" i="60"/>
  <c r="K48" i="60"/>
  <c r="K49" i="60"/>
  <c r="K50" i="60"/>
  <c r="K51" i="60"/>
  <c r="K52" i="60"/>
  <c r="K53" i="60"/>
  <c r="K54" i="60"/>
  <c r="K55" i="60"/>
  <c r="K56" i="60"/>
  <c r="K57" i="60"/>
  <c r="K58" i="60"/>
  <c r="K59" i="60"/>
  <c r="K60" i="60"/>
  <c r="K61" i="60"/>
  <c r="K62" i="60"/>
  <c r="K63" i="60"/>
  <c r="K64" i="60"/>
  <c r="K65" i="60"/>
  <c r="K66" i="60"/>
  <c r="K67" i="60"/>
  <c r="K68" i="60"/>
  <c r="K69" i="60"/>
  <c r="K70" i="60"/>
  <c r="K71" i="60"/>
  <c r="K72" i="60"/>
  <c r="K10" i="60"/>
  <c r="H11" i="60"/>
  <c r="H12" i="60"/>
  <c r="H13" i="60"/>
  <c r="H14" i="60"/>
  <c r="H15" i="60"/>
  <c r="H16" i="60"/>
  <c r="H17" i="60"/>
  <c r="H18" i="60"/>
  <c r="H19" i="60"/>
  <c r="H20" i="60"/>
  <c r="H21" i="60"/>
  <c r="H22" i="60"/>
  <c r="H23" i="60"/>
  <c r="H24" i="60"/>
  <c r="H25" i="60"/>
  <c r="H26" i="60"/>
  <c r="H27" i="60"/>
  <c r="H28" i="60"/>
  <c r="H29" i="60"/>
  <c r="H30" i="60"/>
  <c r="H31" i="60"/>
  <c r="H32" i="60"/>
  <c r="H33" i="60"/>
  <c r="H34" i="60"/>
  <c r="H35" i="60"/>
  <c r="H36" i="60"/>
  <c r="H37" i="60"/>
  <c r="H38" i="60"/>
  <c r="H39" i="60"/>
  <c r="H40" i="60"/>
  <c r="H41" i="60"/>
  <c r="H42" i="60"/>
  <c r="H43" i="60"/>
  <c r="H44" i="60"/>
  <c r="H45" i="60"/>
  <c r="H46" i="60"/>
  <c r="H47" i="60"/>
  <c r="H48" i="60"/>
  <c r="H49" i="60"/>
  <c r="H50" i="60"/>
  <c r="H51" i="60"/>
  <c r="H52" i="60"/>
  <c r="H53" i="60"/>
  <c r="H54" i="60"/>
  <c r="H55" i="60"/>
  <c r="H56" i="60"/>
  <c r="H57" i="60"/>
  <c r="H58" i="60"/>
  <c r="H59" i="60"/>
  <c r="H60" i="60"/>
  <c r="H61" i="60"/>
  <c r="H62" i="60"/>
  <c r="H63" i="60"/>
  <c r="H64" i="60"/>
  <c r="H65" i="60"/>
  <c r="H66" i="60"/>
  <c r="H67" i="60"/>
  <c r="H68" i="60"/>
  <c r="H69" i="60"/>
  <c r="H70" i="60"/>
  <c r="H71" i="60"/>
  <c r="H72" i="60"/>
  <c r="H10" i="60"/>
  <c r="E11" i="60"/>
  <c r="E12" i="60"/>
  <c r="E13" i="60"/>
  <c r="E14" i="60"/>
  <c r="E15" i="60"/>
  <c r="E16" i="60"/>
  <c r="E17" i="60"/>
  <c r="E18" i="60"/>
  <c r="E19" i="60"/>
  <c r="E20" i="60"/>
  <c r="E21" i="60"/>
  <c r="E22" i="60"/>
  <c r="E23" i="60"/>
  <c r="E24" i="60"/>
  <c r="E25" i="60"/>
  <c r="E26" i="60"/>
  <c r="E27" i="60"/>
  <c r="E28" i="60"/>
  <c r="E29" i="60"/>
  <c r="E30" i="60"/>
  <c r="E31" i="60"/>
  <c r="E32" i="60"/>
  <c r="E33" i="60"/>
  <c r="E34" i="60"/>
  <c r="E35" i="60"/>
  <c r="E36" i="60"/>
  <c r="E37" i="60"/>
  <c r="E38" i="60"/>
  <c r="E39" i="60"/>
  <c r="E40" i="60"/>
  <c r="E41" i="60"/>
  <c r="E42" i="60"/>
  <c r="E43" i="60"/>
  <c r="E44" i="60"/>
  <c r="E45" i="60"/>
  <c r="E46" i="60"/>
  <c r="E47" i="60"/>
  <c r="E48" i="60"/>
  <c r="E49" i="60"/>
  <c r="E50" i="60"/>
  <c r="E51" i="60"/>
  <c r="E52" i="60"/>
  <c r="E53" i="60"/>
  <c r="E54" i="60"/>
  <c r="E55" i="60"/>
  <c r="E56" i="60"/>
  <c r="E57" i="60"/>
  <c r="E58" i="60"/>
  <c r="E59" i="60"/>
  <c r="E60" i="60"/>
  <c r="E61" i="60"/>
  <c r="E62" i="60"/>
  <c r="E63" i="60"/>
  <c r="E64" i="60"/>
  <c r="E65" i="60"/>
  <c r="E66" i="60"/>
  <c r="E67" i="60"/>
  <c r="E68" i="60"/>
  <c r="E69" i="60"/>
  <c r="E70" i="60"/>
  <c r="E71" i="60"/>
  <c r="E72" i="60"/>
  <c r="E10" i="60"/>
  <c r="M5" i="9" l="1"/>
  <c r="L5" i="9"/>
  <c r="L2" i="9"/>
  <c r="H80" i="3"/>
  <c r="N80" i="3"/>
  <c r="S80" i="3" s="1"/>
  <c r="X80" i="3" s="1"/>
  <c r="AO80" i="3"/>
  <c r="AQ80" i="3"/>
  <c r="H81" i="3"/>
  <c r="N81" i="3"/>
  <c r="S81" i="3" s="1"/>
  <c r="X81" i="3" s="1"/>
  <c r="AO81" i="3"/>
  <c r="AQ81" i="3"/>
  <c r="H82" i="3"/>
  <c r="N82" i="3"/>
  <c r="S82" i="3" s="1"/>
  <c r="X82" i="3" s="1"/>
  <c r="AC82" i="3" s="1"/>
  <c r="AH82" i="3" s="1"/>
  <c r="AO82" i="3"/>
  <c r="AQ82" i="3"/>
  <c r="H83" i="3"/>
  <c r="N83" i="3"/>
  <c r="S83" i="3" s="1"/>
  <c r="X83" i="3" s="1"/>
  <c r="AO83" i="3"/>
  <c r="AQ83" i="3"/>
  <c r="H84" i="3"/>
  <c r="N84" i="3"/>
  <c r="S84" i="3" s="1"/>
  <c r="X84" i="3" s="1"/>
  <c r="AO84" i="3"/>
  <c r="AQ84" i="3"/>
  <c r="H85" i="3"/>
  <c r="N85" i="3"/>
  <c r="S85" i="3" s="1"/>
  <c r="X85" i="3" s="1"/>
  <c r="AO85" i="3"/>
  <c r="AQ85" i="3"/>
  <c r="H86" i="3"/>
  <c r="N86" i="3"/>
  <c r="S86" i="3" s="1"/>
  <c r="X86" i="3" s="1"/>
  <c r="AC86" i="3" s="1"/>
  <c r="AH86" i="3" s="1"/>
  <c r="AO86" i="3"/>
  <c r="AQ86" i="3"/>
  <c r="H87" i="3"/>
  <c r="N87" i="3"/>
  <c r="S87" i="3" s="1"/>
  <c r="X87" i="3" s="1"/>
  <c r="AO87" i="3"/>
  <c r="AQ87" i="3"/>
  <c r="H88" i="3"/>
  <c r="N88" i="3"/>
  <c r="S88" i="3" s="1"/>
  <c r="X88" i="3" s="1"/>
  <c r="AO88" i="3"/>
  <c r="AQ88" i="3"/>
  <c r="H89" i="3"/>
  <c r="N89" i="3"/>
  <c r="S89" i="3" s="1"/>
  <c r="X89" i="3" s="1"/>
  <c r="AO89" i="3"/>
  <c r="AQ89" i="3"/>
  <c r="H90" i="3"/>
  <c r="N90" i="3"/>
  <c r="S90" i="3" s="1"/>
  <c r="X90" i="3" s="1"/>
  <c r="AC90" i="3" s="1"/>
  <c r="AH90" i="3" s="1"/>
  <c r="AO90" i="3"/>
  <c r="AQ90" i="3"/>
  <c r="H91" i="3"/>
  <c r="N91" i="3"/>
  <c r="S91" i="3" s="1"/>
  <c r="X91" i="3" s="1"/>
  <c r="AO91" i="3"/>
  <c r="AQ91" i="3"/>
  <c r="H92" i="3"/>
  <c r="N92" i="3"/>
  <c r="S92" i="3" s="1"/>
  <c r="X92" i="3" s="1"/>
  <c r="AO92" i="3"/>
  <c r="AQ92" i="3"/>
  <c r="H93" i="3"/>
  <c r="N93" i="3"/>
  <c r="S93" i="3" s="1"/>
  <c r="X93" i="3" s="1"/>
  <c r="AO93" i="3"/>
  <c r="AQ93" i="3"/>
  <c r="H94" i="3"/>
  <c r="N94" i="3"/>
  <c r="S94" i="3" s="1"/>
  <c r="X94" i="3" s="1"/>
  <c r="AC94" i="3" s="1"/>
  <c r="AH94" i="3" s="1"/>
  <c r="AO94" i="3"/>
  <c r="AQ94" i="3"/>
  <c r="H95" i="3"/>
  <c r="N95" i="3"/>
  <c r="S95" i="3" s="1"/>
  <c r="X95" i="3" s="1"/>
  <c r="AO95" i="3"/>
  <c r="AQ95" i="3"/>
  <c r="H96" i="3"/>
  <c r="N96" i="3"/>
  <c r="S96" i="3" s="1"/>
  <c r="X96" i="3" s="1"/>
  <c r="AO96" i="3"/>
  <c r="AQ96" i="3"/>
  <c r="H97" i="3"/>
  <c r="N97" i="3"/>
  <c r="S97" i="3" s="1"/>
  <c r="X97" i="3" s="1"/>
  <c r="AO97" i="3"/>
  <c r="AQ97" i="3"/>
  <c r="H98" i="3"/>
  <c r="N98" i="3"/>
  <c r="S98" i="3" s="1"/>
  <c r="X98" i="3" s="1"/>
  <c r="AO98" i="3"/>
  <c r="AQ98" i="3"/>
  <c r="H99" i="3"/>
  <c r="N99" i="3"/>
  <c r="S99" i="3" s="1"/>
  <c r="X99" i="3" s="1"/>
  <c r="AO99" i="3"/>
  <c r="AQ99" i="3"/>
  <c r="H100" i="3"/>
  <c r="N100" i="3"/>
  <c r="S100" i="3" s="1"/>
  <c r="X100" i="3" s="1"/>
  <c r="AO100" i="3"/>
  <c r="AQ100" i="3"/>
  <c r="H101" i="3"/>
  <c r="N101" i="3"/>
  <c r="S101" i="3" s="1"/>
  <c r="X101" i="3" s="1"/>
  <c r="AO101" i="3"/>
  <c r="AQ101" i="3"/>
  <c r="H102" i="3"/>
  <c r="N102" i="3"/>
  <c r="S102" i="3" s="1"/>
  <c r="X102" i="3" s="1"/>
  <c r="AO102" i="3"/>
  <c r="AQ102" i="3"/>
  <c r="H103" i="3"/>
  <c r="N103" i="3"/>
  <c r="S103" i="3" s="1"/>
  <c r="X103" i="3" s="1"/>
  <c r="AO103" i="3"/>
  <c r="AQ103" i="3"/>
  <c r="H104" i="3"/>
  <c r="N104" i="3"/>
  <c r="S104" i="3" s="1"/>
  <c r="X104" i="3" s="1"/>
  <c r="AO104" i="3"/>
  <c r="AQ104" i="3"/>
  <c r="H105" i="3"/>
  <c r="N105" i="3"/>
  <c r="S105" i="3" s="1"/>
  <c r="X105" i="3" s="1"/>
  <c r="AO105" i="3"/>
  <c r="AQ105" i="3"/>
  <c r="H106" i="3"/>
  <c r="N106" i="3"/>
  <c r="S106" i="3" s="1"/>
  <c r="X106" i="3" s="1"/>
  <c r="AO106" i="3"/>
  <c r="AQ106" i="3"/>
  <c r="H107" i="3"/>
  <c r="N107" i="3"/>
  <c r="S107" i="3" s="1"/>
  <c r="X107" i="3" s="1"/>
  <c r="AO107" i="3"/>
  <c r="AQ107" i="3"/>
  <c r="H108" i="3"/>
  <c r="N108" i="3"/>
  <c r="S108" i="3" s="1"/>
  <c r="X108" i="3" s="1"/>
  <c r="AO108" i="3"/>
  <c r="AQ108" i="3"/>
  <c r="H109" i="3"/>
  <c r="N109" i="3"/>
  <c r="S109" i="3" s="1"/>
  <c r="X109" i="3" s="1"/>
  <c r="AO109" i="3"/>
  <c r="AQ109" i="3"/>
  <c r="H110" i="3"/>
  <c r="N110" i="3"/>
  <c r="S110" i="3" s="1"/>
  <c r="X110" i="3" s="1"/>
  <c r="AO110" i="3"/>
  <c r="AQ110" i="3"/>
  <c r="H111" i="3"/>
  <c r="N111" i="3"/>
  <c r="S111" i="3" s="1"/>
  <c r="X111" i="3" s="1"/>
  <c r="AO111" i="3"/>
  <c r="AQ111" i="3"/>
  <c r="H112" i="3"/>
  <c r="N112" i="3"/>
  <c r="S112" i="3" s="1"/>
  <c r="X112" i="3" s="1"/>
  <c r="AH112" i="3" s="1"/>
  <c r="AQ112" i="3"/>
  <c r="AL90" i="3" l="1"/>
  <c r="AL86" i="3"/>
  <c r="AL82" i="3"/>
  <c r="AL94" i="3"/>
  <c r="P111" i="3"/>
  <c r="P103" i="3"/>
  <c r="P107" i="3"/>
  <c r="AC107" i="3"/>
  <c r="AH107" i="3" s="1"/>
  <c r="AL107" i="3" s="1"/>
  <c r="AC104" i="3"/>
  <c r="AH104" i="3" s="1"/>
  <c r="AL104" i="3" s="1"/>
  <c r="AC110" i="3"/>
  <c r="AH110" i="3" s="1"/>
  <c r="AL110" i="3" s="1"/>
  <c r="AC95" i="3"/>
  <c r="AC112" i="3"/>
  <c r="AC84" i="3"/>
  <c r="AC92" i="3"/>
  <c r="AH92" i="3" s="1"/>
  <c r="AL92" i="3" s="1"/>
  <c r="AC106" i="3"/>
  <c r="AC100" i="3"/>
  <c r="AC89" i="3"/>
  <c r="AC81" i="3"/>
  <c r="AC97" i="3"/>
  <c r="AH97" i="3" s="1"/>
  <c r="AL97" i="3" s="1"/>
  <c r="AC98" i="3"/>
  <c r="AH98" i="3" s="1"/>
  <c r="AL98" i="3" s="1"/>
  <c r="AC111" i="3"/>
  <c r="AH111" i="3" s="1"/>
  <c r="AL111" i="3" s="1"/>
  <c r="AC83" i="3"/>
  <c r="AC85" i="3"/>
  <c r="AH85" i="3" s="1"/>
  <c r="AL85" i="3" s="1"/>
  <c r="AC109" i="3"/>
  <c r="AC91" i="3"/>
  <c r="AC105" i="3"/>
  <c r="AC93" i="3"/>
  <c r="AC87" i="3"/>
  <c r="AH87" i="3" s="1"/>
  <c r="AL87" i="3" s="1"/>
  <c r="AC102" i="3"/>
  <c r="AH102" i="3" s="1"/>
  <c r="AL102" i="3" s="1"/>
  <c r="AC96" i="3"/>
  <c r="AH96" i="3" s="1"/>
  <c r="AL96" i="3" s="1"/>
  <c r="AC80" i="3"/>
  <c r="AC101" i="3"/>
  <c r="AC103" i="3"/>
  <c r="AH103" i="3" s="1"/>
  <c r="AL103" i="3" s="1"/>
  <c r="AC108" i="3"/>
  <c r="AH108" i="3" s="1"/>
  <c r="AL108" i="3" s="1"/>
  <c r="AC99" i="3"/>
  <c r="AC88" i="3"/>
  <c r="AH88" i="3" s="1"/>
  <c r="AL88" i="3" s="1"/>
  <c r="U98" i="3"/>
  <c r="U94" i="3"/>
  <c r="U90" i="3"/>
  <c r="U86" i="3"/>
  <c r="U82" i="3"/>
  <c r="K111" i="3"/>
  <c r="Z109" i="3"/>
  <c r="K107" i="3"/>
  <c r="Z105" i="3"/>
  <c r="K103" i="3"/>
  <c r="Z101" i="3"/>
  <c r="K99" i="3"/>
  <c r="Z97" i="3"/>
  <c r="K95" i="3"/>
  <c r="Z93" i="3"/>
  <c r="K91" i="3"/>
  <c r="Z89" i="3"/>
  <c r="K87" i="3"/>
  <c r="Z85" i="3"/>
  <c r="K83" i="3"/>
  <c r="Z81" i="3"/>
  <c r="U110" i="3"/>
  <c r="U102" i="3"/>
  <c r="P106" i="3"/>
  <c r="P102" i="3"/>
  <c r="P98" i="3"/>
  <c r="P86" i="3"/>
  <c r="P82" i="3"/>
  <c r="P90" i="3"/>
  <c r="U105" i="3"/>
  <c r="U101" i="3"/>
  <c r="U97" i="3"/>
  <c r="U93" i="3"/>
  <c r="U89" i="3"/>
  <c r="U85" i="3"/>
  <c r="U81" i="3"/>
  <c r="U106" i="3"/>
  <c r="P110" i="3"/>
  <c r="P94" i="3"/>
  <c r="U109" i="3"/>
  <c r="K110" i="3"/>
  <c r="Z108" i="3"/>
  <c r="K106" i="3"/>
  <c r="Z104" i="3"/>
  <c r="K102" i="3"/>
  <c r="Z100" i="3"/>
  <c r="K98" i="3"/>
  <c r="Z96" i="3"/>
  <c r="K94" i="3"/>
  <c r="Z92" i="3"/>
  <c r="K90" i="3"/>
  <c r="Z88" i="3"/>
  <c r="K86" i="3"/>
  <c r="Z84" i="3"/>
  <c r="K82" i="3"/>
  <c r="Z80" i="3"/>
  <c r="P93" i="3"/>
  <c r="P85" i="3"/>
  <c r="P81" i="3"/>
  <c r="P109" i="3"/>
  <c r="P97" i="3"/>
  <c r="U104" i="3"/>
  <c r="U100" i="3"/>
  <c r="U96" i="3"/>
  <c r="U92" i="3"/>
  <c r="U88" i="3"/>
  <c r="U84" i="3"/>
  <c r="U80" i="3"/>
  <c r="P105" i="3"/>
  <c r="P101" i="3"/>
  <c r="P89" i="3"/>
  <c r="U108" i="3"/>
  <c r="Z111" i="3"/>
  <c r="K109" i="3"/>
  <c r="Z107" i="3"/>
  <c r="K105" i="3"/>
  <c r="Z103" i="3"/>
  <c r="K101" i="3"/>
  <c r="Z99" i="3"/>
  <c r="K97" i="3"/>
  <c r="Z95" i="3"/>
  <c r="K93" i="3"/>
  <c r="Z91" i="3"/>
  <c r="K89" i="3"/>
  <c r="Z87" i="3"/>
  <c r="K85" i="3"/>
  <c r="Z83" i="3"/>
  <c r="K81" i="3"/>
  <c r="P108" i="3"/>
  <c r="P100" i="3"/>
  <c r="AE98" i="3"/>
  <c r="P96" i="3"/>
  <c r="P84" i="3"/>
  <c r="AE82" i="3"/>
  <c r="P80" i="3"/>
  <c r="P99" i="3"/>
  <c r="AE94" i="3"/>
  <c r="AE90" i="3"/>
  <c r="AE86" i="3"/>
  <c r="U111" i="3"/>
  <c r="U107" i="3"/>
  <c r="U103" i="3"/>
  <c r="U99" i="3"/>
  <c r="U95" i="3"/>
  <c r="U91" i="3"/>
  <c r="U87" i="3"/>
  <c r="U83" i="3"/>
  <c r="P104" i="3"/>
  <c r="P92" i="3"/>
  <c r="P88" i="3"/>
  <c r="Z110" i="3"/>
  <c r="K108" i="3"/>
  <c r="Z106" i="3"/>
  <c r="K104" i="3"/>
  <c r="Z102" i="3"/>
  <c r="K100" i="3"/>
  <c r="Z98" i="3"/>
  <c r="K96" i="3"/>
  <c r="Z94" i="3"/>
  <c r="K92" i="3"/>
  <c r="Z90" i="3"/>
  <c r="K88" i="3"/>
  <c r="Z86" i="3"/>
  <c r="K84" i="3"/>
  <c r="Z82" i="3"/>
  <c r="K80" i="3"/>
  <c r="P95" i="3"/>
  <c r="P91" i="3"/>
  <c r="P87" i="3"/>
  <c r="P83" i="3"/>
  <c r="O125" i="3"/>
  <c r="AE92" i="3" l="1"/>
  <c r="AP92" i="3" s="1"/>
  <c r="AE107" i="3"/>
  <c r="AP107" i="3" s="1"/>
  <c r="AE104" i="3"/>
  <c r="AP104" i="3" s="1"/>
  <c r="AE103" i="3"/>
  <c r="AP103" i="3" s="1"/>
  <c r="AE99" i="3"/>
  <c r="AH99" i="3"/>
  <c r="AL99" i="3" s="1"/>
  <c r="AE101" i="3"/>
  <c r="AH101" i="3"/>
  <c r="AL101" i="3" s="1"/>
  <c r="AE80" i="3"/>
  <c r="AH80" i="3"/>
  <c r="AL80" i="3" s="1"/>
  <c r="AE93" i="3"/>
  <c r="AH93" i="3"/>
  <c r="AL93" i="3" s="1"/>
  <c r="AE105" i="3"/>
  <c r="AH105" i="3"/>
  <c r="AL105" i="3" s="1"/>
  <c r="AE91" i="3"/>
  <c r="AH91" i="3"/>
  <c r="AL91" i="3" s="1"/>
  <c r="AE109" i="3"/>
  <c r="AH109" i="3"/>
  <c r="AL109" i="3" s="1"/>
  <c r="AE83" i="3"/>
  <c r="AH83" i="3"/>
  <c r="AL83" i="3" s="1"/>
  <c r="AE81" i="3"/>
  <c r="AH81" i="3"/>
  <c r="AL81" i="3" s="1"/>
  <c r="AE89" i="3"/>
  <c r="AH89" i="3"/>
  <c r="AL89" i="3" s="1"/>
  <c r="AE100" i="3"/>
  <c r="AH100" i="3"/>
  <c r="AL100" i="3" s="1"/>
  <c r="AE106" i="3"/>
  <c r="AH106" i="3"/>
  <c r="AL106" i="3" s="1"/>
  <c r="AE84" i="3"/>
  <c r="AH84" i="3"/>
  <c r="AL84" i="3" s="1"/>
  <c r="AE95" i="3"/>
  <c r="AH95" i="3"/>
  <c r="AL95" i="3" s="1"/>
  <c r="AE87" i="3"/>
  <c r="AP87" i="3" s="1"/>
  <c r="AE108" i="3"/>
  <c r="AP108" i="3" s="1"/>
  <c r="AE110" i="3"/>
  <c r="AP110" i="3" s="1"/>
  <c r="AE111" i="3"/>
  <c r="AP111" i="3" s="1"/>
  <c r="AE96" i="3"/>
  <c r="AP96" i="3" s="1"/>
  <c r="AE88" i="3"/>
  <c r="AP88" i="3" s="1"/>
  <c r="AE102" i="3"/>
  <c r="AP102" i="3" s="1"/>
  <c r="AE85" i="3"/>
  <c r="AP85" i="3" s="1"/>
  <c r="AP82" i="3"/>
  <c r="AP86" i="3"/>
  <c r="AP90" i="3"/>
  <c r="AE97" i="3"/>
  <c r="AP97" i="3" s="1"/>
  <c r="AP94" i="3"/>
  <c r="AP98" i="3"/>
  <c r="M8" i="9"/>
  <c r="AP83" i="3" l="1"/>
  <c r="AP101" i="3"/>
  <c r="AP95" i="3"/>
  <c r="AP84" i="3"/>
  <c r="AP81" i="3"/>
  <c r="AP80" i="3"/>
  <c r="AP99" i="3"/>
  <c r="AP89" i="3"/>
  <c r="AP109" i="3"/>
  <c r="AP106" i="3"/>
  <c r="AP105" i="3"/>
  <c r="AP91" i="3"/>
  <c r="AP100" i="3"/>
  <c r="AP93" i="3"/>
  <c r="H14" i="3"/>
  <c r="H13" i="3"/>
  <c r="H12" i="3"/>
  <c r="H11" i="3"/>
  <c r="H10" i="3"/>
  <c r="AI298" i="3"/>
  <c r="AH117" i="3"/>
  <c r="AH116" i="3"/>
  <c r="AH118" i="3"/>
  <c r="AH120" i="3"/>
  <c r="AH121" i="3"/>
  <c r="AH126" i="3"/>
  <c r="AH299" i="3"/>
  <c r="AH298" i="3"/>
  <c r="AH285" i="3"/>
  <c r="AH284" i="3"/>
  <c r="AH276" i="3"/>
  <c r="AH275" i="3"/>
  <c r="AH274" i="3"/>
  <c r="H15" i="3" l="1"/>
  <c r="H16" i="3"/>
  <c r="H17" i="3"/>
  <c r="H18" i="3"/>
  <c r="H19" i="3"/>
  <c r="H20" i="3"/>
  <c r="H21" i="3"/>
  <c r="H22" i="3"/>
  <c r="H23" i="3"/>
  <c r="H24" i="3"/>
  <c r="H25" i="3"/>
  <c r="H26" i="3"/>
  <c r="H27" i="3"/>
  <c r="H28" i="3"/>
  <c r="H29" i="3"/>
  <c r="H30" i="3"/>
  <c r="H31" i="3"/>
  <c r="H32" i="3"/>
  <c r="H33" i="3"/>
  <c r="H34" i="3"/>
  <c r="H35" i="3"/>
  <c r="H36" i="3"/>
  <c r="H37"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J298" i="3" l="1"/>
  <c r="AP295" i="3" l="1"/>
  <c r="AP294" i="3"/>
  <c r="AP293" i="3"/>
  <c r="AO258" i="3"/>
  <c r="AO259" i="3"/>
  <c r="AO260" i="3"/>
  <c r="AO261" i="3"/>
  <c r="AO262" i="3"/>
  <c r="AO263" i="3"/>
  <c r="AO264" i="3"/>
  <c r="AO265" i="3"/>
  <c r="AO266" i="3"/>
  <c r="AO267" i="3"/>
  <c r="AO268" i="3"/>
  <c r="AO269" i="3"/>
  <c r="AO270" i="3"/>
  <c r="AO257" i="3"/>
  <c r="AO243" i="3"/>
  <c r="AO244" i="3"/>
  <c r="AO245" i="3"/>
  <c r="AO246" i="3"/>
  <c r="AO247" i="3"/>
  <c r="AO248" i="3"/>
  <c r="AO249" i="3"/>
  <c r="AO250" i="3"/>
  <c r="AO251" i="3"/>
  <c r="AO252" i="3"/>
  <c r="AO253" i="3"/>
  <c r="AO254" i="3"/>
  <c r="AO255" i="3"/>
  <c r="AO242" i="3"/>
  <c r="AO228" i="3"/>
  <c r="AO229" i="3"/>
  <c r="AO230" i="3"/>
  <c r="AO231" i="3"/>
  <c r="AO232" i="3"/>
  <c r="AO233" i="3"/>
  <c r="AO234" i="3"/>
  <c r="AO235" i="3"/>
  <c r="AO236" i="3"/>
  <c r="AO237" i="3"/>
  <c r="AO238" i="3"/>
  <c r="AO239" i="3"/>
  <c r="AO240" i="3"/>
  <c r="AO227" i="3"/>
  <c r="AO213" i="3"/>
  <c r="AO214" i="3"/>
  <c r="AO215" i="3"/>
  <c r="AO216" i="3"/>
  <c r="AO217" i="3"/>
  <c r="AO218" i="3"/>
  <c r="AO219" i="3"/>
  <c r="AO220" i="3"/>
  <c r="AO221" i="3"/>
  <c r="AO222" i="3"/>
  <c r="AO223" i="3"/>
  <c r="AO224" i="3"/>
  <c r="AO225" i="3"/>
  <c r="AO212" i="3"/>
  <c r="AO198" i="3"/>
  <c r="AO199" i="3"/>
  <c r="AO200" i="3"/>
  <c r="AO201" i="3"/>
  <c r="AO202" i="3"/>
  <c r="AO203" i="3"/>
  <c r="AO204" i="3"/>
  <c r="AO205" i="3"/>
  <c r="AO206" i="3"/>
  <c r="AO207" i="3"/>
  <c r="AO208" i="3"/>
  <c r="AO209" i="3"/>
  <c r="AO210" i="3"/>
  <c r="AO197" i="3"/>
  <c r="AO183" i="3"/>
  <c r="AO184" i="3"/>
  <c r="AO185" i="3"/>
  <c r="AO186" i="3"/>
  <c r="AO187" i="3"/>
  <c r="AO188" i="3"/>
  <c r="AO189" i="3"/>
  <c r="AO190" i="3"/>
  <c r="AO191" i="3"/>
  <c r="AO192" i="3"/>
  <c r="AO193" i="3"/>
  <c r="AO194" i="3"/>
  <c r="AO195" i="3"/>
  <c r="AO182" i="3"/>
  <c r="AO180" i="3"/>
  <c r="AO168" i="3"/>
  <c r="AO169" i="3"/>
  <c r="AO170" i="3"/>
  <c r="AO171" i="3"/>
  <c r="AO172" i="3"/>
  <c r="AO173" i="3"/>
  <c r="AO174" i="3"/>
  <c r="AO175" i="3"/>
  <c r="AO176" i="3"/>
  <c r="AO177" i="3"/>
  <c r="AO178" i="3"/>
  <c r="AO179" i="3"/>
  <c r="AO167" i="3"/>
  <c r="AO161" i="3"/>
  <c r="AO152" i="3"/>
  <c r="AO153" i="3"/>
  <c r="AO154" i="3"/>
  <c r="AO155" i="3"/>
  <c r="AO156" i="3"/>
  <c r="AO157" i="3"/>
  <c r="AO158" i="3"/>
  <c r="AO159" i="3"/>
  <c r="AO160" i="3"/>
  <c r="AO162" i="3"/>
  <c r="AO163" i="3"/>
  <c r="AO164" i="3"/>
  <c r="AO165" i="3"/>
  <c r="AO138" i="3"/>
  <c r="AO139" i="3"/>
  <c r="AO140" i="3"/>
  <c r="AO141" i="3"/>
  <c r="AO142" i="3"/>
  <c r="AO143" i="3"/>
  <c r="AO144" i="3"/>
  <c r="AO145" i="3"/>
  <c r="AO146" i="3"/>
  <c r="AO147" i="3"/>
  <c r="AO148" i="3"/>
  <c r="AO149" i="3"/>
  <c r="AO150" i="3"/>
  <c r="AO137" i="3"/>
  <c r="AO77"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8" i="3"/>
  <c r="AO79" i="3"/>
  <c r="AO10" i="3"/>
  <c r="AL292" i="3"/>
  <c r="AI256" i="3"/>
  <c r="AI241" i="3"/>
  <c r="AI226" i="3"/>
  <c r="AI211" i="3"/>
  <c r="AI196" i="3"/>
  <c r="AI181" i="3"/>
  <c r="AI166" i="3"/>
  <c r="AI151" i="3"/>
  <c r="AI136" i="3"/>
  <c r="AI125" i="3"/>
  <c r="AI113" i="3"/>
  <c r="AP292" i="3" l="1"/>
  <c r="AI272" i="3"/>
  <c r="AI281" i="3" s="1"/>
  <c r="AI303" i="3" s="1"/>
  <c r="S10" i="3" l="1"/>
  <c r="X10" i="3" s="1"/>
  <c r="X11" i="3"/>
  <c r="S12" i="3"/>
  <c r="X12" i="3" s="1"/>
  <c r="J113" i="3"/>
  <c r="T113" i="3"/>
  <c r="Y113" i="3"/>
  <c r="AD113" i="3"/>
  <c r="O113" i="3"/>
  <c r="S13" i="3"/>
  <c r="X13" i="3" s="1"/>
  <c r="S14" i="3"/>
  <c r="X14" i="3" s="1"/>
  <c r="S15" i="3"/>
  <c r="X15" i="3" s="1"/>
  <c r="S16" i="3"/>
  <c r="X16" i="3" s="1"/>
  <c r="S17" i="3"/>
  <c r="X17" i="3" s="1"/>
  <c r="S18" i="3"/>
  <c r="X18" i="3" s="1"/>
  <c r="S19" i="3"/>
  <c r="X19" i="3" s="1"/>
  <c r="S20" i="3"/>
  <c r="X20" i="3" s="1"/>
  <c r="S22" i="3"/>
  <c r="X22" i="3" s="1"/>
  <c r="S23" i="3"/>
  <c r="X23" i="3" s="1"/>
  <c r="S24" i="3"/>
  <c r="X24" i="3" s="1"/>
  <c r="S25" i="3"/>
  <c r="X25" i="3" s="1"/>
  <c r="S26" i="3"/>
  <c r="X26" i="3" s="1"/>
  <c r="S27" i="3"/>
  <c r="X27" i="3" s="1"/>
  <c r="S28" i="3"/>
  <c r="X28" i="3" s="1"/>
  <c r="S29" i="3"/>
  <c r="X29" i="3" s="1"/>
  <c r="S30" i="3"/>
  <c r="X30" i="3" s="1"/>
  <c r="S31" i="3"/>
  <c r="X31" i="3" s="1"/>
  <c r="S32" i="3"/>
  <c r="X32" i="3" s="1"/>
  <c r="S33" i="3"/>
  <c r="X33" i="3" s="1"/>
  <c r="S34" i="3"/>
  <c r="X34" i="3" s="1"/>
  <c r="N35" i="3"/>
  <c r="S35" i="3" s="1"/>
  <c r="X35" i="3" s="1"/>
  <c r="N36" i="3"/>
  <c r="S36" i="3" s="1"/>
  <c r="X36" i="3" s="1"/>
  <c r="N37" i="3"/>
  <c r="S37" i="3" s="1"/>
  <c r="X37" i="3" s="1"/>
  <c r="N38" i="3"/>
  <c r="S38" i="3" s="1"/>
  <c r="X38" i="3" s="1"/>
  <c r="N39" i="3"/>
  <c r="S39" i="3" s="1"/>
  <c r="X39" i="3" s="1"/>
  <c r="N40" i="3"/>
  <c r="S40" i="3" s="1"/>
  <c r="X40" i="3" s="1"/>
  <c r="N41" i="3"/>
  <c r="S41" i="3" s="1"/>
  <c r="X41" i="3" s="1"/>
  <c r="N42" i="3"/>
  <c r="S42" i="3" s="1"/>
  <c r="X42" i="3" s="1"/>
  <c r="N43" i="3"/>
  <c r="S43" i="3" s="1"/>
  <c r="X43" i="3" s="1"/>
  <c r="N44" i="3"/>
  <c r="N45" i="3"/>
  <c r="S45" i="3" s="1"/>
  <c r="X45" i="3" s="1"/>
  <c r="N46" i="3"/>
  <c r="S46" i="3" s="1"/>
  <c r="X46" i="3" s="1"/>
  <c r="N47" i="3"/>
  <c r="S47" i="3" s="1"/>
  <c r="X47" i="3" s="1"/>
  <c r="N48" i="3"/>
  <c r="S48" i="3" s="1"/>
  <c r="X48" i="3" s="1"/>
  <c r="N49" i="3"/>
  <c r="S49" i="3" s="1"/>
  <c r="X49" i="3" s="1"/>
  <c r="N50" i="3"/>
  <c r="S50" i="3" s="1"/>
  <c r="X50" i="3" s="1"/>
  <c r="N51" i="3"/>
  <c r="S51" i="3" s="1"/>
  <c r="X51" i="3" s="1"/>
  <c r="N52" i="3"/>
  <c r="S52" i="3" s="1"/>
  <c r="X52" i="3" s="1"/>
  <c r="N53" i="3"/>
  <c r="S53" i="3" s="1"/>
  <c r="X53" i="3" s="1"/>
  <c r="N54" i="3"/>
  <c r="S54" i="3" s="1"/>
  <c r="X54" i="3" s="1"/>
  <c r="N55" i="3"/>
  <c r="S55" i="3" s="1"/>
  <c r="X55" i="3" s="1"/>
  <c r="N56" i="3"/>
  <c r="S56" i="3" s="1"/>
  <c r="X56" i="3" s="1"/>
  <c r="N57" i="3"/>
  <c r="S57" i="3" s="1"/>
  <c r="X57" i="3" s="1"/>
  <c r="N58" i="3"/>
  <c r="S58" i="3" s="1"/>
  <c r="X58" i="3" s="1"/>
  <c r="N59" i="3"/>
  <c r="S59" i="3" s="1"/>
  <c r="X59" i="3" s="1"/>
  <c r="N60" i="3"/>
  <c r="S60" i="3" s="1"/>
  <c r="X60" i="3" s="1"/>
  <c r="N61" i="3"/>
  <c r="S61" i="3" s="1"/>
  <c r="X61" i="3" s="1"/>
  <c r="N62" i="3"/>
  <c r="S62" i="3" s="1"/>
  <c r="X62" i="3" s="1"/>
  <c r="N63" i="3"/>
  <c r="S63" i="3" s="1"/>
  <c r="X63" i="3" s="1"/>
  <c r="N64" i="3"/>
  <c r="S64" i="3" s="1"/>
  <c r="X64" i="3" s="1"/>
  <c r="N65" i="3"/>
  <c r="S65" i="3" s="1"/>
  <c r="X65" i="3" s="1"/>
  <c r="N66" i="3"/>
  <c r="S66" i="3" s="1"/>
  <c r="X66" i="3" s="1"/>
  <c r="N67" i="3"/>
  <c r="S67" i="3" s="1"/>
  <c r="X67" i="3" s="1"/>
  <c r="N68" i="3"/>
  <c r="S68" i="3" s="1"/>
  <c r="X68" i="3" s="1"/>
  <c r="N69" i="3"/>
  <c r="S69" i="3" s="1"/>
  <c r="X69" i="3" s="1"/>
  <c r="N70" i="3"/>
  <c r="S70" i="3" s="1"/>
  <c r="X70" i="3" s="1"/>
  <c r="N71" i="3"/>
  <c r="S71" i="3" s="1"/>
  <c r="X71" i="3" s="1"/>
  <c r="N72" i="3"/>
  <c r="S72" i="3" s="1"/>
  <c r="X72" i="3" s="1"/>
  <c r="N73" i="3"/>
  <c r="S73" i="3" s="1"/>
  <c r="X73" i="3" s="1"/>
  <c r="N74" i="3"/>
  <c r="S74" i="3" s="1"/>
  <c r="X74" i="3" s="1"/>
  <c r="N75" i="3"/>
  <c r="S75" i="3" s="1"/>
  <c r="X75" i="3" s="1"/>
  <c r="N76" i="3"/>
  <c r="S76" i="3" s="1"/>
  <c r="X76" i="3" s="1"/>
  <c r="N77" i="3"/>
  <c r="S77" i="3" s="1"/>
  <c r="X77" i="3" s="1"/>
  <c r="N78" i="3"/>
  <c r="S78" i="3" s="1"/>
  <c r="X78" i="3" s="1"/>
  <c r="N79" i="3"/>
  <c r="S79" i="3" s="1"/>
  <c r="X79" i="3" s="1"/>
  <c r="S44" i="3"/>
  <c r="X44" i="3" s="1"/>
  <c r="AQ78" i="3"/>
  <c r="AQ77" i="3"/>
  <c r="J136" i="3"/>
  <c r="J151" i="3"/>
  <c r="J166" i="3"/>
  <c r="J181" i="3"/>
  <c r="J196" i="3"/>
  <c r="J211" i="3"/>
  <c r="J226" i="3"/>
  <c r="J241" i="3"/>
  <c r="J256" i="3"/>
  <c r="AQ257" i="3"/>
  <c r="AL257" i="3" s="1"/>
  <c r="AQ258" i="3"/>
  <c r="AL258" i="3" s="1"/>
  <c r="AQ259" i="3"/>
  <c r="AL259" i="3" s="1"/>
  <c r="AQ260" i="3"/>
  <c r="AL260" i="3" s="1"/>
  <c r="AQ261" i="3"/>
  <c r="AL261" i="3" s="1"/>
  <c r="AQ262" i="3"/>
  <c r="AL262" i="3" s="1"/>
  <c r="AQ263" i="3"/>
  <c r="AL263" i="3" s="1"/>
  <c r="AQ264" i="3"/>
  <c r="AL264" i="3" s="1"/>
  <c r="AQ265" i="3"/>
  <c r="AL265" i="3" s="1"/>
  <c r="AQ266" i="3"/>
  <c r="AL266" i="3" s="1"/>
  <c r="AQ267" i="3"/>
  <c r="AL267" i="3" s="1"/>
  <c r="AQ268" i="3"/>
  <c r="AL268" i="3" s="1"/>
  <c r="AQ269" i="3"/>
  <c r="AL269" i="3" s="1"/>
  <c r="AQ270" i="3"/>
  <c r="AL270" i="3" s="1"/>
  <c r="AQ242" i="3"/>
  <c r="AL242" i="3" s="1"/>
  <c r="AQ243" i="3"/>
  <c r="AL243" i="3" s="1"/>
  <c r="AQ244" i="3"/>
  <c r="AL244" i="3" s="1"/>
  <c r="AQ245" i="3"/>
  <c r="AL245" i="3" s="1"/>
  <c r="AQ246" i="3"/>
  <c r="AL246" i="3" s="1"/>
  <c r="AQ247" i="3"/>
  <c r="AL247" i="3" s="1"/>
  <c r="AQ248" i="3"/>
  <c r="AL248" i="3" s="1"/>
  <c r="AQ249" i="3"/>
  <c r="AL249" i="3" s="1"/>
  <c r="AQ250" i="3"/>
  <c r="AL250" i="3" s="1"/>
  <c r="AQ251" i="3"/>
  <c r="AL251" i="3" s="1"/>
  <c r="AQ252" i="3"/>
  <c r="AL252" i="3" s="1"/>
  <c r="AQ253" i="3"/>
  <c r="AL253" i="3" s="1"/>
  <c r="AQ254" i="3"/>
  <c r="AL254" i="3" s="1"/>
  <c r="AQ255" i="3"/>
  <c r="AL255" i="3" s="1"/>
  <c r="AQ227" i="3"/>
  <c r="AL227" i="3" s="1"/>
  <c r="AQ228" i="3"/>
  <c r="AL228" i="3" s="1"/>
  <c r="AQ229" i="3"/>
  <c r="AL229" i="3" s="1"/>
  <c r="AQ230" i="3"/>
  <c r="AL230" i="3" s="1"/>
  <c r="AQ231" i="3"/>
  <c r="AL231" i="3" s="1"/>
  <c r="AQ232" i="3"/>
  <c r="AL232" i="3" s="1"/>
  <c r="AQ233" i="3"/>
  <c r="AL233" i="3" s="1"/>
  <c r="AQ234" i="3"/>
  <c r="AL234" i="3" s="1"/>
  <c r="AQ235" i="3"/>
  <c r="AL235" i="3" s="1"/>
  <c r="AQ236" i="3"/>
  <c r="AL236" i="3" s="1"/>
  <c r="AQ237" i="3"/>
  <c r="AL237" i="3" s="1"/>
  <c r="AQ238" i="3"/>
  <c r="AL238" i="3" s="1"/>
  <c r="AQ239" i="3"/>
  <c r="AL239" i="3" s="1"/>
  <c r="AQ240" i="3"/>
  <c r="AL240" i="3" s="1"/>
  <c r="AQ212" i="3"/>
  <c r="AL212" i="3" s="1"/>
  <c r="AQ213" i="3"/>
  <c r="AL213" i="3" s="1"/>
  <c r="AQ214" i="3"/>
  <c r="AL214" i="3" s="1"/>
  <c r="AQ215" i="3"/>
  <c r="AL215" i="3" s="1"/>
  <c r="AQ216" i="3"/>
  <c r="AL216" i="3" s="1"/>
  <c r="AQ217" i="3"/>
  <c r="AL217" i="3" s="1"/>
  <c r="AQ218" i="3"/>
  <c r="AL218" i="3" s="1"/>
  <c r="AQ219" i="3"/>
  <c r="AL219" i="3" s="1"/>
  <c r="AQ220" i="3"/>
  <c r="AL220" i="3" s="1"/>
  <c r="AQ221" i="3"/>
  <c r="AL221" i="3" s="1"/>
  <c r="AQ222" i="3"/>
  <c r="AL222" i="3" s="1"/>
  <c r="AQ223" i="3"/>
  <c r="AL223" i="3" s="1"/>
  <c r="AQ224" i="3"/>
  <c r="AL224" i="3" s="1"/>
  <c r="AQ225" i="3"/>
  <c r="AL225" i="3" s="1"/>
  <c r="AQ197" i="3"/>
  <c r="AL197" i="3" s="1"/>
  <c r="AQ198" i="3"/>
  <c r="AL198" i="3" s="1"/>
  <c r="AQ199" i="3"/>
  <c r="AL199" i="3" s="1"/>
  <c r="AQ200" i="3"/>
  <c r="AL200" i="3" s="1"/>
  <c r="AQ201" i="3"/>
  <c r="AL201" i="3" s="1"/>
  <c r="AQ202" i="3"/>
  <c r="AL202" i="3" s="1"/>
  <c r="AQ203" i="3"/>
  <c r="AL203" i="3" s="1"/>
  <c r="AQ204" i="3"/>
  <c r="AL204" i="3" s="1"/>
  <c r="AQ205" i="3"/>
  <c r="AL205" i="3" s="1"/>
  <c r="AQ206" i="3"/>
  <c r="AL206" i="3" s="1"/>
  <c r="AQ207" i="3"/>
  <c r="AL207" i="3" s="1"/>
  <c r="AQ208" i="3"/>
  <c r="AL208" i="3" s="1"/>
  <c r="AQ209" i="3"/>
  <c r="AL209" i="3" s="1"/>
  <c r="AQ210" i="3"/>
  <c r="AL210" i="3" s="1"/>
  <c r="AQ182" i="3"/>
  <c r="AL182" i="3" s="1"/>
  <c r="AQ183" i="3"/>
  <c r="AL183" i="3" s="1"/>
  <c r="AQ184" i="3"/>
  <c r="AL184" i="3" s="1"/>
  <c r="AQ185" i="3"/>
  <c r="AL185" i="3" s="1"/>
  <c r="AQ186" i="3"/>
  <c r="AL186" i="3" s="1"/>
  <c r="AQ187" i="3"/>
  <c r="AL187" i="3" s="1"/>
  <c r="AQ188" i="3"/>
  <c r="AL188" i="3" s="1"/>
  <c r="AQ189" i="3"/>
  <c r="AL189" i="3" s="1"/>
  <c r="AQ190" i="3"/>
  <c r="AL190" i="3" s="1"/>
  <c r="AQ191" i="3"/>
  <c r="AL191" i="3" s="1"/>
  <c r="AQ192" i="3"/>
  <c r="AL192" i="3" s="1"/>
  <c r="AQ193" i="3"/>
  <c r="AL193" i="3" s="1"/>
  <c r="AQ194" i="3"/>
  <c r="AL194" i="3" s="1"/>
  <c r="AQ195" i="3"/>
  <c r="AL195" i="3" s="1"/>
  <c r="AQ167" i="3"/>
  <c r="AL167" i="3" s="1"/>
  <c r="AQ168" i="3"/>
  <c r="AL168" i="3" s="1"/>
  <c r="AQ169" i="3"/>
  <c r="AL169" i="3" s="1"/>
  <c r="AQ170" i="3"/>
  <c r="AL170" i="3" s="1"/>
  <c r="AQ171" i="3"/>
  <c r="AL171" i="3" s="1"/>
  <c r="AQ172" i="3"/>
  <c r="AL172" i="3" s="1"/>
  <c r="AQ173" i="3"/>
  <c r="AL173" i="3" s="1"/>
  <c r="AQ174" i="3"/>
  <c r="AL174" i="3" s="1"/>
  <c r="AQ175" i="3"/>
  <c r="AL175" i="3" s="1"/>
  <c r="AQ176" i="3"/>
  <c r="AL176" i="3" s="1"/>
  <c r="AQ177" i="3"/>
  <c r="AL177" i="3" s="1"/>
  <c r="AQ178" i="3"/>
  <c r="AL178" i="3" s="1"/>
  <c r="AQ179" i="3"/>
  <c r="AL179" i="3" s="1"/>
  <c r="AQ180" i="3"/>
  <c r="AL180" i="3" s="1"/>
  <c r="AQ152" i="3"/>
  <c r="AL152" i="3" s="1"/>
  <c r="AQ153" i="3"/>
  <c r="AL153" i="3" s="1"/>
  <c r="AQ154" i="3"/>
  <c r="AL154" i="3" s="1"/>
  <c r="AQ155" i="3"/>
  <c r="AL155" i="3" s="1"/>
  <c r="AQ156" i="3"/>
  <c r="AL156" i="3" s="1"/>
  <c r="AQ157" i="3"/>
  <c r="AL157" i="3" s="1"/>
  <c r="AQ158" i="3"/>
  <c r="AL158" i="3" s="1"/>
  <c r="AQ159" i="3"/>
  <c r="AL159" i="3" s="1"/>
  <c r="AQ160" i="3"/>
  <c r="AL160" i="3" s="1"/>
  <c r="AQ161" i="3"/>
  <c r="AL161" i="3" s="1"/>
  <c r="AQ162" i="3"/>
  <c r="AL162" i="3" s="1"/>
  <c r="AQ163" i="3"/>
  <c r="AL163" i="3" s="1"/>
  <c r="AQ164" i="3"/>
  <c r="AL164" i="3" s="1"/>
  <c r="AQ165" i="3"/>
  <c r="AL165" i="3" s="1"/>
  <c r="AQ137" i="3"/>
  <c r="AL137" i="3" s="1"/>
  <c r="AQ138" i="3"/>
  <c r="AL138" i="3" s="1"/>
  <c r="AQ139" i="3"/>
  <c r="AL139" i="3" s="1"/>
  <c r="AQ140" i="3"/>
  <c r="AL140" i="3" s="1"/>
  <c r="AQ141" i="3"/>
  <c r="AL141" i="3" s="1"/>
  <c r="AQ142" i="3"/>
  <c r="AL142" i="3" s="1"/>
  <c r="AQ143" i="3"/>
  <c r="AL143" i="3" s="1"/>
  <c r="AQ144" i="3"/>
  <c r="AL144" i="3" s="1"/>
  <c r="AQ145" i="3"/>
  <c r="AL145" i="3" s="1"/>
  <c r="AQ146" i="3"/>
  <c r="AL146" i="3" s="1"/>
  <c r="AQ147" i="3"/>
  <c r="AL147" i="3" s="1"/>
  <c r="AQ148" i="3"/>
  <c r="AL148" i="3" s="1"/>
  <c r="AQ149" i="3"/>
  <c r="AL149" i="3" s="1"/>
  <c r="AQ150" i="3"/>
  <c r="AL150" i="3" s="1"/>
  <c r="AD256" i="3"/>
  <c r="Y166" i="3"/>
  <c r="T166" i="3"/>
  <c r="O166" i="3"/>
  <c r="H148" i="3"/>
  <c r="H147" i="3"/>
  <c r="H268" i="3"/>
  <c r="H267" i="3"/>
  <c r="H253" i="3"/>
  <c r="H193" i="3"/>
  <c r="H192" i="3"/>
  <c r="H191" i="3"/>
  <c r="O226" i="3"/>
  <c r="H239" i="3"/>
  <c r="H238" i="3"/>
  <c r="AQ129" i="3"/>
  <c r="AQ120" i="3"/>
  <c r="AC120" i="3"/>
  <c r="AQ121" i="3"/>
  <c r="AC121" i="3"/>
  <c r="AQ116" i="3"/>
  <c r="AC116" i="3"/>
  <c r="I120" i="3"/>
  <c r="I121" i="3"/>
  <c r="AQ117" i="3"/>
  <c r="AC117" i="3"/>
  <c r="AQ10" i="3"/>
  <c r="AQ11" i="3"/>
  <c r="AQ12" i="3"/>
  <c r="AQ13" i="3"/>
  <c r="AQ14" i="3"/>
  <c r="AQ15" i="3"/>
  <c r="AQ16" i="3"/>
  <c r="AQ17" i="3"/>
  <c r="AQ18" i="3"/>
  <c r="AQ19" i="3"/>
  <c r="AQ20" i="3"/>
  <c r="P20" i="3" s="1"/>
  <c r="AQ21" i="3"/>
  <c r="P21" i="3" s="1"/>
  <c r="AQ22" i="3"/>
  <c r="AQ23" i="3"/>
  <c r="AQ24" i="3"/>
  <c r="AQ25" i="3"/>
  <c r="AQ26" i="3"/>
  <c r="AQ27" i="3"/>
  <c r="AQ28" i="3"/>
  <c r="AQ29" i="3"/>
  <c r="AQ30" i="3"/>
  <c r="AQ31" i="3"/>
  <c r="AQ32" i="3"/>
  <c r="AQ33" i="3"/>
  <c r="AQ34" i="3"/>
  <c r="AQ35" i="3"/>
  <c r="AQ36" i="3"/>
  <c r="AQ37" i="3"/>
  <c r="AQ38" i="3"/>
  <c r="AQ39" i="3"/>
  <c r="AQ40" i="3"/>
  <c r="AQ41" i="3"/>
  <c r="AQ42" i="3"/>
  <c r="AQ43" i="3"/>
  <c r="AQ44" i="3"/>
  <c r="AQ45" i="3"/>
  <c r="AQ46" i="3"/>
  <c r="AQ47" i="3"/>
  <c r="AQ48" i="3"/>
  <c r="AQ49" i="3"/>
  <c r="AQ50" i="3"/>
  <c r="AQ51" i="3"/>
  <c r="AQ52" i="3"/>
  <c r="AQ53" i="3"/>
  <c r="AQ54" i="3"/>
  <c r="AQ55" i="3"/>
  <c r="AQ56" i="3"/>
  <c r="AQ57" i="3"/>
  <c r="AQ58" i="3"/>
  <c r="AQ59" i="3"/>
  <c r="AQ60" i="3"/>
  <c r="AQ61" i="3"/>
  <c r="AQ62" i="3"/>
  <c r="AQ63" i="3"/>
  <c r="AQ64" i="3"/>
  <c r="AQ65" i="3"/>
  <c r="AQ66" i="3"/>
  <c r="AQ67" i="3"/>
  <c r="AQ68" i="3"/>
  <c r="AQ69" i="3"/>
  <c r="AQ70" i="3"/>
  <c r="AQ71" i="3"/>
  <c r="AQ72" i="3"/>
  <c r="AQ73" i="3"/>
  <c r="AQ74" i="3"/>
  <c r="AQ75" i="3"/>
  <c r="AQ76" i="3"/>
  <c r="AQ79" i="3"/>
  <c r="AQ115" i="3"/>
  <c r="Z115" i="3" s="1"/>
  <c r="AQ118" i="3"/>
  <c r="AC118" i="3"/>
  <c r="AQ119" i="3"/>
  <c r="AQ122" i="3"/>
  <c r="AQ125" i="3"/>
  <c r="AL125" i="3" s="1"/>
  <c r="AD125" i="3"/>
  <c r="AQ274" i="3"/>
  <c r="AC274" i="3"/>
  <c r="AQ275" i="3"/>
  <c r="AC275" i="3"/>
  <c r="AQ276" i="3"/>
  <c r="AC276" i="3"/>
  <c r="AQ278" i="3"/>
  <c r="AQ279" i="3"/>
  <c r="AQ283" i="3"/>
  <c r="AQ285" i="3"/>
  <c r="AC285" i="3"/>
  <c r="AQ297" i="3"/>
  <c r="AD298" i="3"/>
  <c r="AQ298" i="3"/>
  <c r="AL298" i="3" s="1"/>
  <c r="AC298" i="3"/>
  <c r="AQ299" i="3"/>
  <c r="AC299" i="3"/>
  <c r="AE292" i="3"/>
  <c r="I116" i="3"/>
  <c r="I117" i="3"/>
  <c r="I118" i="3"/>
  <c r="J125" i="3"/>
  <c r="I274" i="3"/>
  <c r="I275" i="3"/>
  <c r="I276" i="3"/>
  <c r="I285" i="3"/>
  <c r="I298" i="3"/>
  <c r="I299" i="3"/>
  <c r="K292" i="3"/>
  <c r="H294" i="3"/>
  <c r="AQ294" i="3"/>
  <c r="S274" i="3"/>
  <c r="S275" i="3"/>
  <c r="S276" i="3"/>
  <c r="N274" i="3"/>
  <c r="N275" i="3"/>
  <c r="N276" i="3"/>
  <c r="X274" i="3"/>
  <c r="X275" i="3"/>
  <c r="X276" i="3"/>
  <c r="S285" i="3"/>
  <c r="N285" i="3"/>
  <c r="X285" i="3"/>
  <c r="AQ123" i="3"/>
  <c r="S298" i="3"/>
  <c r="N298" i="3"/>
  <c r="X298" i="3"/>
  <c r="AO166" i="3"/>
  <c r="X116" i="3"/>
  <c r="X117" i="3"/>
  <c r="X118" i="3"/>
  <c r="S116" i="3"/>
  <c r="S117" i="3"/>
  <c r="S118" i="3"/>
  <c r="N116" i="3"/>
  <c r="N117" i="3"/>
  <c r="N118" i="3"/>
  <c r="S256" i="3"/>
  <c r="X256" i="3" s="1"/>
  <c r="S241" i="3"/>
  <c r="X241" i="3" s="1"/>
  <c r="S226" i="3"/>
  <c r="X226" i="3" s="1"/>
  <c r="S211" i="3"/>
  <c r="X211" i="3" s="1"/>
  <c r="S196" i="3"/>
  <c r="X196" i="3" s="1"/>
  <c r="N181" i="3"/>
  <c r="S181" i="3" s="1"/>
  <c r="X181" i="3" s="1"/>
  <c r="N166" i="3"/>
  <c r="S166" i="3" s="1"/>
  <c r="X166" i="3" s="1"/>
  <c r="N151" i="3"/>
  <c r="S151" i="3" s="1"/>
  <c r="X151" i="3" s="1"/>
  <c r="Y256" i="3"/>
  <c r="T256" i="3"/>
  <c r="O256" i="3"/>
  <c r="AD241" i="3"/>
  <c r="Y241" i="3"/>
  <c r="T241" i="3"/>
  <c r="O241" i="3"/>
  <c r="AD226" i="3"/>
  <c r="Y226" i="3"/>
  <c r="T226" i="3"/>
  <c r="AD211" i="3"/>
  <c r="Y211" i="3"/>
  <c r="T211" i="3"/>
  <c r="O211" i="3"/>
  <c r="AD196" i="3"/>
  <c r="Y196" i="3"/>
  <c r="T196" i="3"/>
  <c r="O196" i="3"/>
  <c r="AD181" i="3"/>
  <c r="Y181" i="3"/>
  <c r="T181" i="3"/>
  <c r="O181" i="3"/>
  <c r="AD166" i="3"/>
  <c r="AD151" i="3"/>
  <c r="Y151" i="3"/>
  <c r="T151" i="3"/>
  <c r="O151" i="3"/>
  <c r="O136" i="3"/>
  <c r="AD136" i="3"/>
  <c r="Y136" i="3"/>
  <c r="T136" i="3"/>
  <c r="N271" i="3"/>
  <c r="S271" i="3" s="1"/>
  <c r="N135" i="3"/>
  <c r="S135" i="3" s="1"/>
  <c r="O271" i="3"/>
  <c r="O135" i="3"/>
  <c r="X299" i="3"/>
  <c r="S299" i="3"/>
  <c r="N299" i="3"/>
  <c r="H217" i="3"/>
  <c r="H218" i="3"/>
  <c r="H219" i="3"/>
  <c r="H216" i="3"/>
  <c r="H213" i="3"/>
  <c r="H214" i="3"/>
  <c r="H215" i="3"/>
  <c r="H200" i="3"/>
  <c r="H201" i="3"/>
  <c r="H202" i="3"/>
  <c r="H203" i="3"/>
  <c r="H204" i="3"/>
  <c r="H205" i="3"/>
  <c r="H206" i="3"/>
  <c r="H189" i="3"/>
  <c r="H190" i="3"/>
  <c r="H183" i="3"/>
  <c r="H184" i="3"/>
  <c r="H185" i="3"/>
  <c r="H186" i="3"/>
  <c r="H187" i="3"/>
  <c r="H188" i="3"/>
  <c r="AO196" i="3"/>
  <c r="AO226" i="3"/>
  <c r="AO241" i="3"/>
  <c r="AO211" i="3"/>
  <c r="AO256" i="3"/>
  <c r="AO151" i="3"/>
  <c r="AO181" i="3"/>
  <c r="H163" i="3"/>
  <c r="H164" i="3"/>
  <c r="H155" i="3"/>
  <c r="H156" i="3"/>
  <c r="H157" i="3"/>
  <c r="H158" i="3"/>
  <c r="H159" i="3"/>
  <c r="H160" i="3"/>
  <c r="H161" i="3"/>
  <c r="H162" i="3"/>
  <c r="H142" i="3"/>
  <c r="H143" i="3"/>
  <c r="H144" i="3"/>
  <c r="H145" i="3"/>
  <c r="H146" i="3"/>
  <c r="AC126" i="3"/>
  <c r="X126" i="3"/>
  <c r="X121" i="3"/>
  <c r="X120" i="3"/>
  <c r="S126" i="3"/>
  <c r="S121" i="3"/>
  <c r="S120" i="3"/>
  <c r="N126" i="3"/>
  <c r="N121" i="3"/>
  <c r="N120" i="3"/>
  <c r="H8" i="3"/>
  <c r="AQ8" i="3"/>
  <c r="H9" i="3"/>
  <c r="AQ9" i="3"/>
  <c r="H113" i="3"/>
  <c r="AQ113" i="3"/>
  <c r="H114" i="3"/>
  <c r="AQ114" i="3"/>
  <c r="H115" i="3"/>
  <c r="H116" i="3"/>
  <c r="H117" i="3"/>
  <c r="H118" i="3"/>
  <c r="H119" i="3"/>
  <c r="H120" i="3"/>
  <c r="H121" i="3"/>
  <c r="H122" i="3"/>
  <c r="H123" i="3"/>
  <c r="H124" i="3"/>
  <c r="AQ124" i="3"/>
  <c r="H125" i="3"/>
  <c r="T125" i="3"/>
  <c r="Y125" i="3"/>
  <c r="B126" i="3"/>
  <c r="H126" i="3" s="1"/>
  <c r="I126" i="3"/>
  <c r="AQ126" i="3"/>
  <c r="H127" i="3"/>
  <c r="AQ127" i="3"/>
  <c r="H128" i="3"/>
  <c r="AQ128" i="3"/>
  <c r="H129" i="3"/>
  <c r="H130" i="3"/>
  <c r="AQ130" i="3"/>
  <c r="H131" i="3"/>
  <c r="AQ131" i="3"/>
  <c r="H132" i="3"/>
  <c r="AQ132" i="3"/>
  <c r="H133" i="3"/>
  <c r="AQ133" i="3"/>
  <c r="H134" i="3"/>
  <c r="AQ134" i="3"/>
  <c r="H135" i="3"/>
  <c r="AQ135" i="3"/>
  <c r="H136" i="3"/>
  <c r="AQ136" i="3"/>
  <c r="H137" i="3"/>
  <c r="H138" i="3"/>
  <c r="H139" i="3"/>
  <c r="H140" i="3"/>
  <c r="H141" i="3"/>
  <c r="H149" i="3"/>
  <c r="H150" i="3"/>
  <c r="H151" i="3"/>
  <c r="AQ151" i="3"/>
  <c r="H153" i="3"/>
  <c r="H154" i="3"/>
  <c r="H165" i="3"/>
  <c r="H166" i="3"/>
  <c r="AQ166" i="3"/>
  <c r="H167" i="3"/>
  <c r="H168" i="3"/>
  <c r="H169" i="3"/>
  <c r="H170" i="3"/>
  <c r="H171" i="3"/>
  <c r="H172" i="3"/>
  <c r="H173" i="3"/>
  <c r="H174" i="3"/>
  <c r="H175" i="3"/>
  <c r="H176" i="3"/>
  <c r="H177" i="3"/>
  <c r="H178" i="3"/>
  <c r="H179" i="3"/>
  <c r="H180" i="3"/>
  <c r="H181" i="3"/>
  <c r="AQ181" i="3"/>
  <c r="H182" i="3"/>
  <c r="H194" i="3"/>
  <c r="H195" i="3"/>
  <c r="H196" i="3"/>
  <c r="AQ196" i="3"/>
  <c r="H197" i="3"/>
  <c r="H198" i="3"/>
  <c r="H199" i="3"/>
  <c r="H207" i="3"/>
  <c r="H208" i="3"/>
  <c r="H209" i="3"/>
  <c r="H210" i="3"/>
  <c r="H211" i="3"/>
  <c r="AQ211" i="3"/>
  <c r="H212" i="3"/>
  <c r="H220" i="3"/>
  <c r="H221" i="3"/>
  <c r="H222" i="3"/>
  <c r="H223" i="3"/>
  <c r="H224" i="3"/>
  <c r="H225" i="3"/>
  <c r="H226" i="3"/>
  <c r="AQ226" i="3"/>
  <c r="H227" i="3"/>
  <c r="H228" i="3"/>
  <c r="H229" i="3"/>
  <c r="H230" i="3"/>
  <c r="H231" i="3"/>
  <c r="H232" i="3"/>
  <c r="H233" i="3"/>
  <c r="H234" i="3"/>
  <c r="H235" i="3"/>
  <c r="H236" i="3"/>
  <c r="H237" i="3"/>
  <c r="H240" i="3"/>
  <c r="H241" i="3"/>
  <c r="AQ241" i="3"/>
  <c r="H242" i="3"/>
  <c r="H243" i="3"/>
  <c r="H244" i="3"/>
  <c r="H245" i="3"/>
  <c r="H246" i="3"/>
  <c r="H247" i="3"/>
  <c r="H248" i="3"/>
  <c r="H249" i="3"/>
  <c r="H250" i="3"/>
  <c r="H251" i="3"/>
  <c r="H252" i="3"/>
  <c r="H254" i="3"/>
  <c r="H255" i="3"/>
  <c r="H256" i="3"/>
  <c r="AQ256" i="3"/>
  <c r="H257" i="3"/>
  <c r="H258" i="3"/>
  <c r="H259" i="3"/>
  <c r="H260" i="3"/>
  <c r="H261" i="3"/>
  <c r="H262" i="3"/>
  <c r="H263" i="3"/>
  <c r="H264" i="3"/>
  <c r="H265" i="3"/>
  <c r="H266" i="3"/>
  <c r="H269" i="3"/>
  <c r="H270" i="3"/>
  <c r="H271" i="3"/>
  <c r="AQ271" i="3"/>
  <c r="H272" i="3"/>
  <c r="AQ272" i="3"/>
  <c r="AQ273" i="3"/>
  <c r="H274" i="3"/>
  <c r="H275" i="3"/>
  <c r="H276" i="3"/>
  <c r="H277" i="3"/>
  <c r="AQ277" i="3"/>
  <c r="H278" i="3"/>
  <c r="H279" i="3"/>
  <c r="H280" i="3"/>
  <c r="AQ280" i="3"/>
  <c r="H281" i="3"/>
  <c r="AQ281" i="3"/>
  <c r="H282" i="3"/>
  <c r="AQ282" i="3"/>
  <c r="H283" i="3"/>
  <c r="H284" i="3"/>
  <c r="I284" i="3"/>
  <c r="AQ284" i="3"/>
  <c r="N284" i="3"/>
  <c r="S284" i="3"/>
  <c r="X284" i="3"/>
  <c r="AC284" i="3"/>
  <c r="H285" i="3"/>
  <c r="H286" i="3"/>
  <c r="AQ286" i="3"/>
  <c r="H287" i="3"/>
  <c r="AQ287" i="3"/>
  <c r="H288" i="3"/>
  <c r="AQ288" i="3"/>
  <c r="H290" i="3"/>
  <c r="AQ290" i="3"/>
  <c r="H291" i="3"/>
  <c r="AQ291" i="3"/>
  <c r="H292" i="3"/>
  <c r="P292" i="3"/>
  <c r="U292" i="3"/>
  <c r="Z292" i="3"/>
  <c r="AQ292" i="3"/>
  <c r="H293" i="3"/>
  <c r="AQ293" i="3"/>
  <c r="H295" i="3"/>
  <c r="AQ295" i="3"/>
  <c r="H296" i="3"/>
  <c r="AQ296" i="3"/>
  <c r="H297" i="3"/>
  <c r="H298" i="3"/>
  <c r="O298" i="3"/>
  <c r="T298" i="3"/>
  <c r="Y298" i="3"/>
  <c r="H299" i="3"/>
  <c r="H300" i="3"/>
  <c r="AQ300" i="3"/>
  <c r="H301" i="3"/>
  <c r="AQ301" i="3"/>
  <c r="H302" i="3"/>
  <c r="AQ302" i="3"/>
  <c r="H303" i="3"/>
  <c r="AQ303" i="3"/>
  <c r="K19" i="3" l="1"/>
  <c r="P19" i="3"/>
  <c r="K18" i="3"/>
  <c r="P18" i="3"/>
  <c r="K17" i="3"/>
  <c r="P17" i="3"/>
  <c r="P16" i="3"/>
  <c r="K16" i="3"/>
  <c r="AL226" i="3"/>
  <c r="AL241" i="3"/>
  <c r="AL256" i="3"/>
  <c r="S21" i="3"/>
  <c r="U21" i="3" s="1"/>
  <c r="AO113" i="3"/>
  <c r="U115" i="3"/>
  <c r="K69" i="3"/>
  <c r="Z69" i="3"/>
  <c r="P69" i="3"/>
  <c r="U69" i="3"/>
  <c r="Z57" i="3"/>
  <c r="P57" i="3"/>
  <c r="U57" i="3"/>
  <c r="K57" i="3"/>
  <c r="K45" i="3"/>
  <c r="U45" i="3"/>
  <c r="Z45" i="3"/>
  <c r="P45" i="3"/>
  <c r="Z33" i="3"/>
  <c r="K33" i="3"/>
  <c r="U33" i="3"/>
  <c r="P33" i="3"/>
  <c r="K21" i="3"/>
  <c r="AE143" i="3"/>
  <c r="U143" i="3"/>
  <c r="P143" i="3"/>
  <c r="K143" i="3"/>
  <c r="Z143" i="3"/>
  <c r="AE160" i="3"/>
  <c r="U160" i="3"/>
  <c r="P160" i="3"/>
  <c r="K160" i="3"/>
  <c r="Z160" i="3"/>
  <c r="AE177" i="3"/>
  <c r="P177" i="3"/>
  <c r="U177" i="3"/>
  <c r="Z177" i="3"/>
  <c r="K177" i="3"/>
  <c r="AE194" i="3"/>
  <c r="U194" i="3"/>
  <c r="Z194" i="3"/>
  <c r="P194" i="3"/>
  <c r="K194" i="3"/>
  <c r="AE182" i="3"/>
  <c r="K182" i="3"/>
  <c r="Z182" i="3"/>
  <c r="U182" i="3"/>
  <c r="P182" i="3"/>
  <c r="AE199" i="3"/>
  <c r="K199" i="3"/>
  <c r="U199" i="3"/>
  <c r="P199" i="3"/>
  <c r="Z199" i="3"/>
  <c r="AE216" i="3"/>
  <c r="P216" i="3"/>
  <c r="Z216" i="3"/>
  <c r="K216" i="3"/>
  <c r="U216" i="3"/>
  <c r="AE233" i="3"/>
  <c r="Z233" i="3"/>
  <c r="P233" i="3"/>
  <c r="K233" i="3"/>
  <c r="U233" i="3"/>
  <c r="AE250" i="3"/>
  <c r="U250" i="3"/>
  <c r="K250" i="3"/>
  <c r="Z250" i="3"/>
  <c r="P250" i="3"/>
  <c r="AE267" i="3"/>
  <c r="K267" i="3"/>
  <c r="U267" i="3"/>
  <c r="Z267" i="3"/>
  <c r="P267" i="3"/>
  <c r="K24" i="3"/>
  <c r="Z24" i="3"/>
  <c r="U24" i="3"/>
  <c r="P24" i="3"/>
  <c r="AE163" i="3"/>
  <c r="U163" i="3"/>
  <c r="P163" i="3"/>
  <c r="Z163" i="3"/>
  <c r="K163" i="3"/>
  <c r="AE185" i="3"/>
  <c r="U185" i="3"/>
  <c r="Z185" i="3"/>
  <c r="P185" i="3"/>
  <c r="K185" i="3"/>
  <c r="AE236" i="3"/>
  <c r="Z236" i="3"/>
  <c r="K236" i="3"/>
  <c r="U236" i="3"/>
  <c r="P236" i="3"/>
  <c r="AE258" i="3"/>
  <c r="P258" i="3"/>
  <c r="K258" i="3"/>
  <c r="U258" i="3"/>
  <c r="Z258" i="3"/>
  <c r="Z78" i="3"/>
  <c r="P78" i="3"/>
  <c r="K78" i="3"/>
  <c r="U78" i="3"/>
  <c r="Z23" i="3"/>
  <c r="P23" i="3"/>
  <c r="U23" i="3"/>
  <c r="K23" i="3"/>
  <c r="AE162" i="3"/>
  <c r="K162" i="3"/>
  <c r="U162" i="3"/>
  <c r="P162" i="3"/>
  <c r="Z162" i="3"/>
  <c r="AE235" i="3"/>
  <c r="P235" i="3"/>
  <c r="Z235" i="3"/>
  <c r="K235" i="3"/>
  <c r="U235" i="3"/>
  <c r="Z68" i="3"/>
  <c r="U68" i="3"/>
  <c r="K68" i="3"/>
  <c r="P68" i="3"/>
  <c r="U56" i="3"/>
  <c r="P56" i="3"/>
  <c r="K56" i="3"/>
  <c r="Z56" i="3"/>
  <c r="Z44" i="3"/>
  <c r="U44" i="3"/>
  <c r="K44" i="3"/>
  <c r="P44" i="3"/>
  <c r="Z32" i="3"/>
  <c r="U32" i="3"/>
  <c r="K32" i="3"/>
  <c r="P32" i="3"/>
  <c r="U20" i="3"/>
  <c r="Z20" i="3"/>
  <c r="K20" i="3"/>
  <c r="AE142" i="3"/>
  <c r="Z142" i="3"/>
  <c r="K142" i="3"/>
  <c r="U142" i="3"/>
  <c r="P142" i="3"/>
  <c r="AE159" i="3"/>
  <c r="U159" i="3"/>
  <c r="P159" i="3"/>
  <c r="K159" i="3"/>
  <c r="Z159" i="3"/>
  <c r="AE176" i="3"/>
  <c r="U176" i="3"/>
  <c r="Z176" i="3"/>
  <c r="K176" i="3"/>
  <c r="P176" i="3"/>
  <c r="AE193" i="3"/>
  <c r="P193" i="3"/>
  <c r="U193" i="3"/>
  <c r="K193" i="3"/>
  <c r="Z193" i="3"/>
  <c r="AE210" i="3"/>
  <c r="U210" i="3"/>
  <c r="P210" i="3"/>
  <c r="Z210" i="3"/>
  <c r="K210" i="3"/>
  <c r="AE198" i="3"/>
  <c r="Z198" i="3"/>
  <c r="U198" i="3"/>
  <c r="K198" i="3"/>
  <c r="P198" i="3"/>
  <c r="AE215" i="3"/>
  <c r="U215" i="3"/>
  <c r="P215" i="3"/>
  <c r="Z215" i="3"/>
  <c r="K215" i="3"/>
  <c r="AE232" i="3"/>
  <c r="U232" i="3"/>
  <c r="P232" i="3"/>
  <c r="K232" i="3"/>
  <c r="Z232" i="3"/>
  <c r="AE249" i="3"/>
  <c r="P249" i="3"/>
  <c r="Z249" i="3"/>
  <c r="K249" i="3"/>
  <c r="U249" i="3"/>
  <c r="AE266" i="3"/>
  <c r="K266" i="3"/>
  <c r="Z266" i="3"/>
  <c r="U266" i="3"/>
  <c r="P266" i="3"/>
  <c r="Z47" i="3"/>
  <c r="K47" i="3"/>
  <c r="P47" i="3"/>
  <c r="U47" i="3"/>
  <c r="P34" i="3"/>
  <c r="U34" i="3"/>
  <c r="K34" i="3"/>
  <c r="Z34" i="3"/>
  <c r="U67" i="3"/>
  <c r="K67" i="3"/>
  <c r="Z67" i="3"/>
  <c r="P67" i="3"/>
  <c r="Z55" i="3"/>
  <c r="P55" i="3"/>
  <c r="U55" i="3"/>
  <c r="K55" i="3"/>
  <c r="Z43" i="3"/>
  <c r="U43" i="3"/>
  <c r="P43" i="3"/>
  <c r="K43" i="3"/>
  <c r="U31" i="3"/>
  <c r="P31" i="3"/>
  <c r="K31" i="3"/>
  <c r="Z31" i="3"/>
  <c r="U19" i="3"/>
  <c r="Z19" i="3"/>
  <c r="AE141" i="3"/>
  <c r="Z141" i="3"/>
  <c r="P141" i="3"/>
  <c r="U141" i="3"/>
  <c r="K141" i="3"/>
  <c r="AE158" i="3"/>
  <c r="U158" i="3"/>
  <c r="P158" i="3"/>
  <c r="Z158" i="3"/>
  <c r="K158" i="3"/>
  <c r="AE175" i="3"/>
  <c r="K175" i="3"/>
  <c r="U175" i="3"/>
  <c r="P175" i="3"/>
  <c r="Z175" i="3"/>
  <c r="AE192" i="3"/>
  <c r="U192" i="3"/>
  <c r="K192" i="3"/>
  <c r="P192" i="3"/>
  <c r="Z192" i="3"/>
  <c r="AE209" i="3"/>
  <c r="U209" i="3"/>
  <c r="P209" i="3"/>
  <c r="K209" i="3"/>
  <c r="Z209" i="3"/>
  <c r="AE197" i="3"/>
  <c r="Z197" i="3"/>
  <c r="K197" i="3"/>
  <c r="P197" i="3"/>
  <c r="U197" i="3"/>
  <c r="AE214" i="3"/>
  <c r="K214" i="3"/>
  <c r="U214" i="3"/>
  <c r="Z214" i="3"/>
  <c r="P214" i="3"/>
  <c r="AE231" i="3"/>
  <c r="P231" i="3"/>
  <c r="K231" i="3"/>
  <c r="Z231" i="3"/>
  <c r="U231" i="3"/>
  <c r="AE248" i="3"/>
  <c r="K248" i="3"/>
  <c r="Z248" i="3"/>
  <c r="U248" i="3"/>
  <c r="P248" i="3"/>
  <c r="AE265" i="3"/>
  <c r="Z265" i="3"/>
  <c r="K265" i="3"/>
  <c r="U265" i="3"/>
  <c r="P265" i="3"/>
  <c r="K48" i="3"/>
  <c r="P48" i="3"/>
  <c r="Z48" i="3"/>
  <c r="U48" i="3"/>
  <c r="P12" i="3"/>
  <c r="Z12" i="3"/>
  <c r="U12" i="3"/>
  <c r="K12" i="3"/>
  <c r="AE168" i="3"/>
  <c r="P168" i="3"/>
  <c r="Z168" i="3"/>
  <c r="K168" i="3"/>
  <c r="U168" i="3"/>
  <c r="AE202" i="3"/>
  <c r="K202" i="3"/>
  <c r="U202" i="3"/>
  <c r="P202" i="3"/>
  <c r="Z202" i="3"/>
  <c r="AE270" i="3"/>
  <c r="Z270" i="3"/>
  <c r="U270" i="3"/>
  <c r="K270" i="3"/>
  <c r="P270" i="3"/>
  <c r="AE145" i="3"/>
  <c r="Z145" i="3"/>
  <c r="P145" i="3"/>
  <c r="K145" i="3"/>
  <c r="U145" i="3"/>
  <c r="U58" i="3"/>
  <c r="Z58" i="3"/>
  <c r="K58" i="3"/>
  <c r="P58" i="3"/>
  <c r="P10" i="3"/>
  <c r="Z10" i="3"/>
  <c r="U10" i="3"/>
  <c r="K10" i="3"/>
  <c r="AE178" i="3"/>
  <c r="U178" i="3"/>
  <c r="Z178" i="3"/>
  <c r="P178" i="3"/>
  <c r="K178" i="3"/>
  <c r="AE234" i="3"/>
  <c r="K234" i="3"/>
  <c r="U234" i="3"/>
  <c r="Z234" i="3"/>
  <c r="P234" i="3"/>
  <c r="Z66" i="3"/>
  <c r="K66" i="3"/>
  <c r="P66" i="3"/>
  <c r="U66" i="3"/>
  <c r="Z54" i="3"/>
  <c r="K54" i="3"/>
  <c r="P54" i="3"/>
  <c r="U54" i="3"/>
  <c r="Z42" i="3"/>
  <c r="P42" i="3"/>
  <c r="U42" i="3"/>
  <c r="K42" i="3"/>
  <c r="P30" i="3"/>
  <c r="U30" i="3"/>
  <c r="K30" i="3"/>
  <c r="Z30" i="3"/>
  <c r="U18" i="3"/>
  <c r="Z18" i="3"/>
  <c r="AE140" i="3"/>
  <c r="Z140" i="3"/>
  <c r="U140" i="3"/>
  <c r="K140" i="3"/>
  <c r="P140" i="3"/>
  <c r="AE157" i="3"/>
  <c r="K157" i="3"/>
  <c r="P157" i="3"/>
  <c r="Z157" i="3"/>
  <c r="U157" i="3"/>
  <c r="AE174" i="3"/>
  <c r="K174" i="3"/>
  <c r="Z174" i="3"/>
  <c r="P174" i="3"/>
  <c r="U174" i="3"/>
  <c r="AE191" i="3"/>
  <c r="P191" i="3"/>
  <c r="U191" i="3"/>
  <c r="Z191" i="3"/>
  <c r="K191" i="3"/>
  <c r="AE208" i="3"/>
  <c r="U208" i="3"/>
  <c r="K208" i="3"/>
  <c r="P208" i="3"/>
  <c r="Z208" i="3"/>
  <c r="AE225" i="3"/>
  <c r="Z225" i="3"/>
  <c r="K225" i="3"/>
  <c r="U225" i="3"/>
  <c r="P225" i="3"/>
  <c r="AE213" i="3"/>
  <c r="Z213" i="3"/>
  <c r="K213" i="3"/>
  <c r="P213" i="3"/>
  <c r="U213" i="3"/>
  <c r="AE230" i="3"/>
  <c r="K230" i="3"/>
  <c r="U230" i="3"/>
  <c r="P230" i="3"/>
  <c r="Z230" i="3"/>
  <c r="AE247" i="3"/>
  <c r="K247" i="3"/>
  <c r="P247" i="3"/>
  <c r="U247" i="3"/>
  <c r="Z247" i="3"/>
  <c r="AE264" i="3"/>
  <c r="K264" i="3"/>
  <c r="U264" i="3"/>
  <c r="Z264" i="3"/>
  <c r="P264" i="3"/>
  <c r="AE253" i="3"/>
  <c r="K253" i="3"/>
  <c r="U253" i="3"/>
  <c r="P253" i="3"/>
  <c r="Z253" i="3"/>
  <c r="K71" i="3"/>
  <c r="Z71" i="3"/>
  <c r="U71" i="3"/>
  <c r="P71" i="3"/>
  <c r="U79" i="3"/>
  <c r="K79" i="3"/>
  <c r="Z79" i="3"/>
  <c r="P79" i="3"/>
  <c r="U65" i="3"/>
  <c r="Z65" i="3"/>
  <c r="P65" i="3"/>
  <c r="K65" i="3"/>
  <c r="K53" i="3"/>
  <c r="P53" i="3"/>
  <c r="Z53" i="3"/>
  <c r="U53" i="3"/>
  <c r="U41" i="3"/>
  <c r="K41" i="3"/>
  <c r="Z41" i="3"/>
  <c r="P41" i="3"/>
  <c r="P29" i="3"/>
  <c r="U29" i="3"/>
  <c r="Z29" i="3"/>
  <c r="K29" i="3"/>
  <c r="U17" i="3"/>
  <c r="Z17" i="3"/>
  <c r="AE139" i="3"/>
  <c r="P139" i="3"/>
  <c r="U139" i="3"/>
  <c r="Z139" i="3"/>
  <c r="K139" i="3"/>
  <c r="AE156" i="3"/>
  <c r="U156" i="3"/>
  <c r="K156" i="3"/>
  <c r="P156" i="3"/>
  <c r="Z156" i="3"/>
  <c r="AE173" i="3"/>
  <c r="P173" i="3"/>
  <c r="U173" i="3"/>
  <c r="Z173" i="3"/>
  <c r="K173" i="3"/>
  <c r="AE190" i="3"/>
  <c r="K190" i="3"/>
  <c r="P190" i="3"/>
  <c r="Z190" i="3"/>
  <c r="U190" i="3"/>
  <c r="AE207" i="3"/>
  <c r="K207" i="3"/>
  <c r="Z207" i="3"/>
  <c r="U207" i="3"/>
  <c r="P207" i="3"/>
  <c r="AE224" i="3"/>
  <c r="P224" i="3"/>
  <c r="K224" i="3"/>
  <c r="Z224" i="3"/>
  <c r="U224" i="3"/>
  <c r="AE212" i="3"/>
  <c r="K212" i="3"/>
  <c r="Z212" i="3"/>
  <c r="U212" i="3"/>
  <c r="P212" i="3"/>
  <c r="AE229" i="3"/>
  <c r="U229" i="3"/>
  <c r="K229" i="3"/>
  <c r="Z229" i="3"/>
  <c r="P229" i="3"/>
  <c r="AE246" i="3"/>
  <c r="U246" i="3"/>
  <c r="K246" i="3"/>
  <c r="Z246" i="3"/>
  <c r="P246" i="3"/>
  <c r="AE263" i="3"/>
  <c r="P263" i="3"/>
  <c r="K263" i="3"/>
  <c r="Z263" i="3"/>
  <c r="U263" i="3"/>
  <c r="Z36" i="3"/>
  <c r="K36" i="3"/>
  <c r="P36" i="3"/>
  <c r="U36" i="3"/>
  <c r="Z11" i="3"/>
  <c r="P11" i="3"/>
  <c r="K11" i="3"/>
  <c r="U11" i="3"/>
  <c r="AE201" i="3"/>
  <c r="K201" i="3"/>
  <c r="U201" i="3"/>
  <c r="P201" i="3"/>
  <c r="Z201" i="3"/>
  <c r="P46" i="3"/>
  <c r="U46" i="3"/>
  <c r="Z46" i="3"/>
  <c r="K46" i="3"/>
  <c r="AE144" i="3"/>
  <c r="U144" i="3"/>
  <c r="P144" i="3"/>
  <c r="Z144" i="3"/>
  <c r="K144" i="3"/>
  <c r="AE200" i="3"/>
  <c r="K200" i="3"/>
  <c r="Z200" i="3"/>
  <c r="U200" i="3"/>
  <c r="P200" i="3"/>
  <c r="AI299" i="3"/>
  <c r="AL299" i="3" s="1"/>
  <c r="AE298" i="3"/>
  <c r="AD299" i="3" s="1"/>
  <c r="Z298" i="3"/>
  <c r="U298" i="3"/>
  <c r="T299" i="3" s="1"/>
  <c r="P298" i="3"/>
  <c r="O299" i="3" s="1"/>
  <c r="K298" i="3"/>
  <c r="K76" i="3"/>
  <c r="U76" i="3"/>
  <c r="P76" i="3"/>
  <c r="Z76" i="3"/>
  <c r="K64" i="3"/>
  <c r="P64" i="3"/>
  <c r="Z64" i="3"/>
  <c r="U64" i="3"/>
  <c r="K52" i="3"/>
  <c r="Z52" i="3"/>
  <c r="P52" i="3"/>
  <c r="U52" i="3"/>
  <c r="U40" i="3"/>
  <c r="Z40" i="3"/>
  <c r="P40" i="3"/>
  <c r="K40" i="3"/>
  <c r="U28" i="3"/>
  <c r="Z28" i="3"/>
  <c r="P28" i="3"/>
  <c r="K28" i="3"/>
  <c r="U16" i="3"/>
  <c r="Z16" i="3"/>
  <c r="AE150" i="3"/>
  <c r="P150" i="3"/>
  <c r="Z150" i="3"/>
  <c r="K150" i="3"/>
  <c r="U150" i="3"/>
  <c r="AE138" i="3"/>
  <c r="Z138" i="3"/>
  <c r="P138" i="3"/>
  <c r="K138" i="3"/>
  <c r="U138" i="3"/>
  <c r="AE155" i="3"/>
  <c r="P155" i="3"/>
  <c r="Z155" i="3"/>
  <c r="K155" i="3"/>
  <c r="U155" i="3"/>
  <c r="AE172" i="3"/>
  <c r="U172" i="3"/>
  <c r="K172" i="3"/>
  <c r="P172" i="3"/>
  <c r="Z172" i="3"/>
  <c r="AE189" i="3"/>
  <c r="K189" i="3"/>
  <c r="U189" i="3"/>
  <c r="P189" i="3"/>
  <c r="Z189" i="3"/>
  <c r="AE206" i="3"/>
  <c r="P206" i="3"/>
  <c r="K206" i="3"/>
  <c r="Z206" i="3"/>
  <c r="U206" i="3"/>
  <c r="AE223" i="3"/>
  <c r="Z223" i="3"/>
  <c r="K223" i="3"/>
  <c r="P223" i="3"/>
  <c r="U223" i="3"/>
  <c r="AE240" i="3"/>
  <c r="K240" i="3"/>
  <c r="U240" i="3"/>
  <c r="P240" i="3"/>
  <c r="Z240" i="3"/>
  <c r="AE228" i="3"/>
  <c r="U228" i="3"/>
  <c r="K228" i="3"/>
  <c r="P228" i="3"/>
  <c r="Z228" i="3"/>
  <c r="AE245" i="3"/>
  <c r="U245" i="3"/>
  <c r="P245" i="3"/>
  <c r="Z245" i="3"/>
  <c r="K245" i="3"/>
  <c r="AE262" i="3"/>
  <c r="P262" i="3"/>
  <c r="Z262" i="3"/>
  <c r="K262" i="3"/>
  <c r="U262" i="3"/>
  <c r="P72" i="3"/>
  <c r="K72" i="3"/>
  <c r="U72" i="3"/>
  <c r="Z72" i="3"/>
  <c r="AE219" i="3"/>
  <c r="Z219" i="3"/>
  <c r="U219" i="3"/>
  <c r="P219" i="3"/>
  <c r="K219" i="3"/>
  <c r="AE179" i="3"/>
  <c r="P179" i="3"/>
  <c r="Z179" i="3"/>
  <c r="K179" i="3"/>
  <c r="U179" i="3"/>
  <c r="AE218" i="3"/>
  <c r="K218" i="3"/>
  <c r="P218" i="3"/>
  <c r="Z218" i="3"/>
  <c r="U218" i="3"/>
  <c r="AE252" i="3"/>
  <c r="K252" i="3"/>
  <c r="U252" i="3"/>
  <c r="Z252" i="3"/>
  <c r="P252" i="3"/>
  <c r="AE257" i="3"/>
  <c r="U257" i="3"/>
  <c r="K257" i="3"/>
  <c r="P257" i="3"/>
  <c r="Z257" i="3"/>
  <c r="P70" i="3"/>
  <c r="K70" i="3"/>
  <c r="Z70" i="3"/>
  <c r="U70" i="3"/>
  <c r="K22" i="3"/>
  <c r="U22" i="3"/>
  <c r="P22" i="3"/>
  <c r="Z22" i="3"/>
  <c r="AE161" i="3"/>
  <c r="Z161" i="3"/>
  <c r="U161" i="3"/>
  <c r="K161" i="3"/>
  <c r="P161" i="3"/>
  <c r="AE195" i="3"/>
  <c r="K195" i="3"/>
  <c r="Z195" i="3"/>
  <c r="P195" i="3"/>
  <c r="U195" i="3"/>
  <c r="AE217" i="3"/>
  <c r="K217" i="3"/>
  <c r="U217" i="3"/>
  <c r="Z217" i="3"/>
  <c r="P217" i="3"/>
  <c r="AE251" i="3"/>
  <c r="K251" i="3"/>
  <c r="U251" i="3"/>
  <c r="P251" i="3"/>
  <c r="Z251" i="3"/>
  <c r="AE268" i="3"/>
  <c r="K268" i="3"/>
  <c r="P268" i="3"/>
  <c r="Z268" i="3"/>
  <c r="U268" i="3"/>
  <c r="K75" i="3"/>
  <c r="Z75" i="3"/>
  <c r="U75" i="3"/>
  <c r="P75" i="3"/>
  <c r="Z63" i="3"/>
  <c r="K63" i="3"/>
  <c r="U63" i="3"/>
  <c r="P63" i="3"/>
  <c r="Z51" i="3"/>
  <c r="K51" i="3"/>
  <c r="U51" i="3"/>
  <c r="P51" i="3"/>
  <c r="U39" i="3"/>
  <c r="K39" i="3"/>
  <c r="P39" i="3"/>
  <c r="Z39" i="3"/>
  <c r="U27" i="3"/>
  <c r="K27" i="3"/>
  <c r="P27" i="3"/>
  <c r="Z27" i="3"/>
  <c r="U15" i="3"/>
  <c r="P15" i="3"/>
  <c r="K15" i="3"/>
  <c r="Z15" i="3"/>
  <c r="AE149" i="3"/>
  <c r="K149" i="3"/>
  <c r="U149" i="3"/>
  <c r="Z149" i="3"/>
  <c r="P149" i="3"/>
  <c r="AE137" i="3"/>
  <c r="P137" i="3"/>
  <c r="Z137" i="3"/>
  <c r="K137" i="3"/>
  <c r="U137" i="3"/>
  <c r="AE154" i="3"/>
  <c r="Z154" i="3"/>
  <c r="U154" i="3"/>
  <c r="K154" i="3"/>
  <c r="P154" i="3"/>
  <c r="AE171" i="3"/>
  <c r="K171" i="3"/>
  <c r="P171" i="3"/>
  <c r="U171" i="3"/>
  <c r="Z171" i="3"/>
  <c r="AE188" i="3"/>
  <c r="U188" i="3"/>
  <c r="Z188" i="3"/>
  <c r="K188" i="3"/>
  <c r="P188" i="3"/>
  <c r="AE205" i="3"/>
  <c r="P205" i="3"/>
  <c r="Z205" i="3"/>
  <c r="U205" i="3"/>
  <c r="K205" i="3"/>
  <c r="AE222" i="3"/>
  <c r="K222" i="3"/>
  <c r="Z222" i="3"/>
  <c r="P222" i="3"/>
  <c r="U222" i="3"/>
  <c r="AE239" i="3"/>
  <c r="Z239" i="3"/>
  <c r="U239" i="3"/>
  <c r="K239" i="3"/>
  <c r="P239" i="3"/>
  <c r="AE227" i="3"/>
  <c r="K227" i="3"/>
  <c r="U227" i="3"/>
  <c r="Z227" i="3"/>
  <c r="P227" i="3"/>
  <c r="AE244" i="3"/>
  <c r="K244" i="3"/>
  <c r="P244" i="3"/>
  <c r="U244" i="3"/>
  <c r="Z244" i="3"/>
  <c r="AE261" i="3"/>
  <c r="Z261" i="3"/>
  <c r="K261" i="3"/>
  <c r="U261" i="3"/>
  <c r="P261" i="3"/>
  <c r="AE146" i="3"/>
  <c r="P146" i="3"/>
  <c r="K146" i="3"/>
  <c r="U146" i="3"/>
  <c r="Z146" i="3"/>
  <c r="Z59" i="3"/>
  <c r="U59" i="3"/>
  <c r="P59" i="3"/>
  <c r="K59" i="3"/>
  <c r="AE184" i="3"/>
  <c r="Z184" i="3"/>
  <c r="P184" i="3"/>
  <c r="U184" i="3"/>
  <c r="K184" i="3"/>
  <c r="AE269" i="3"/>
  <c r="K269" i="3"/>
  <c r="P269" i="3"/>
  <c r="U269" i="3"/>
  <c r="Z269" i="3"/>
  <c r="Z74" i="3"/>
  <c r="U74" i="3"/>
  <c r="P74" i="3"/>
  <c r="K74" i="3"/>
  <c r="U62" i="3"/>
  <c r="P62" i="3"/>
  <c r="K62" i="3"/>
  <c r="Z62" i="3"/>
  <c r="P50" i="3"/>
  <c r="U50" i="3"/>
  <c r="Z50" i="3"/>
  <c r="K50" i="3"/>
  <c r="U38" i="3"/>
  <c r="P38" i="3"/>
  <c r="Z38" i="3"/>
  <c r="K38" i="3"/>
  <c r="U26" i="3"/>
  <c r="P26" i="3"/>
  <c r="K26" i="3"/>
  <c r="Z26" i="3"/>
  <c r="P14" i="3"/>
  <c r="Z14" i="3"/>
  <c r="K14" i="3"/>
  <c r="U14" i="3"/>
  <c r="AE148" i="3"/>
  <c r="U148" i="3"/>
  <c r="K148" i="3"/>
  <c r="Z148" i="3"/>
  <c r="P148" i="3"/>
  <c r="AE165" i="3"/>
  <c r="Z165" i="3"/>
  <c r="U165" i="3"/>
  <c r="P165" i="3"/>
  <c r="K165" i="3"/>
  <c r="AE153" i="3"/>
  <c r="Z153" i="3"/>
  <c r="P153" i="3"/>
  <c r="U153" i="3"/>
  <c r="K153" i="3"/>
  <c r="AE170" i="3"/>
  <c r="U170" i="3"/>
  <c r="K170" i="3"/>
  <c r="Z170" i="3"/>
  <c r="P170" i="3"/>
  <c r="AE187" i="3"/>
  <c r="K187" i="3"/>
  <c r="P187" i="3"/>
  <c r="U187" i="3"/>
  <c r="Z187" i="3"/>
  <c r="AE204" i="3"/>
  <c r="Z204" i="3"/>
  <c r="K204" i="3"/>
  <c r="P204" i="3"/>
  <c r="U204" i="3"/>
  <c r="AE221" i="3"/>
  <c r="P221" i="3"/>
  <c r="U221" i="3"/>
  <c r="K221" i="3"/>
  <c r="Z221" i="3"/>
  <c r="AE238" i="3"/>
  <c r="P238" i="3"/>
  <c r="U238" i="3"/>
  <c r="K238" i="3"/>
  <c r="Z238" i="3"/>
  <c r="AE255" i="3"/>
  <c r="P255" i="3"/>
  <c r="K255" i="3"/>
  <c r="Z255" i="3"/>
  <c r="U255" i="3"/>
  <c r="AE243" i="3"/>
  <c r="P243" i="3"/>
  <c r="K243" i="3"/>
  <c r="U243" i="3"/>
  <c r="Z243" i="3"/>
  <c r="AE260" i="3"/>
  <c r="K260" i="3"/>
  <c r="Z260" i="3"/>
  <c r="P260" i="3"/>
  <c r="U260" i="3"/>
  <c r="K60" i="3"/>
  <c r="P60" i="3"/>
  <c r="Z60" i="3"/>
  <c r="U60" i="3"/>
  <c r="AE180" i="3"/>
  <c r="P180" i="3"/>
  <c r="U180" i="3"/>
  <c r="K180" i="3"/>
  <c r="Z180" i="3"/>
  <c r="U35" i="3"/>
  <c r="Z35" i="3"/>
  <c r="K35" i="3"/>
  <c r="P35" i="3"/>
  <c r="AE167" i="3"/>
  <c r="P167" i="3"/>
  <c r="K167" i="3"/>
  <c r="Z167" i="3"/>
  <c r="U167" i="3"/>
  <c r="AE183" i="3"/>
  <c r="P183" i="3"/>
  <c r="U183" i="3"/>
  <c r="K183" i="3"/>
  <c r="Z183" i="3"/>
  <c r="Z125" i="3"/>
  <c r="AE125" i="3"/>
  <c r="U125" i="3"/>
  <c r="K73" i="3"/>
  <c r="U73" i="3"/>
  <c r="P73" i="3"/>
  <c r="Z73" i="3"/>
  <c r="U61" i="3"/>
  <c r="K61" i="3"/>
  <c r="P61" i="3"/>
  <c r="Z61" i="3"/>
  <c r="U49" i="3"/>
  <c r="P49" i="3"/>
  <c r="K49" i="3"/>
  <c r="Z49" i="3"/>
  <c r="P37" i="3"/>
  <c r="K37" i="3"/>
  <c r="Z37" i="3"/>
  <c r="U37" i="3"/>
  <c r="K25" i="3"/>
  <c r="Z25" i="3"/>
  <c r="U25" i="3"/>
  <c r="P25" i="3"/>
  <c r="K13" i="3"/>
  <c r="Z13" i="3"/>
  <c r="P13" i="3"/>
  <c r="U13" i="3"/>
  <c r="AE147" i="3"/>
  <c r="U147" i="3"/>
  <c r="P147" i="3"/>
  <c r="K147" i="3"/>
  <c r="Z147" i="3"/>
  <c r="AE164" i="3"/>
  <c r="Z164" i="3"/>
  <c r="U164" i="3"/>
  <c r="P164" i="3"/>
  <c r="K164" i="3"/>
  <c r="AE152" i="3"/>
  <c r="Z152" i="3"/>
  <c r="U152" i="3"/>
  <c r="K152" i="3"/>
  <c r="P152" i="3"/>
  <c r="AE169" i="3"/>
  <c r="P169" i="3"/>
  <c r="U169" i="3"/>
  <c r="Z169" i="3"/>
  <c r="K169" i="3"/>
  <c r="AE186" i="3"/>
  <c r="K186" i="3"/>
  <c r="P186" i="3"/>
  <c r="U186" i="3"/>
  <c r="Z186" i="3"/>
  <c r="AE203" i="3"/>
  <c r="K203" i="3"/>
  <c r="P203" i="3"/>
  <c r="Z203" i="3"/>
  <c r="U203" i="3"/>
  <c r="AE220" i="3"/>
  <c r="Z220" i="3"/>
  <c r="U220" i="3"/>
  <c r="K220" i="3"/>
  <c r="P220" i="3"/>
  <c r="AE237" i="3"/>
  <c r="K237" i="3"/>
  <c r="P237" i="3"/>
  <c r="U237" i="3"/>
  <c r="Z237" i="3"/>
  <c r="AE254" i="3"/>
  <c r="Z254" i="3"/>
  <c r="U254" i="3"/>
  <c r="P254" i="3"/>
  <c r="K254" i="3"/>
  <c r="AE242" i="3"/>
  <c r="U242" i="3"/>
  <c r="P242" i="3"/>
  <c r="K242" i="3"/>
  <c r="Z242" i="3"/>
  <c r="AE259" i="3"/>
  <c r="Z259" i="3"/>
  <c r="U259" i="3"/>
  <c r="P259" i="3"/>
  <c r="K259" i="3"/>
  <c r="K77" i="3"/>
  <c r="U77" i="3"/>
  <c r="Z77" i="3"/>
  <c r="P77" i="3"/>
  <c r="J272" i="3"/>
  <c r="J281" i="3" s="1"/>
  <c r="J303" i="3" s="1"/>
  <c r="U283" i="3"/>
  <c r="AC29" i="3"/>
  <c r="U297" i="3"/>
  <c r="Z283" i="3"/>
  <c r="P115" i="3"/>
  <c r="AL283" i="3"/>
  <c r="Z129" i="3"/>
  <c r="AL115" i="3"/>
  <c r="Z297" i="3"/>
  <c r="P297" i="3"/>
  <c r="AL297" i="3"/>
  <c r="AC53" i="3"/>
  <c r="AH53" i="3" s="1"/>
  <c r="AL53" i="3" s="1"/>
  <c r="AC34" i="3"/>
  <c r="AH34" i="3" s="1"/>
  <c r="AL34" i="3" s="1"/>
  <c r="AC74" i="3"/>
  <c r="AC62" i="3"/>
  <c r="AC50" i="3"/>
  <c r="AC38" i="3"/>
  <c r="AC26" i="3"/>
  <c r="AC14" i="3"/>
  <c r="AH14" i="3" s="1"/>
  <c r="AL14" i="3" s="1"/>
  <c r="AC32" i="3"/>
  <c r="AC73" i="3"/>
  <c r="AH73" i="3" s="1"/>
  <c r="AL73" i="3" s="1"/>
  <c r="AC61" i="3"/>
  <c r="AH61" i="3" s="1"/>
  <c r="AL61" i="3" s="1"/>
  <c r="AC49" i="3"/>
  <c r="AH49" i="3" s="1"/>
  <c r="AL49" i="3" s="1"/>
  <c r="AC37" i="3"/>
  <c r="AC25" i="3"/>
  <c r="AC13" i="3"/>
  <c r="AC36" i="3"/>
  <c r="AC40" i="3"/>
  <c r="AH40" i="3" s="1"/>
  <c r="AL40" i="3" s="1"/>
  <c r="AC75" i="3"/>
  <c r="AH75" i="3" s="1"/>
  <c r="AL75" i="3" s="1"/>
  <c r="AC17" i="3"/>
  <c r="AC151" i="3"/>
  <c r="AH151" i="3"/>
  <c r="AC30" i="3"/>
  <c r="AC166" i="3"/>
  <c r="AH166" i="3"/>
  <c r="AC71" i="3"/>
  <c r="AH71" i="3" s="1"/>
  <c r="AL71" i="3" s="1"/>
  <c r="AC23" i="3"/>
  <c r="AH23" i="3" s="1"/>
  <c r="AL23" i="3" s="1"/>
  <c r="AC59" i="3"/>
  <c r="AH59" i="3" s="1"/>
  <c r="AL59" i="3" s="1"/>
  <c r="AC42" i="3"/>
  <c r="AH42" i="3" s="1"/>
  <c r="AL42" i="3" s="1"/>
  <c r="AC28" i="3"/>
  <c r="AH28" i="3" s="1"/>
  <c r="AL28" i="3" s="1"/>
  <c r="AC35" i="3"/>
  <c r="AC15" i="3"/>
  <c r="AC60" i="3"/>
  <c r="AC181" i="3"/>
  <c r="AH181" i="3"/>
  <c r="AC68" i="3"/>
  <c r="AH68" i="3" s="1"/>
  <c r="AL68" i="3" s="1"/>
  <c r="AC70" i="3"/>
  <c r="AH70" i="3" s="1"/>
  <c r="AL70" i="3" s="1"/>
  <c r="AC46" i="3"/>
  <c r="AH46" i="3" s="1"/>
  <c r="AL46" i="3" s="1"/>
  <c r="AC22" i="3"/>
  <c r="AH22" i="3" s="1"/>
  <c r="AL22" i="3" s="1"/>
  <c r="AC16" i="3"/>
  <c r="AC27" i="3"/>
  <c r="AC196" i="3"/>
  <c r="AH196" i="3"/>
  <c r="AC66" i="3"/>
  <c r="AC18" i="3"/>
  <c r="AC69" i="3"/>
  <c r="AC57" i="3"/>
  <c r="AH57" i="3" s="1"/>
  <c r="AL57" i="3" s="1"/>
  <c r="AC45" i="3"/>
  <c r="AH45" i="3" s="1"/>
  <c r="AL45" i="3" s="1"/>
  <c r="AC33" i="3"/>
  <c r="AH33" i="3" s="1"/>
  <c r="AL33" i="3" s="1"/>
  <c r="AC64" i="3"/>
  <c r="AH64" i="3" s="1"/>
  <c r="AL64" i="3" s="1"/>
  <c r="AC63" i="3"/>
  <c r="AH63" i="3" s="1"/>
  <c r="AL63" i="3" s="1"/>
  <c r="AC78" i="3"/>
  <c r="AH78" i="3" s="1"/>
  <c r="AL78" i="3" s="1"/>
  <c r="AC211" i="3"/>
  <c r="AH211" i="3"/>
  <c r="AC48" i="3"/>
  <c r="AC58" i="3"/>
  <c r="AH58" i="3" s="1"/>
  <c r="AL58" i="3" s="1"/>
  <c r="AC20" i="3"/>
  <c r="AC76" i="3"/>
  <c r="AH76" i="3" s="1"/>
  <c r="AL76" i="3" s="1"/>
  <c r="AC56" i="3"/>
  <c r="AC79" i="3"/>
  <c r="AC67" i="3"/>
  <c r="AC55" i="3"/>
  <c r="AC43" i="3"/>
  <c r="AC31" i="3"/>
  <c r="AH31" i="3" s="1"/>
  <c r="AL31" i="3" s="1"/>
  <c r="AC19" i="3"/>
  <c r="AC12" i="3"/>
  <c r="AC52" i="3"/>
  <c r="AH52" i="3" s="1"/>
  <c r="AL52" i="3" s="1"/>
  <c r="AC24" i="3"/>
  <c r="AC39" i="3"/>
  <c r="AC226" i="3"/>
  <c r="AH226" i="3"/>
  <c r="AC241" i="3"/>
  <c r="AH241" i="3"/>
  <c r="AC72" i="3"/>
  <c r="AH72" i="3" s="1"/>
  <c r="AL72" i="3" s="1"/>
  <c r="AC47" i="3"/>
  <c r="AC54" i="3"/>
  <c r="AC11" i="3"/>
  <c r="AC51" i="3"/>
  <c r="AH51" i="3" s="1"/>
  <c r="AL51" i="3" s="1"/>
  <c r="AC256" i="3"/>
  <c r="AH256" i="3"/>
  <c r="AC44" i="3"/>
  <c r="AC77" i="3"/>
  <c r="AH77" i="3" s="1"/>
  <c r="AL77" i="3" s="1"/>
  <c r="AC65" i="3"/>
  <c r="AC41" i="3"/>
  <c r="AH41" i="3" s="1"/>
  <c r="AL41" i="3" s="1"/>
  <c r="AC10" i="3"/>
  <c r="U129" i="3"/>
  <c r="P129" i="3"/>
  <c r="T135" i="3"/>
  <c r="X135" i="3"/>
  <c r="Y135" i="3"/>
  <c r="T271" i="3"/>
  <c r="O272" i="3"/>
  <c r="O281" i="3" s="1"/>
  <c r="AD272" i="3"/>
  <c r="AD281" i="3" s="1"/>
  <c r="T272" i="3"/>
  <c r="T281" i="3" s="1"/>
  <c r="Y272" i="3"/>
  <c r="Y281" i="3" s="1"/>
  <c r="Y271" i="3"/>
  <c r="X271" i="3"/>
  <c r="AE297" i="3"/>
  <c r="AE115" i="3"/>
  <c r="K283" i="3"/>
  <c r="AE283" i="3"/>
  <c r="K115" i="3"/>
  <c r="K297" i="3"/>
  <c r="K129" i="3"/>
  <c r="P283" i="3"/>
  <c r="L125" i="3" l="1"/>
  <c r="M125" i="3" s="1"/>
  <c r="V125" i="3"/>
  <c r="W125" i="3" s="1"/>
  <c r="AA125" i="3"/>
  <c r="AB125" i="3" s="1"/>
  <c r="Q125" i="3"/>
  <c r="R125" i="3" s="1"/>
  <c r="V121" i="3"/>
  <c r="W121" i="3" s="1"/>
  <c r="Q121" i="3"/>
  <c r="R121" i="3" s="1"/>
  <c r="L121" i="3"/>
  <c r="M121" i="3" s="1"/>
  <c r="Y299" i="3"/>
  <c r="Z299" i="3" s="1"/>
  <c r="Z300" i="3" s="1"/>
  <c r="J299" i="3"/>
  <c r="K299" i="3" s="1"/>
  <c r="AE65" i="3"/>
  <c r="AH65" i="3"/>
  <c r="AL65" i="3" s="1"/>
  <c r="AE44" i="3"/>
  <c r="AH44" i="3"/>
  <c r="AL44" i="3" s="1"/>
  <c r="AE54" i="3"/>
  <c r="AH54" i="3"/>
  <c r="AL54" i="3" s="1"/>
  <c r="AE47" i="3"/>
  <c r="AH47" i="3"/>
  <c r="AL47" i="3" s="1"/>
  <c r="AE39" i="3"/>
  <c r="AH39" i="3"/>
  <c r="AL39" i="3" s="1"/>
  <c r="AE24" i="3"/>
  <c r="AH24" i="3"/>
  <c r="AL24" i="3" s="1"/>
  <c r="AE43" i="3"/>
  <c r="AH43" i="3"/>
  <c r="AL43" i="3" s="1"/>
  <c r="AE55" i="3"/>
  <c r="AH55" i="3"/>
  <c r="AL55" i="3" s="1"/>
  <c r="AE67" i="3"/>
  <c r="AH67" i="3"/>
  <c r="AL67" i="3" s="1"/>
  <c r="AE79" i="3"/>
  <c r="AH79" i="3"/>
  <c r="AL79" i="3" s="1"/>
  <c r="AE56" i="3"/>
  <c r="AH56" i="3"/>
  <c r="AL56" i="3" s="1"/>
  <c r="AE48" i="3"/>
  <c r="AH48" i="3"/>
  <c r="AL48" i="3" s="1"/>
  <c r="AE69" i="3"/>
  <c r="AH69" i="3"/>
  <c r="AL69" i="3" s="1"/>
  <c r="AE66" i="3"/>
  <c r="AH66" i="3"/>
  <c r="AL66" i="3" s="1"/>
  <c r="AE27" i="3"/>
  <c r="AH27" i="3"/>
  <c r="AL27" i="3" s="1"/>
  <c r="AE60" i="3"/>
  <c r="AH60" i="3"/>
  <c r="AL60" i="3" s="1"/>
  <c r="AE35" i="3"/>
  <c r="AH35" i="3"/>
  <c r="AL35" i="3" s="1"/>
  <c r="AE30" i="3"/>
  <c r="AH30" i="3"/>
  <c r="AL30" i="3" s="1"/>
  <c r="AE36" i="3"/>
  <c r="AH36" i="3"/>
  <c r="AL36" i="3" s="1"/>
  <c r="AE25" i="3"/>
  <c r="AH25" i="3"/>
  <c r="AL25" i="3" s="1"/>
  <c r="AE37" i="3"/>
  <c r="AH37" i="3"/>
  <c r="AL37" i="3" s="1"/>
  <c r="AE32" i="3"/>
  <c r="AH32" i="3"/>
  <c r="AL32" i="3" s="1"/>
  <c r="AE26" i="3"/>
  <c r="AH26" i="3"/>
  <c r="AL26" i="3" s="1"/>
  <c r="AE38" i="3"/>
  <c r="AH38" i="3"/>
  <c r="AL38" i="3" s="1"/>
  <c r="AE50" i="3"/>
  <c r="AH50" i="3"/>
  <c r="AL50" i="3" s="1"/>
  <c r="AE62" i="3"/>
  <c r="AH62" i="3"/>
  <c r="AL62" i="3" s="1"/>
  <c r="AE74" i="3"/>
  <c r="AH74" i="3"/>
  <c r="AL74" i="3" s="1"/>
  <c r="AE29" i="3"/>
  <c r="AH29" i="3"/>
  <c r="AL29" i="3" s="1"/>
  <c r="AE13" i="3"/>
  <c r="AH13" i="3"/>
  <c r="AL13" i="3" s="1"/>
  <c r="AE10" i="3"/>
  <c r="AH10" i="3"/>
  <c r="AL10" i="3" s="1"/>
  <c r="AE16" i="3"/>
  <c r="AH16" i="3"/>
  <c r="AL16" i="3" s="1"/>
  <c r="AE20" i="3"/>
  <c r="AH20" i="3"/>
  <c r="AL20" i="3" s="1"/>
  <c r="AE18" i="3"/>
  <c r="AH18" i="3"/>
  <c r="AL18" i="3" s="1"/>
  <c r="AE15" i="3"/>
  <c r="AH15" i="3"/>
  <c r="AL15" i="3" s="1"/>
  <c r="AE17" i="3"/>
  <c r="AH17" i="3"/>
  <c r="AL17" i="3" s="1"/>
  <c r="AE12" i="3"/>
  <c r="AH12" i="3"/>
  <c r="AL12" i="3" s="1"/>
  <c r="AE11" i="3"/>
  <c r="AH11" i="3"/>
  <c r="AL11" i="3" s="1"/>
  <c r="AE19" i="3"/>
  <c r="AH19" i="3"/>
  <c r="AL19" i="3" s="1"/>
  <c r="X21" i="3"/>
  <c r="K125" i="3"/>
  <c r="AP125" i="3" s="1"/>
  <c r="AA117" i="3"/>
  <c r="AB117" i="3" s="1"/>
  <c r="Q117" i="3"/>
  <c r="R117" i="3" s="1"/>
  <c r="O121" i="3"/>
  <c r="P121" i="3" s="1"/>
  <c r="T121" i="3"/>
  <c r="U121" i="3" s="1"/>
  <c r="V117" i="3"/>
  <c r="W117" i="3" s="1"/>
  <c r="J121" i="3"/>
  <c r="L117" i="3"/>
  <c r="M117" i="3" s="1"/>
  <c r="AD303" i="3"/>
  <c r="Y303" i="3"/>
  <c r="T303" i="3"/>
  <c r="O303" i="3"/>
  <c r="AE75" i="3"/>
  <c r="AP75" i="3" s="1"/>
  <c r="AE241" i="3"/>
  <c r="U166" i="3"/>
  <c r="AE61" i="3"/>
  <c r="AP61" i="3" s="1"/>
  <c r="AE23" i="3"/>
  <c r="AP23" i="3" s="1"/>
  <c r="AE46" i="3"/>
  <c r="AP46" i="3" s="1"/>
  <c r="P256" i="3"/>
  <c r="AE33" i="3"/>
  <c r="AP33" i="3" s="1"/>
  <c r="AE42" i="3"/>
  <c r="AP42" i="3" s="1"/>
  <c r="Z241" i="3"/>
  <c r="K241" i="3"/>
  <c r="AE41" i="3"/>
  <c r="AP41" i="3" s="1"/>
  <c r="AE77" i="3"/>
  <c r="AP77" i="3" s="1"/>
  <c r="AE22" i="3"/>
  <c r="AP22" i="3" s="1"/>
  <c r="P241" i="3"/>
  <c r="K166" i="3"/>
  <c r="K226" i="3"/>
  <c r="U256" i="3"/>
  <c r="AE52" i="3"/>
  <c r="AP52" i="3" s="1"/>
  <c r="K196" i="3"/>
  <c r="Z181" i="3"/>
  <c r="P181" i="3"/>
  <c r="U181" i="3"/>
  <c r="U241" i="3"/>
  <c r="P166" i="3"/>
  <c r="AE51" i="3"/>
  <c r="AP51" i="3" s="1"/>
  <c r="AE256" i="3"/>
  <c r="AE76" i="3"/>
  <c r="AP76" i="3" s="1"/>
  <c r="AE71" i="3"/>
  <c r="AP71" i="3" s="1"/>
  <c r="Z196" i="3"/>
  <c r="K181" i="3"/>
  <c r="AE57" i="3"/>
  <c r="AP57" i="3" s="1"/>
  <c r="Z166" i="3"/>
  <c r="AE166" i="3"/>
  <c r="AE59" i="3"/>
  <c r="AP59" i="3" s="1"/>
  <c r="AE226" i="3"/>
  <c r="AE28" i="3"/>
  <c r="AP28" i="3" s="1"/>
  <c r="AE196" i="3"/>
  <c r="AE181" i="3"/>
  <c r="K256" i="3"/>
  <c r="AL166" i="3"/>
  <c r="P211" i="3"/>
  <c r="AL196" i="3"/>
  <c r="AL181" i="3"/>
  <c r="P151" i="3"/>
  <c r="AE70" i="3"/>
  <c r="AP70" i="3" s="1"/>
  <c r="U211" i="3"/>
  <c r="AE58" i="3"/>
  <c r="AP58" i="3" s="1"/>
  <c r="AE31" i="3"/>
  <c r="AP31" i="3" s="1"/>
  <c r="AE78" i="3"/>
  <c r="AP78" i="3" s="1"/>
  <c r="Z226" i="3"/>
  <c r="P196" i="3"/>
  <c r="K151" i="3"/>
  <c r="AE49" i="3"/>
  <c r="AP49" i="3" s="1"/>
  <c r="AE73" i="3"/>
  <c r="AP73" i="3" s="1"/>
  <c r="AE63" i="3"/>
  <c r="AP63" i="3" s="1"/>
  <c r="AE72" i="3"/>
  <c r="AP72" i="3" s="1"/>
  <c r="Z211" i="3"/>
  <c r="AE34" i="3"/>
  <c r="AP34" i="3" s="1"/>
  <c r="K211" i="3"/>
  <c r="AE68" i="3"/>
  <c r="AP68" i="3" s="1"/>
  <c r="AE45" i="3"/>
  <c r="AP45" i="3" s="1"/>
  <c r="U196" i="3"/>
  <c r="U226" i="3"/>
  <c r="U151" i="3"/>
  <c r="Z151" i="3"/>
  <c r="AE40" i="3"/>
  <c r="AP40" i="3" s="1"/>
  <c r="AE64" i="3"/>
  <c r="AP64" i="3" s="1"/>
  <c r="AL211" i="3"/>
  <c r="AE53" i="3"/>
  <c r="AP53" i="3" s="1"/>
  <c r="AL151" i="3"/>
  <c r="AE14" i="3"/>
  <c r="AE211" i="3"/>
  <c r="AE151" i="3"/>
  <c r="P226" i="3"/>
  <c r="Z256" i="3"/>
  <c r="AE299" i="3"/>
  <c r="AE300" i="3" s="1"/>
  <c r="AL300" i="3"/>
  <c r="K136" i="3"/>
  <c r="V124" i="3"/>
  <c r="W124" i="3" s="1"/>
  <c r="Q124" i="3"/>
  <c r="R124" i="3" s="1"/>
  <c r="L124" i="3"/>
  <c r="M124" i="3" s="1"/>
  <c r="AO272" i="3"/>
  <c r="AO281" i="3" s="1"/>
  <c r="AP298" i="3"/>
  <c r="AP262" i="3"/>
  <c r="AP261" i="3"/>
  <c r="AP260" i="3"/>
  <c r="AP246" i="3"/>
  <c r="AP254" i="3"/>
  <c r="AP263" i="3"/>
  <c r="AP269" i="3"/>
  <c r="AP264" i="3"/>
  <c r="AP270" i="3"/>
  <c r="AP258" i="3"/>
  <c r="AP265" i="3"/>
  <c r="AP268" i="3"/>
  <c r="AP267" i="3"/>
  <c r="AP266" i="3"/>
  <c r="AP259" i="3"/>
  <c r="AP257" i="3"/>
  <c r="AP225" i="3"/>
  <c r="AP247" i="3"/>
  <c r="AP244" i="3"/>
  <c r="AP243" i="3"/>
  <c r="AP252" i="3"/>
  <c r="AP255" i="3"/>
  <c r="AP253" i="3"/>
  <c r="AP248" i="3"/>
  <c r="AP245" i="3"/>
  <c r="AP250" i="3"/>
  <c r="AP249" i="3"/>
  <c r="AP251" i="3"/>
  <c r="AP242" i="3"/>
  <c r="AP235" i="3"/>
  <c r="AP228" i="3"/>
  <c r="AP236" i="3"/>
  <c r="AP230" i="3"/>
  <c r="AP229" i="3"/>
  <c r="AP239" i="3"/>
  <c r="AP237" i="3"/>
  <c r="AP240" i="3"/>
  <c r="AP233" i="3"/>
  <c r="AP238" i="3"/>
  <c r="AP231" i="3"/>
  <c r="AP234" i="3"/>
  <c r="AP232" i="3"/>
  <c r="AP227" i="3"/>
  <c r="AP219" i="3"/>
  <c r="AP223" i="3"/>
  <c r="AP215" i="3"/>
  <c r="AP220" i="3"/>
  <c r="AP217" i="3"/>
  <c r="AP221" i="3"/>
  <c r="AP214" i="3"/>
  <c r="AP222" i="3"/>
  <c r="AP213" i="3"/>
  <c r="AP218" i="3"/>
  <c r="AP216" i="3"/>
  <c r="AP224" i="3"/>
  <c r="AP212" i="3"/>
  <c r="AP202" i="3"/>
  <c r="AP209" i="3"/>
  <c r="AP210" i="3"/>
  <c r="AP203" i="3"/>
  <c r="AP206" i="3"/>
  <c r="AP205" i="3"/>
  <c r="AP204" i="3"/>
  <c r="AP200" i="3"/>
  <c r="AP199" i="3"/>
  <c r="AP198" i="3"/>
  <c r="AP207" i="3"/>
  <c r="AP201" i="3"/>
  <c r="AP208" i="3"/>
  <c r="AP189" i="3"/>
  <c r="AP197" i="3"/>
  <c r="AP194" i="3"/>
  <c r="AP185" i="3"/>
  <c r="AP191" i="3"/>
  <c r="AP186" i="3"/>
  <c r="AP183" i="3"/>
  <c r="AP188" i="3"/>
  <c r="AP192" i="3"/>
  <c r="AP195" i="3"/>
  <c r="AP184" i="3"/>
  <c r="AP193" i="3"/>
  <c r="AP190" i="3"/>
  <c r="AP187" i="3"/>
  <c r="AP182" i="3"/>
  <c r="AP175" i="3"/>
  <c r="AP178" i="3"/>
  <c r="AP180" i="3"/>
  <c r="AP172" i="3"/>
  <c r="AP177" i="3"/>
  <c r="AP169" i="3"/>
  <c r="AP171" i="3"/>
  <c r="AP173" i="3"/>
  <c r="AP168" i="3"/>
  <c r="AP174" i="3"/>
  <c r="AP176" i="3"/>
  <c r="AP170" i="3"/>
  <c r="AP179" i="3"/>
  <c r="AP167" i="3"/>
  <c r="AP165" i="3"/>
  <c r="AP164" i="3"/>
  <c r="AP152" i="3"/>
  <c r="AP144" i="3"/>
  <c r="AP142" i="3"/>
  <c r="AP157" i="3"/>
  <c r="AP163" i="3"/>
  <c r="AP150" i="3"/>
  <c r="AP149" i="3"/>
  <c r="AP148" i="3"/>
  <c r="AP154" i="3"/>
  <c r="AP159" i="3"/>
  <c r="AP161" i="3"/>
  <c r="AP160" i="3"/>
  <c r="AP162" i="3"/>
  <c r="AP153" i="3"/>
  <c r="AP158" i="3"/>
  <c r="AP156" i="3"/>
  <c r="AP155" i="3"/>
  <c r="AP145" i="3"/>
  <c r="AP138" i="3"/>
  <c r="AP139" i="3"/>
  <c r="AP146" i="3"/>
  <c r="AP140" i="3"/>
  <c r="AP143" i="3"/>
  <c r="AP147" i="3"/>
  <c r="AP141" i="3"/>
  <c r="AP137" i="3"/>
  <c r="AO136" i="3"/>
  <c r="AL136" i="3"/>
  <c r="AD135" i="3"/>
  <c r="AI135" i="3"/>
  <c r="AH135" i="3"/>
  <c r="AI271" i="3"/>
  <c r="AH271" i="3"/>
  <c r="AC135" i="3"/>
  <c r="Q120" i="3"/>
  <c r="R120" i="3" s="1"/>
  <c r="V120" i="3"/>
  <c r="W120" i="3" s="1"/>
  <c r="L120" i="3"/>
  <c r="M120" i="3" s="1"/>
  <c r="AA116" i="3"/>
  <c r="AB116" i="3" s="1"/>
  <c r="O120" i="3"/>
  <c r="P120" i="3" s="1"/>
  <c r="Q116" i="3"/>
  <c r="R116" i="3" s="1"/>
  <c r="J120" i="3"/>
  <c r="L116" i="3"/>
  <c r="M116" i="3" s="1"/>
  <c r="T120" i="3"/>
  <c r="U120" i="3" s="1"/>
  <c r="V116" i="3"/>
  <c r="W116" i="3" s="1"/>
  <c r="AE136" i="3"/>
  <c r="AD271" i="3"/>
  <c r="AC271" i="3"/>
  <c r="Z136" i="3"/>
  <c r="P136" i="3"/>
  <c r="U136" i="3"/>
  <c r="U113" i="3"/>
  <c r="P113" i="3"/>
  <c r="K113" i="3"/>
  <c r="AM120" i="3" l="1"/>
  <c r="AN120" i="3" s="1"/>
  <c r="O118" i="3"/>
  <c r="P118" i="3" s="1"/>
  <c r="J118" i="3"/>
  <c r="K118" i="3" s="1"/>
  <c r="T118" i="3"/>
  <c r="U118" i="3" s="1"/>
  <c r="AF125" i="3"/>
  <c r="AG125" i="3" s="1"/>
  <c r="AM125" i="3"/>
  <c r="AN125" i="3" s="1"/>
  <c r="T117" i="3"/>
  <c r="U117" i="3" s="1"/>
  <c r="J117" i="3"/>
  <c r="K117" i="3" s="1"/>
  <c r="O117" i="3"/>
  <c r="P117" i="3" s="1"/>
  <c r="AF117" i="3"/>
  <c r="AG117" i="3" s="1"/>
  <c r="AF116" i="3"/>
  <c r="AG116" i="3" s="1"/>
  <c r="AM116" i="3"/>
  <c r="AN116" i="3" s="1"/>
  <c r="AM117" i="3"/>
  <c r="AN117" i="3" s="1"/>
  <c r="AP65" i="3"/>
  <c r="AP69" i="3"/>
  <c r="AP55" i="3"/>
  <c r="AP44" i="3"/>
  <c r="AP25" i="3"/>
  <c r="AP54" i="3"/>
  <c r="AP36" i="3"/>
  <c r="AP43" i="3"/>
  <c r="AP50" i="3"/>
  <c r="AP66" i="3"/>
  <c r="AP62" i="3"/>
  <c r="AP37" i="3"/>
  <c r="AP74" i="3"/>
  <c r="AP27" i="3"/>
  <c r="AP17" i="3"/>
  <c r="AP13" i="3"/>
  <c r="AP26" i="3"/>
  <c r="AP35" i="3"/>
  <c r="AP56" i="3"/>
  <c r="AP39" i="3"/>
  <c r="AP67" i="3"/>
  <c r="AP38" i="3"/>
  <c r="AP30" i="3"/>
  <c r="AP48" i="3"/>
  <c r="AP32" i="3"/>
  <c r="AP60" i="3"/>
  <c r="AP79" i="3"/>
  <c r="AP47" i="3"/>
  <c r="AP20" i="3"/>
  <c r="AP16" i="3"/>
  <c r="AP11" i="3"/>
  <c r="AP12" i="3"/>
  <c r="AP19" i="3"/>
  <c r="AP10" i="3"/>
  <c r="AP18" i="3"/>
  <c r="AP15" i="3"/>
  <c r="N11" i="60"/>
  <c r="N23" i="60"/>
  <c r="N45" i="60"/>
  <c r="N55" i="60"/>
  <c r="N66" i="60"/>
  <c r="N12" i="60"/>
  <c r="N24" i="60"/>
  <c r="N35" i="60"/>
  <c r="N46" i="60"/>
  <c r="N56" i="60"/>
  <c r="N67" i="60"/>
  <c r="N13" i="60"/>
  <c r="N25" i="60"/>
  <c r="N36" i="60"/>
  <c r="N57" i="60"/>
  <c r="N68" i="60"/>
  <c r="N14" i="60"/>
  <c r="N26" i="60"/>
  <c r="N37" i="60"/>
  <c r="N47" i="60"/>
  <c r="N58" i="60"/>
  <c r="N69" i="60"/>
  <c r="N54" i="60"/>
  <c r="N15" i="60"/>
  <c r="N27" i="60"/>
  <c r="N38" i="60"/>
  <c r="N48" i="60"/>
  <c r="N70" i="60"/>
  <c r="N72" i="60"/>
  <c r="N34" i="60"/>
  <c r="N16" i="60"/>
  <c r="N28" i="60"/>
  <c r="N39" i="60"/>
  <c r="N49" i="60"/>
  <c r="N59" i="60"/>
  <c r="N71" i="60"/>
  <c r="N40" i="60"/>
  <c r="N60" i="60"/>
  <c r="N29" i="60"/>
  <c r="N50" i="60"/>
  <c r="N17" i="60"/>
  <c r="N30" i="60"/>
  <c r="N51" i="60"/>
  <c r="N61" i="60"/>
  <c r="N65" i="60"/>
  <c r="N18" i="60"/>
  <c r="N31" i="60"/>
  <c r="N41" i="60"/>
  <c r="N52" i="60"/>
  <c r="N62" i="60"/>
  <c r="N43" i="60"/>
  <c r="N21" i="60"/>
  <c r="N19" i="60"/>
  <c r="N32" i="60"/>
  <c r="N42" i="60"/>
  <c r="N63" i="60"/>
  <c r="N33" i="60"/>
  <c r="N64" i="60"/>
  <c r="N44" i="60"/>
  <c r="N20" i="60"/>
  <c r="N53" i="60"/>
  <c r="N22" i="60"/>
  <c r="AC21" i="3"/>
  <c r="AH21" i="3" s="1"/>
  <c r="AL21" i="3" s="1"/>
  <c r="AI121" i="3" s="1"/>
  <c r="AL121" i="3" s="1"/>
  <c r="Z21" i="3"/>
  <c r="K121" i="3"/>
  <c r="K120" i="3"/>
  <c r="Y116" i="3"/>
  <c r="Z116" i="3" s="1"/>
  <c r="O116" i="3"/>
  <c r="P116" i="3" s="1"/>
  <c r="T116" i="3"/>
  <c r="U116" i="3" s="1"/>
  <c r="AO303" i="3"/>
  <c r="J116" i="3"/>
  <c r="K272" i="3"/>
  <c r="AP14" i="3"/>
  <c r="U272" i="3"/>
  <c r="T274" i="3" s="1"/>
  <c r="U274" i="3" s="1"/>
  <c r="AP24" i="3"/>
  <c r="U299" i="3"/>
  <c r="U300" i="3" s="1"/>
  <c r="P299" i="3"/>
  <c r="P300" i="3" s="1"/>
  <c r="U122" i="3"/>
  <c r="P122" i="3"/>
  <c r="AP29" i="3"/>
  <c r="AP136" i="3"/>
  <c r="AL272" i="3"/>
  <c r="AP166" i="3"/>
  <c r="AP241" i="3"/>
  <c r="Z272" i="3"/>
  <c r="AP211" i="3"/>
  <c r="AE272" i="3"/>
  <c r="P272" i="3"/>
  <c r="AP256" i="3"/>
  <c r="AP196" i="3"/>
  <c r="AP181" i="3"/>
  <c r="AP151" i="3"/>
  <c r="AP226" i="3"/>
  <c r="K300" i="3"/>
  <c r="AM121" i="3" l="1"/>
  <c r="AN121" i="3" s="1"/>
  <c r="AA121" i="3"/>
  <c r="AB121" i="3" s="1"/>
  <c r="Y121" i="3"/>
  <c r="Z121" i="3" s="1"/>
  <c r="U119" i="3"/>
  <c r="P123" i="3"/>
  <c r="O126" i="3" s="1"/>
  <c r="AA124" i="3"/>
  <c r="AB124" i="3" s="1"/>
  <c r="Y118" i="3" s="1"/>
  <c r="Z118" i="3" s="1"/>
  <c r="AM124" i="3"/>
  <c r="AN124" i="3" s="1"/>
  <c r="AI118" i="3" s="1"/>
  <c r="AL118" i="3" s="1"/>
  <c r="AI275" i="3"/>
  <c r="AL275" i="3" s="1"/>
  <c r="Y120" i="3"/>
  <c r="Z120" i="3" s="1"/>
  <c r="AA120" i="3"/>
  <c r="AB120" i="3" s="1"/>
  <c r="Z113" i="3"/>
  <c r="AE21" i="3"/>
  <c r="U123" i="3"/>
  <c r="T126" i="3" s="1"/>
  <c r="K122" i="3"/>
  <c r="K116" i="3"/>
  <c r="P119" i="3"/>
  <c r="AI116" i="3"/>
  <c r="AL116" i="3" s="1"/>
  <c r="AD116" i="3"/>
  <c r="AP299" i="3"/>
  <c r="AP300" i="3" s="1"/>
  <c r="Y275" i="3"/>
  <c r="Z275" i="3" s="1"/>
  <c r="AI274" i="3"/>
  <c r="AL274" i="3" s="1"/>
  <c r="AP272" i="3"/>
  <c r="B309" i="3" s="1"/>
  <c r="Y274" i="3"/>
  <c r="T275" i="3"/>
  <c r="O275" i="3"/>
  <c r="P275" i="3" s="1"/>
  <c r="O274" i="3"/>
  <c r="P274" i="3" s="1"/>
  <c r="J274" i="3"/>
  <c r="K274" i="3" s="1"/>
  <c r="J275" i="3"/>
  <c r="K275" i="3" s="1"/>
  <c r="AD275" i="3"/>
  <c r="AD274" i="3"/>
  <c r="Z122" i="3" l="1"/>
  <c r="Y117" i="3"/>
  <c r="Z117" i="3" s="1"/>
  <c r="AF121" i="3"/>
  <c r="AG121" i="3" s="1"/>
  <c r="AD121" i="3"/>
  <c r="AE121" i="3" s="1"/>
  <c r="AP121" i="3" s="1"/>
  <c r="AF124" i="3"/>
  <c r="AG124" i="3" s="1"/>
  <c r="AD118" i="3" s="1"/>
  <c r="AE118" i="3" s="1"/>
  <c r="AP118" i="3" s="1"/>
  <c r="AE113" i="3"/>
  <c r="AD120" i="3"/>
  <c r="AF120" i="3"/>
  <c r="AL113" i="3"/>
  <c r="AI120" i="3"/>
  <c r="AL120" i="3" s="1"/>
  <c r="Z123" i="3"/>
  <c r="Y126" i="3" s="1"/>
  <c r="Z126" i="3" s="1"/>
  <c r="Z127" i="3" s="1"/>
  <c r="Z128" i="3" s="1"/>
  <c r="Y130" i="3" s="1"/>
  <c r="Z130" i="3" s="1"/>
  <c r="Z131" i="3" s="1"/>
  <c r="AP21" i="3"/>
  <c r="K119" i="3"/>
  <c r="K123" i="3"/>
  <c r="J126" i="3" s="1"/>
  <c r="AE116" i="3"/>
  <c r="AP116" i="3" s="1"/>
  <c r="AE275" i="3"/>
  <c r="AE274" i="3"/>
  <c r="Z274" i="3"/>
  <c r="U275" i="3"/>
  <c r="U126" i="3"/>
  <c r="U127" i="3" s="1"/>
  <c r="U128" i="3" s="1"/>
  <c r="T130" i="3" s="1"/>
  <c r="P126" i="3"/>
  <c r="P127" i="3" s="1"/>
  <c r="P128" i="3" s="1"/>
  <c r="O130" i="3" s="1"/>
  <c r="J276" i="3"/>
  <c r="K276" i="3" s="1"/>
  <c r="K278" i="3" s="1"/>
  <c r="K279" i="3" s="1"/>
  <c r="AL122" i="3" l="1"/>
  <c r="AP113" i="3"/>
  <c r="AG120" i="3"/>
  <c r="AD117" i="3" s="1"/>
  <c r="AI117" i="3"/>
  <c r="AL117" i="3" s="1"/>
  <c r="AL119" i="3" s="1"/>
  <c r="AE120" i="3"/>
  <c r="K126" i="3"/>
  <c r="K127" i="3" s="1"/>
  <c r="K128" i="3" s="1"/>
  <c r="J130" i="3" s="1"/>
  <c r="Y276" i="3"/>
  <c r="T276" i="3"/>
  <c r="AP274" i="3"/>
  <c r="O276" i="3"/>
  <c r="Y284" i="3"/>
  <c r="U130" i="3"/>
  <c r="U131" i="3" s="1"/>
  <c r="P130" i="3"/>
  <c r="P131" i="3" s="1"/>
  <c r="AI276" i="3"/>
  <c r="AP275" i="3"/>
  <c r="AD276" i="3"/>
  <c r="AL276" i="3" l="1"/>
  <c r="AL278" i="3" s="1"/>
  <c r="AL279" i="3" s="1"/>
  <c r="AL123" i="3"/>
  <c r="AE122" i="3"/>
  <c r="AP120" i="3"/>
  <c r="AE117" i="3"/>
  <c r="K130" i="3"/>
  <c r="K131" i="3" s="1"/>
  <c r="K281" i="3" s="1"/>
  <c r="AE276" i="3"/>
  <c r="Z276" i="3"/>
  <c r="Z278" i="3" s="1"/>
  <c r="Z279" i="3" s="1"/>
  <c r="Z281" i="3" s="1"/>
  <c r="U276" i="3"/>
  <c r="U278" i="3" s="1"/>
  <c r="U279" i="3" s="1"/>
  <c r="T285" i="3" s="1"/>
  <c r="Z284" i="3"/>
  <c r="P276" i="3"/>
  <c r="P278" i="3" s="1"/>
  <c r="T284" i="3"/>
  <c r="O284" i="3"/>
  <c r="P284" i="3" s="1"/>
  <c r="J285" i="3"/>
  <c r="AP122" i="3" l="1"/>
  <c r="AP117" i="3"/>
  <c r="AE123" i="3"/>
  <c r="AE119" i="3"/>
  <c r="AI126" i="3"/>
  <c r="AL126" i="3" s="1"/>
  <c r="AL127" i="3" s="1"/>
  <c r="AL128" i="3" s="1"/>
  <c r="K285" i="3"/>
  <c r="U285" i="3"/>
  <c r="AP276" i="3"/>
  <c r="AE278" i="3"/>
  <c r="Y285" i="3"/>
  <c r="U281" i="3"/>
  <c r="U284" i="3"/>
  <c r="P279" i="3"/>
  <c r="P281" i="3" s="1"/>
  <c r="J284" i="3"/>
  <c r="K284" i="3" s="1"/>
  <c r="AP119" i="3" l="1"/>
  <c r="AD126" i="3"/>
  <c r="AP123" i="3"/>
  <c r="U286" i="3"/>
  <c r="U288" i="3" s="1"/>
  <c r="U303" i="3" s="1"/>
  <c r="Z285" i="3"/>
  <c r="Z286" i="3" s="1"/>
  <c r="AP278" i="3"/>
  <c r="B310" i="3" s="1"/>
  <c r="AE279" i="3"/>
  <c r="AD285" i="3" s="1"/>
  <c r="AI285" i="3"/>
  <c r="AL285" i="3" s="1"/>
  <c r="O285" i="3"/>
  <c r="K286" i="3"/>
  <c r="AE126" i="3" l="1"/>
  <c r="Z288" i="3"/>
  <c r="Z303" i="3" s="1"/>
  <c r="K288" i="3"/>
  <c r="K303" i="3" s="1"/>
  <c r="AP279" i="3"/>
  <c r="AE285" i="3"/>
  <c r="P285" i="3"/>
  <c r="P286" i="3" s="1"/>
  <c r="AP126" i="3" l="1"/>
  <c r="AE127" i="3"/>
  <c r="P288" i="3"/>
  <c r="P303" i="3" s="1"/>
  <c r="AP285" i="3"/>
  <c r="AP127" i="3" l="1"/>
  <c r="AE128" i="3"/>
  <c r="AI130" i="3"/>
  <c r="AL130" i="3" s="1"/>
  <c r="AL131" i="3" s="1"/>
  <c r="AD130" i="3" l="1"/>
  <c r="AP128" i="3"/>
  <c r="B311" i="3"/>
  <c r="B312" i="3" s="1"/>
  <c r="C312" i="3" s="1"/>
  <c r="AE130" i="3" l="1"/>
  <c r="AE131" i="3" l="1"/>
  <c r="AP130" i="3"/>
  <c r="AI284" i="3" l="1"/>
  <c r="AL284" i="3" s="1"/>
  <c r="AL281" i="3"/>
  <c r="AE281" i="3"/>
  <c r="AP131" i="3"/>
  <c r="AP281" i="3" s="1"/>
  <c r="B316" i="3" s="1"/>
  <c r="AD284" i="3"/>
  <c r="AE284" i="3" l="1"/>
  <c r="AL286" i="3"/>
  <c r="AL288" i="3" s="1"/>
  <c r="AL303" i="3" s="1"/>
  <c r="AP284" i="3" l="1"/>
  <c r="AP286" i="3" s="1"/>
  <c r="AE286" i="3"/>
  <c r="A324" i="3" l="1"/>
  <c r="B324" i="3" s="1"/>
  <c r="AL287" i="3" s="1"/>
  <c r="AL289" i="3" s="1"/>
  <c r="AL304" i="3" s="1"/>
  <c r="B317" i="3"/>
  <c r="C317" i="3" s="1"/>
  <c r="AE288" i="3"/>
  <c r="Z287" i="3" l="1"/>
  <c r="Z289" i="3" s="1"/>
  <c r="Z304" i="3" s="1"/>
  <c r="AE287" i="3"/>
  <c r="AE289" i="3" s="1"/>
  <c r="AE304" i="3" s="1"/>
  <c r="P287" i="3"/>
  <c r="P289" i="3" s="1"/>
  <c r="P304" i="3" s="1"/>
  <c r="U287" i="3"/>
  <c r="U289" i="3" s="1"/>
  <c r="U304" i="3" s="1"/>
  <c r="C324" i="3"/>
  <c r="K287" i="3"/>
  <c r="AE303" i="3"/>
  <c r="AP288" i="3"/>
  <c r="AP287" i="3" l="1"/>
  <c r="K289" i="3"/>
  <c r="AP303" i="3"/>
  <c r="AP289" i="3" l="1"/>
  <c r="K304" i="3"/>
  <c r="AP30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Hanson, Jennifer T CIV AIR, 2.0</author>
  </authors>
  <commentList>
    <comment ref="A125" authorId="0" shapeId="0" xr:uid="{00000000-0006-0000-0200-000001000000}">
      <text>
        <r>
          <rPr>
            <sz val="9"/>
            <color indexed="81"/>
            <rFont val="Tahoma"/>
            <family val="2"/>
          </rPr>
          <t>This is a placeholder to add a formula for overtime.</t>
        </r>
      </text>
    </comment>
  </commentList>
</comments>
</file>

<file path=xl/sharedStrings.xml><?xml version="1.0" encoding="utf-8"?>
<sst xmlns="http://schemas.openxmlformats.org/spreadsheetml/2006/main" count="1498" uniqueCount="351">
  <si>
    <t>Attachment C1 Instructions</t>
  </si>
  <si>
    <t>Green Cells are Formula Based</t>
  </si>
  <si>
    <t>Yellow Cells require an Input</t>
  </si>
  <si>
    <r>
      <rPr>
        <b/>
        <sz val="12"/>
        <rFont val="Times New Roman"/>
        <family val="1"/>
      </rPr>
      <t xml:space="preserve">Only one workbook shall be prepared </t>
    </r>
    <r>
      <rPr>
        <sz val="12"/>
        <rFont val="Times New Roman"/>
        <family val="1"/>
      </rPr>
      <t>for the entire period of performance (one workbook for each Prime and one for each Subcontractor)</t>
    </r>
  </si>
  <si>
    <r>
      <t xml:space="preserve">The worksheets of the workbook should all be formatted for printing on </t>
    </r>
    <r>
      <rPr>
        <b/>
        <sz val="12"/>
        <rFont val="Times New Roman"/>
        <family val="1"/>
      </rPr>
      <t>letter-size paper, without requiring "adjustments."</t>
    </r>
    <r>
      <rPr>
        <sz val="12"/>
        <rFont val="Times New Roman"/>
        <family val="1"/>
      </rPr>
      <t xml:space="preserve">  It may be formatted for either landscape or portrait.  
DO NOT FORMAT FOR LEGAL SIZE PAPER.</t>
    </r>
  </si>
  <si>
    <t>All cells shall be unprotected and unlocked, with formulae intact to show mathematical operations.</t>
  </si>
  <si>
    <t>All dollar figures shall be carried out no further than two decimal places. (ex $25.50)</t>
  </si>
  <si>
    <t>Instructions for Prime Contractor:</t>
  </si>
  <si>
    <t>Base Year Column</t>
  </si>
  <si>
    <t>Subsequent Year Columns</t>
  </si>
  <si>
    <t>Indirect Rates and Fee Worksheet Instructions</t>
  </si>
  <si>
    <t xml:space="preserve">Enter Prime Contractor's name into cell A3.  </t>
  </si>
  <si>
    <r>
      <t>Fill in all Indirect Rates in the Indirect Rates and Fee Worksheet. These rates will be pulled into the Cost Summary Spreadsheet. E</t>
    </r>
    <r>
      <rPr>
        <b/>
        <sz val="12"/>
        <rFont val="Times New Roman"/>
        <family val="1"/>
      </rPr>
      <t xml:space="preserve">nsure formulas are still intact. </t>
    </r>
  </si>
  <si>
    <t>D</t>
  </si>
  <si>
    <t>E, F, G, H, I</t>
  </si>
  <si>
    <t>Cost Summary Worksheet Instructions</t>
  </si>
  <si>
    <t>A</t>
  </si>
  <si>
    <t>N/A</t>
  </si>
  <si>
    <t>Enter all Prime current or contingent employee names (or the word "Prospective") in Column A on the Cost Summary Worksheet (starting at row 10). If necessary, insert additional rows--but ensure integrity of formulas. Labor categories with more than one person being proposed shall be listed multiple times (one row per employee). For example, if the Contractor proposes four Computer Systems Analysts, then the labor category Computer Systems Analysts shall be listed four times along with their applicable rates and information.</t>
  </si>
  <si>
    <t xml:space="preserve">Use the dropdown in Column B to enter the Labor Category from the RFO that you will be utilizing. By utilizing this drop-down, the minimum realistic rate, as stated in the Minimum Direct Labor Rates worksheet will fill in, in Column H. Please see the RFO for additional guidance regarding the minimum realistic rate.  Note - DO NOT use the drag feature to pull down a labor category to a subsequent row. This will not allow the formulas to work properly. </t>
  </si>
  <si>
    <t>B</t>
  </si>
  <si>
    <t xml:space="preserve">Enter all Prime labor categories in Column C (starting at row 10).  In Column C, the Contractor should insert the title of the labor category it will be utilizing. The Contractor is not required to utilize the Government's labor categories; however, each proposed labor category should appear in the column beside the Government labor category it is comparable to. Please note, in the evaluation the Contractor's proposal will be compared to the RFO with respect to labor categories.  </t>
  </si>
  <si>
    <t>C</t>
  </si>
  <si>
    <t>In Column D, the Contractor shall select "BLS" if Column B is a BLS or CSWF labor category. The Contractor shall select "SCA" if Column B is an SCLS, formally known as SCA of 1965, labor category. This dropdown will allow the escalation formulas in Columns O, T, Y, and AD to calculate properly.</t>
  </si>
  <si>
    <t>Formula Driven  - O, T, Y, AD</t>
  </si>
  <si>
    <t>In Column E, the Contractor shall insert a "K" if the employee will be performing at the Contractor's facility or a "G" if they will be performing in Government spaces, or a "T" if there is a differing OH rate that will be utilized for that specific person.   NOTE - If this procurement has various Govt Site locations (example, WOLF and Pax River), utilize "G" for both locations. A distinction does not need to be made between these sites for evaluation purposes.</t>
  </si>
  <si>
    <t>E</t>
  </si>
  <si>
    <t xml:space="preserve">In Column F, identify the geograpical location of the position for each row. This input shall match the geograpic location for which the Government Labor Category is associated. </t>
  </si>
  <si>
    <t>F</t>
  </si>
  <si>
    <t>In Column G, identify for the specific individual whether their fully burdened rate is calculated using the full-time or part-time fringe rate.  Enter "F" for full-time or "P" for part-time.</t>
  </si>
  <si>
    <t>G</t>
  </si>
  <si>
    <t>In Column I, insert the direct labor rate for each row. If the rate proposed is less than the minimum direct labor rate as included in the Minimun Direct Labor Rates worksheet, the cell will turn red. If this happens for a prospective employee, an explanation should be included in the cost narrative. Note, subsequent rate Columns (N, S, X, and AC) are formula-based and are calculated using the escalation for that year. Ensure formulas are intact.</t>
  </si>
  <si>
    <t>I</t>
  </si>
  <si>
    <t>Formula Driven  - N, S, X, AC</t>
  </si>
  <si>
    <t>In Column J, enter the labor hours for each row. Enter hours for each subsequent year (Columns O, T, Y, and AD).</t>
  </si>
  <si>
    <t>J</t>
  </si>
  <si>
    <t>O, T, Y, AD</t>
  </si>
  <si>
    <r>
      <t xml:space="preserve">This workbook includes hidden columns to assist with the correct application of indirect rates (two columns after each Amount column for each year). If, per accounting practices, you </t>
    </r>
    <r>
      <rPr>
        <b/>
        <sz val="12"/>
        <rFont val="Times New Roman"/>
        <family val="1"/>
      </rPr>
      <t>DO NOT</t>
    </r>
    <r>
      <rPr>
        <sz val="12"/>
        <rFont val="Times New Roman"/>
        <family val="1"/>
      </rPr>
      <t xml:space="preserve"> apply overhead to your fringe rate, you can delete the calculations included in the hidden columns that assist with adding overhead to Fringe. </t>
    </r>
  </si>
  <si>
    <t>Formula Driven - L, M</t>
  </si>
  <si>
    <t>Formula Driven - Q, R, V, W, AA, AB, AF</t>
  </si>
  <si>
    <t>Escalation has been auto-populated based on the RFO. If, in accordance with the RFO, you are utilizing a rate that differs from that which has already been filled in, you may change the value in the cell and provide an explanation in your cost narrative.</t>
  </si>
  <si>
    <r>
      <t xml:space="preserve">For each Subcontractor, enter the employee name (or the word "Prospective"), labor category, BLS or SCA, site, location, F/P, </t>
    </r>
    <r>
      <rPr>
        <b/>
        <sz val="12"/>
        <rFont val="Times New Roman"/>
        <family val="1"/>
      </rPr>
      <t>fully burdened rate</t>
    </r>
    <r>
      <rPr>
        <sz val="12"/>
        <rFont val="Times New Roman"/>
        <family val="1"/>
      </rPr>
      <t xml:space="preserve"> and hours (for all years)</t>
    </r>
  </si>
  <si>
    <t>A, B, D, E, F, G, I, J</t>
  </si>
  <si>
    <t>N, O, S, T, X, Y, AC, AD</t>
  </si>
  <si>
    <t xml:space="preserve">The minimum rate is blacked out in Column H for the subcontractors within the Prime's section. The minimum rate is analyzed at the direct labor rate; however, the rates included for Subcontractors in the Prime's submission will be fully burdened labor rates. </t>
  </si>
  <si>
    <t>H</t>
  </si>
  <si>
    <t xml:space="preserve">Please note, if more space for Subcontractors is needed, the Contractor may add additional rows to accommodate them; however, please be sure to maintain integrity of formulas. If fewer Subcontractors are needed, hide the rows instead of deleting them. </t>
  </si>
  <si>
    <t>Under Other Direct Costs, the Prime Contractor should enter the proposed ODC costs in Columns K, P, U, Z, AE.</t>
  </si>
  <si>
    <t>K</t>
  </si>
  <si>
    <t>P, U, Z, AE</t>
  </si>
  <si>
    <t>Check to ensure the indirects are applied appropriately to ODCs. If the formulas that are utilized do not match your accounting practices, either adjust in the Indirects Rates and Fee tab or adjust the formula and note why changes were made and what specific changes were made in the Attachment C2 - Cost/Price Narrative.</t>
  </si>
  <si>
    <t>In accordance with HTXT.232-9510 PAYMENT OF FIXED FEE, the resultant contract payment of fixed fee will be dollars per hour (based on the total fixed fee divided by the total level of effort in hours).  Cell B324, calculates the fee per hour as required to only two decimal places. The value stated in cell B324 will be used to populate the fee per hour value within HTXT.232-9510. There shall be one fee per hour for the entire TO, meaning all PoPs will earn the same fee per hour. The resultant TO award will include the total fixed fee calculated within the Cost Summary worksheet (cells K287, P287, U287, and AE287) which uses the fee per hour. This ensures that the Contractor is able to earn the full fee if all level of effort (hours) is executed during contract performance and ensures the fee ceiling for CLINs on the resultant TO can be calculated correctly with no errors due to rounding.</t>
  </si>
  <si>
    <t>Fully Burdened Labor Rates Worksheet Instructions</t>
  </si>
  <si>
    <t xml:space="preserve">Enter Prime Contractors's name into cell A3.  </t>
  </si>
  <si>
    <t>Enter employee names (starting at row 10). For Prospective hires, enter the cell reference from Column A of the Cost Summary Worksheet under applicable Prime Contractor or Subcontractor header. If necessary, insert additional rows--but ensure integrity of formulas.</t>
  </si>
  <si>
    <t>Use the dropdown in Column B to enter the Labor Category which matches the Cost Summary Worksheet. Note - the  Labor Category used in B10 of the Cost Summary worksheet should match the Labor Category used in B10 of the Fully Burdened Labor Rates worksheet.</t>
  </si>
  <si>
    <t xml:space="preserve">Enter the Fully Burdened Labor Rate rounded to two decimal places for each year for every employee.
Fully Burdened Labor Rates shall include indirect rates, fee, and subcontractor pass-through costs where applicable. For Subcontractor labor, the fully burdened labor rates shall be inclusive of any pass-through charges (e.g., subcontractor handling, fixed fee on subcontractor labor, etc.) applied by the Prime Contractor. They should not include Fully Burdened Other Direct Costs (ODCs) such as Materials, Travel, and Cost of Money costs. </t>
  </si>
  <si>
    <t>F, I, L, O</t>
  </si>
  <si>
    <t>Enter the labor hours for each year for every employee, ensuring the values match the Cost Summary Worksheet.</t>
  </si>
  <si>
    <t>G, J, M, P</t>
  </si>
  <si>
    <t xml:space="preserve">The Annual Fully Burdened amount by employee is calculated by multiplying the Fully Burdened Labor Rate by the number of hours proposed by year. This should auto calculate. However, if additional rows are added, please ensure the formulas are intact. </t>
  </si>
  <si>
    <t>H, K, N, Q</t>
  </si>
  <si>
    <t>Instructions for Subcontractors:</t>
  </si>
  <si>
    <t>For your (the subcontractor) cost build up, you will utilize the "Prime" section of the Cost Summary worksheet. For all intents and purposes (other than A3) where it says Prime, you can replace "Prime" with subcontractor, or your company name.</t>
  </si>
  <si>
    <t>Enter Prime Contractors's name into cell A3.  
Enter Subcontractor's name into cell A4.</t>
  </si>
  <si>
    <r>
      <rPr>
        <sz val="12"/>
        <color rgb="FF000000"/>
        <rFont val="Times New Roman"/>
      </rPr>
      <t xml:space="preserve">Fill in all indirect rates in the Indirect Rates and Fee Worksheet. These rates will be pulled into the Cost Summary Spreadsheet. </t>
    </r>
    <r>
      <rPr>
        <b/>
        <sz val="12"/>
        <color rgb="FF000000"/>
        <rFont val="Times New Roman"/>
      </rPr>
      <t xml:space="preserve">Ensure formulas remain intact. </t>
    </r>
  </si>
  <si>
    <t>E, F, G, H</t>
  </si>
  <si>
    <t>Enter all Subcontractor employee names (or the word "Prospective") in Column A on the Cost Summary Worksheet (starting at row 10). If necessary, insert additional rows--but ensure integrity of formulas. Labor categories with more than one person being proposed shall be listed multiple times (one row per employee).  For example, if the Contractor proposes four Computer Systems Analysts, then the labor category Computer Systems Analysts shall be listed four times along with their applicable rates and information.</t>
  </si>
  <si>
    <t xml:space="preserve">Use the dropdown in Column B to enter the Labor Category from the RFO that you will be utilizing. By utilizing this dropdown, the minimum realistic rate, as stated in the Minimum Direct Labor Rates worksheet, will fill in, in column H. Please see RFO for additional guidance regarding the minimum realistic rate. </t>
  </si>
  <si>
    <t xml:space="preserve">Enter all Subcontractor labor categories in Column C (starting at row 10).  In Column C, the Contractor should insert the title of the labor category it will be utilizing.  The Contractor is not required to utilize the Government's labor categories, however, each proposed labor category should appear in the column beside the Government labor category it is comparable to. Please note, during evaluation the Contractor's proposal will be compared to the RFO with respect to hours and labor categories.  </t>
  </si>
  <si>
    <t>In Column D, the Contractor shall select "BLS" if Column B is a BLS labor category or "SCA" if Column B is an SCA labor category. This dropdown will allow the escalation formulas in Columns O, T, Y, and AD to calculate properly.</t>
  </si>
  <si>
    <t>In Column E, the Contractor shall insert a "K" if the worker will be performing at the Contractor's facility or a "G" if they will be performing in Government spaces, or a "T" if a differing OH rate will be utilized for that particular person.   NOTE - If this procurement has various Govt Site locations (example, WOLF and Pax River), utilize "G" for both location.  A distinction does not need to be made between these sites for evaluation purposes.</t>
  </si>
  <si>
    <t>In Column I, insert the direct labor rate for each row. If the rate proposed is less than the minimum direct labor rate as included in the Minimun Direct Labor Rates worksheet, the cell will turn red. If this happens for a prospecitive employee, an explanation should be included in your cost narrative. Note, subsequent rate Columns (N, S, X, AC, and AH) are formula-based and are calculated using the escalation for that year. Ensure Formulas are intact.</t>
  </si>
  <si>
    <t>Formula Driven  - N, S, X, AC, AH</t>
  </si>
  <si>
    <r>
      <t xml:space="preserve">This workbook includes hidden columns to assist with the correct application of indirect rates (two columns after each Amount column for each year). If, per accounting practice, you </t>
    </r>
    <r>
      <rPr>
        <b/>
        <sz val="12"/>
        <rFont val="Times New Roman"/>
        <family val="1"/>
      </rPr>
      <t>DO NOT</t>
    </r>
    <r>
      <rPr>
        <sz val="12"/>
        <rFont val="Times New Roman"/>
        <family val="1"/>
      </rPr>
      <t xml:space="preserve"> apply overhead to your fringe rate, you can delete the calculations included in the hidden columns that assist with adding overhead to Fringe. </t>
    </r>
  </si>
  <si>
    <t>Formula Driven - Q, R, V, W, AA, AB, AF, AG</t>
  </si>
  <si>
    <t>N, S, X, AC</t>
  </si>
  <si>
    <t>INDIRECT COST SUMMARY</t>
  </si>
  <si>
    <t xml:space="preserve">Prime Contractor Name: </t>
  </si>
  <si>
    <t xml:space="preserve">Subcontractor Name (if applicable): </t>
  </si>
  <si>
    <t>Indirect Rates (%)</t>
  </si>
  <si>
    <t>Indirect Cost Category</t>
  </si>
  <si>
    <t>Year 1</t>
  </si>
  <si>
    <t>Year 2</t>
  </si>
  <si>
    <t>Year 3</t>
  </si>
  <si>
    <t>Year 4</t>
  </si>
  <si>
    <t>Year 5</t>
  </si>
  <si>
    <t>Year 6</t>
  </si>
  <si>
    <t>Fringe</t>
  </si>
  <si>
    <t>Fringe: Full Time</t>
  </si>
  <si>
    <t>P</t>
  </si>
  <si>
    <t>Fringe: Part Time</t>
  </si>
  <si>
    <t>Overhead*</t>
  </si>
  <si>
    <t>KTR</t>
  </si>
  <si>
    <t>KTR Site OH</t>
  </si>
  <si>
    <t>Gov Site OH</t>
  </si>
  <si>
    <t>T</t>
  </si>
  <si>
    <t>Other Site OH</t>
  </si>
  <si>
    <t>G&amp;A</t>
  </si>
  <si>
    <t>G&amp;A on ODCs</t>
  </si>
  <si>
    <t>Subcontractor Handling</t>
  </si>
  <si>
    <t>Material Handling (on ODC)</t>
  </si>
  <si>
    <t>Material Handling (on sub)</t>
  </si>
  <si>
    <t>SubcontractsHandling</t>
  </si>
  <si>
    <t>Fee</t>
  </si>
  <si>
    <t>Fee on Prime labor</t>
  </si>
  <si>
    <t>Fee on Sub labor</t>
  </si>
  <si>
    <t>*Note, this procurement does not designate any other sites than Government and KTR site. The "Other Site" Overhead option is included in case the Contractor has multiple OH rates beyond Government and KTR site.</t>
  </si>
  <si>
    <t>COST REIMBURSABLE SUMMARY SPREADSHEET</t>
  </si>
  <si>
    <t>BLS Escalation</t>
  </si>
  <si>
    <t>SCLS Escalation</t>
  </si>
  <si>
    <t>Extra columns to apply overhead to Fringe</t>
  </si>
  <si>
    <t>Total for All Years</t>
  </si>
  <si>
    <t>Cost Elements</t>
  </si>
  <si>
    <t>Government Labor Category</t>
  </si>
  <si>
    <t>Proposed Labor Category</t>
  </si>
  <si>
    <t>BLS or SCLS</t>
  </si>
  <si>
    <t>Site (K, G, T)</t>
  </si>
  <si>
    <t>Location</t>
  </si>
  <si>
    <t>F/P</t>
  </si>
  <si>
    <t>Minimum Direct Labor Rate</t>
  </si>
  <si>
    <t>Rate | 1</t>
  </si>
  <si>
    <t>Hours | 1</t>
  </si>
  <si>
    <t>Amount | 1</t>
  </si>
  <si>
    <t>Overhead on Fringe Calc. | 1</t>
  </si>
  <si>
    <t>Fringe Amount | 1</t>
  </si>
  <si>
    <t>Rate | 2</t>
  </si>
  <si>
    <t>Hours | 2</t>
  </si>
  <si>
    <t>Amount | 2</t>
  </si>
  <si>
    <t>Overhead on Fringe Calc. | 2</t>
  </si>
  <si>
    <t>Fringe Amount | 2</t>
  </si>
  <si>
    <t>Rate | 3</t>
  </si>
  <si>
    <t>Hours | 3</t>
  </si>
  <si>
    <t>Amount | 3</t>
  </si>
  <si>
    <t>Overhead on Fringe Calc. | 3</t>
  </si>
  <si>
    <t>Fringe Amount | 3</t>
  </si>
  <si>
    <t>Rate | 4</t>
  </si>
  <si>
    <t>Hours | 4</t>
  </si>
  <si>
    <t>Amount | 4</t>
  </si>
  <si>
    <t>Overhead on Fringe Calc. | 4</t>
  </si>
  <si>
    <t>Fringe Amount | 4</t>
  </si>
  <si>
    <t>Rate | 5</t>
  </si>
  <si>
    <t>Hours | 5</t>
  </si>
  <si>
    <t>Amount | 5</t>
  </si>
  <si>
    <t>Overhead on Fringe Calc. | 5</t>
  </si>
  <si>
    <t>Fringe Amount | 5</t>
  </si>
  <si>
    <t>Rate | 6</t>
  </si>
  <si>
    <t>Hours | 6</t>
  </si>
  <si>
    <t>Hours | 62</t>
  </si>
  <si>
    <t>Hours | 7</t>
  </si>
  <si>
    <t>Amount | 6</t>
  </si>
  <si>
    <t>Overhead on Fringe Calc. | 6</t>
  </si>
  <si>
    <t>Fringe Amount | 6</t>
  </si>
  <si>
    <t>Hours | Total</t>
  </si>
  <si>
    <t>Amount | Total</t>
  </si>
  <si>
    <t>Row</t>
  </si>
  <si>
    <t>Column1</t>
  </si>
  <si>
    <t>Column2</t>
  </si>
  <si>
    <t>Column3</t>
  </si>
  <si>
    <t>Column4</t>
  </si>
  <si>
    <t>Column5</t>
  </si>
  <si>
    <t>Column6</t>
  </si>
  <si>
    <t>Column7</t>
  </si>
  <si>
    <t>Prime Contractor Labor Cost</t>
  </si>
  <si>
    <t>Prime Contractor Direct Labor</t>
  </si>
  <si>
    <t>Employee Name  or Prospective</t>
  </si>
  <si>
    <t>Total Direct Labor Cost</t>
  </si>
  <si>
    <t>Overhead on Fringe Calculation</t>
  </si>
  <si>
    <t>Prime Indirect Labor Cost</t>
  </si>
  <si>
    <t>Base</t>
  </si>
  <si>
    <t xml:space="preserve">Fringe Base KTR Site </t>
  </si>
  <si>
    <t>Fringe Amount</t>
  </si>
  <si>
    <t>Overhead</t>
  </si>
  <si>
    <t>Govt</t>
  </si>
  <si>
    <t>Other</t>
  </si>
  <si>
    <t>Fringe Base Govt Site</t>
  </si>
  <si>
    <t>Subtotal Overhead</t>
  </si>
  <si>
    <t>Fringe Benefits</t>
  </si>
  <si>
    <t>Full Time</t>
  </si>
  <si>
    <t>Part Time</t>
  </si>
  <si>
    <t>Subtotal Fringe Benefits</t>
  </si>
  <si>
    <t>Subtotal</t>
  </si>
  <si>
    <t>Fringe Base Telework</t>
  </si>
  <si>
    <t>Premium</t>
  </si>
  <si>
    <t>Overtime Premium</t>
  </si>
  <si>
    <t>Total Indirect Labor Cost</t>
  </si>
  <si>
    <t>Total Direct and Indirect Labor cost</t>
  </si>
  <si>
    <t>FCCOM</t>
  </si>
  <si>
    <t>Total Prime Contractor Labor Cost</t>
  </si>
  <si>
    <t>Subcontractor Labor Cost</t>
  </si>
  <si>
    <t>Subcontractor (Name)</t>
  </si>
  <si>
    <t>Total proposed subcontractor cost (w/sub fee)</t>
  </si>
  <si>
    <t>Prime contractor pass through (not including prime fee)</t>
  </si>
  <si>
    <t>Handling</t>
  </si>
  <si>
    <t>SubcontractsHandling(SH)</t>
  </si>
  <si>
    <t>Other (if any)</t>
  </si>
  <si>
    <t>Total pass through (not including fee)</t>
  </si>
  <si>
    <t>Total Subcontractor Cost including pass through</t>
  </si>
  <si>
    <t>Total Labor Cost (Prime and Subcontractor Labor)</t>
  </si>
  <si>
    <t xml:space="preserve">Prime Contractor Fee for Prime Contractor Labor </t>
  </si>
  <si>
    <t>Prime Contractor Fee for Subcontractor Labor *</t>
  </si>
  <si>
    <t>Total Fee (for Prime and Subcontractor Labor)</t>
  </si>
  <si>
    <t>Total Fee calculated based on the fee per hour (for Prime and Subcontractor Labor) - TO award will be made using this fee ceiling</t>
  </si>
  <si>
    <t>Total Labor Cost Plus Fixed Fee (CPFF)</t>
  </si>
  <si>
    <t xml:space="preserve">TO Award Total Labor Cost Plus Fixed Fee (CPFF) </t>
  </si>
  <si>
    <t>Other Direct Costs</t>
  </si>
  <si>
    <t xml:space="preserve">Other Direct Costs (ODCs) </t>
  </si>
  <si>
    <t>Travel</t>
  </si>
  <si>
    <t>Field Services</t>
  </si>
  <si>
    <t>Material</t>
  </si>
  <si>
    <t>Any adders to ODCs such as G&amp;A (cost only - no fee)</t>
  </si>
  <si>
    <t>Material Handing (on ODC)</t>
  </si>
  <si>
    <t>Total ODCs</t>
  </si>
  <si>
    <t>Total CPFF all CLINs (Labor and ODCs)</t>
  </si>
  <si>
    <t>TO Award Value Total CPFF all CLINs (Labor and ODCs)</t>
  </si>
  <si>
    <t>Pass Through Analysis - Total for All Years</t>
  </si>
  <si>
    <t>Amount</t>
  </si>
  <si>
    <t>Percent</t>
  </si>
  <si>
    <t>Subcontractor proposed cost and fee</t>
  </si>
  <si>
    <t>Pass Through Amount (not including fee)</t>
  </si>
  <si>
    <t>Total Pass Through Amount (including fee)</t>
  </si>
  <si>
    <t>Fee Analysis - Total for All Years</t>
  </si>
  <si>
    <t>Total Labor Cost (Prime and Sub)</t>
  </si>
  <si>
    <t>Total Fee (Prime and Prime on Sub Labor)</t>
  </si>
  <si>
    <t xml:space="preserve">Fee Per Hour Calculation </t>
  </si>
  <si>
    <t>See instructions tab for more info</t>
  </si>
  <si>
    <t>Step 1</t>
  </si>
  <si>
    <t>Step 2</t>
  </si>
  <si>
    <t>Step 3</t>
  </si>
  <si>
    <t>Fee Per Hour based on "Total Fee ( for Prime and Subcontractor Labor)"  / Total Proposed Labor Hours</t>
  </si>
  <si>
    <t>Fee Per Hour to use in
HTXT.232-9510</t>
  </si>
  <si>
    <t>Fee Ceiling Value</t>
  </si>
  <si>
    <t>FULLY BURDENED LABOR RATES SPREADSHEET</t>
  </si>
  <si>
    <t>Fully Burdened Labor Rates</t>
  </si>
  <si>
    <t>Prime Contractor</t>
  </si>
  <si>
    <t>Govt Labor Category</t>
  </si>
  <si>
    <t>Site</t>
  </si>
  <si>
    <t>BLS/ SCA</t>
  </si>
  <si>
    <t>Regular/ OT</t>
  </si>
  <si>
    <t>Year 1 (Specified in RFO) - N/A</t>
  </si>
  <si>
    <t>Year 1  (Proposed)</t>
  </si>
  <si>
    <t>Year 2 (Specified in RFO) - N/A</t>
  </si>
  <si>
    <t>Year 2 (Proposed)</t>
  </si>
  <si>
    <t>Year 3 (Specified in RFO) - N/A</t>
  </si>
  <si>
    <t>Year 3 (Proposed)</t>
  </si>
  <si>
    <t>Year 4 (Specified in RFO) - N/A</t>
  </si>
  <si>
    <t>Year 4 (Proposed)</t>
  </si>
  <si>
    <t>Year 5 (Specified in RFO) - N/A</t>
  </si>
  <si>
    <t>Year 5 (Proposed)</t>
  </si>
  <si>
    <t>Year 6 (Specified in RFO) - N/A</t>
  </si>
  <si>
    <t>Year 6 (Proposed)</t>
  </si>
  <si>
    <t>Total Specifed in RFO - N/A</t>
  </si>
  <si>
    <t>Total Proposed</t>
  </si>
  <si>
    <t>Check</t>
  </si>
  <si>
    <t>Computer Network Architects, Basic, 15-1241</t>
  </si>
  <si>
    <t>KTR Site</t>
  </si>
  <si>
    <t>St. Inigoes, MD</t>
  </si>
  <si>
    <t>BLS</t>
  </si>
  <si>
    <t>R</t>
  </si>
  <si>
    <t>Computer Network Architects, Intermediate, 15-1241</t>
  </si>
  <si>
    <t>Computer Network Architects, Advanced, 15-1241</t>
  </si>
  <si>
    <t>Computer Programmers, Basic, 15-1251</t>
  </si>
  <si>
    <t>Computer Programmers, Intermediate, 15-1251</t>
  </si>
  <si>
    <t>Computer Programmers, Advanced, 15-1251</t>
  </si>
  <si>
    <t>Computer Systems Analysts, Basic, 15-1211</t>
  </si>
  <si>
    <t>Computer Systems Analysts, Intermediate, 15-1211</t>
  </si>
  <si>
    <t>Computer Systems Analysts, Intermediate, 15-1211, OT</t>
  </si>
  <si>
    <t>Computer Systems Analysts, Advanced, 15-1211</t>
  </si>
  <si>
    <t>Computer Systems Analysts, Advanced, 15-1211, OT</t>
  </si>
  <si>
    <t>Engineers, All Other (Systems Engineer), Junior, 17-2199</t>
  </si>
  <si>
    <t>Engineers, All Other (Systems Engineer), Journeyman, 17-2199</t>
  </si>
  <si>
    <t>Financial Specialists, All Other, Junior, 13-2099</t>
  </si>
  <si>
    <t>Financial Specialists, All Other, Journeyman, 13-2099</t>
  </si>
  <si>
    <t>General and Operations Managers (Program Manager), Journeyman, 11-1021, KEY</t>
  </si>
  <si>
    <t>Govt Site</t>
  </si>
  <si>
    <t>Information Security Analysts, Basic, 15-1212</t>
  </si>
  <si>
    <t>Information Security Analysts, Intermediate, 15-1212</t>
  </si>
  <si>
    <t>Information Security Analysts, Advanced, 15-1212</t>
  </si>
  <si>
    <t>Information Security Analysts, Advanced, 15-1212, KEY</t>
  </si>
  <si>
    <t>Network and Computer Systems Administrators, Basic, 15-1244</t>
  </si>
  <si>
    <t>Network and Computer Systems Administrators, Intermediate, 15-1244</t>
  </si>
  <si>
    <t>Network and Computer Systems Administrators, Advanced, 15-1244</t>
  </si>
  <si>
    <t>Project Management Specialists, Junior, 13-1082</t>
  </si>
  <si>
    <t>Project Management Specialists, Journeyman, 13-1082</t>
  </si>
  <si>
    <t>General Clerk I, 01111, SCA</t>
  </si>
  <si>
    <t>SCA</t>
  </si>
  <si>
    <t>General Clerk II, 01112, SCA</t>
  </si>
  <si>
    <t>General Clerk III, 01113, SCA</t>
  </si>
  <si>
    <t>Total</t>
  </si>
  <si>
    <t>Check to table above</t>
  </si>
  <si>
    <t>Check to Proposed/Year on "Cost Summary" tab</t>
  </si>
  <si>
    <t>N</t>
  </si>
  <si>
    <t>Labor Categories</t>
  </si>
  <si>
    <t>Minimum Direct Labor Rates</t>
  </si>
  <si>
    <t>Composite Rate</t>
  </si>
  <si>
    <t>BLS/SCLS</t>
  </si>
  <si>
    <t>F or P</t>
  </si>
  <si>
    <t>Employee Names First Row</t>
  </si>
  <si>
    <t>Employee Names Last Row</t>
  </si>
  <si>
    <t/>
  </si>
  <si>
    <t>SCLS</t>
  </si>
  <si>
    <t>Subcontractor First Row</t>
  </si>
  <si>
    <t>Subcontractor Second Row</t>
  </si>
  <si>
    <t>Prime</t>
  </si>
  <si>
    <t>Subcontractor Count</t>
  </si>
  <si>
    <t>Subcontractors</t>
  </si>
  <si>
    <t>Labor Category</t>
  </si>
  <si>
    <t>Level</t>
  </si>
  <si>
    <t>Key Personnel</t>
  </si>
  <si>
    <t>BLS SOC Codes</t>
  </si>
  <si>
    <t>SCA Code</t>
  </si>
  <si>
    <t>On-Site/Off-Site</t>
  </si>
  <si>
    <t>Regular / OT</t>
  </si>
  <si>
    <t>Prep description to utilize on Min Rates tab for Dropdown:</t>
  </si>
  <si>
    <t>copy/paste special - remove duplicates - copy/paste this into min rates tab</t>
  </si>
  <si>
    <t>If we have to fill out that separate location column per Emery</t>
  </si>
  <si>
    <t>Computer Network Architects</t>
  </si>
  <si>
    <t>Basic</t>
  </si>
  <si>
    <t>15-1241</t>
  </si>
  <si>
    <t>Off-site</t>
  </si>
  <si>
    <t xml:space="preserve">Regular </t>
  </si>
  <si>
    <t>Intermediate</t>
  </si>
  <si>
    <t>Regular</t>
  </si>
  <si>
    <t>Advanced</t>
  </si>
  <si>
    <t>Computer Programmers</t>
  </si>
  <si>
    <t>15-1251</t>
  </si>
  <si>
    <t>Computer Systems Analysts</t>
  </si>
  <si>
    <t>15-1211</t>
  </si>
  <si>
    <t>OT</t>
  </si>
  <si>
    <t>Engineers, All Other (Systems Engineer)</t>
  </si>
  <si>
    <t>Junior</t>
  </si>
  <si>
    <t>17-2199</t>
  </si>
  <si>
    <t>Journeyman</t>
  </si>
  <si>
    <t>Financial Specialists, All Other</t>
  </si>
  <si>
    <t>13-2099</t>
  </si>
  <si>
    <t>General and Operations Managers (Program Manager)</t>
  </si>
  <si>
    <t>KEY</t>
  </si>
  <si>
    <t>11-1021</t>
  </si>
  <si>
    <t>On-site</t>
  </si>
  <si>
    <t>Information Security Analysts</t>
  </si>
  <si>
    <t>15-1212</t>
  </si>
  <si>
    <t>Network and Computer Systems Administrators</t>
  </si>
  <si>
    <t>15-1244</t>
  </si>
  <si>
    <t>Project Management Specialists</t>
  </si>
  <si>
    <t>13-1082</t>
  </si>
  <si>
    <t>General Clerk I</t>
  </si>
  <si>
    <t>01111</t>
  </si>
  <si>
    <t>General Clerk II</t>
  </si>
  <si>
    <t>01112</t>
  </si>
  <si>
    <t>General Clerk III</t>
  </si>
  <si>
    <t>01113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</si>
</sst>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5" formatCode="&quot;$&quot;#,##0_);\(&quot;$&quot;#,##0\)"/>
    <numFmt numFmtId="7" formatCode="&quot;$&quot;#,##0.00_);\(&quot;$&quot;#,##0.00\)"/>
    <numFmt numFmtId="8" formatCode="&quot;$&quot;#,##0.00_);[Red]\(&quot;$&quot;#,##0.00\)"/>
    <numFmt numFmtId="44" formatCode="_(&quot;$&quot;* #,##0.00_);_(&quot;$&quot;* \(#,##0.00\);_(&quot;$&quot;* &quot;-&quot;??_);_(@_)"/>
    <numFmt numFmtId="43" formatCode="_(* #,##0.00_);_(* \(#,##0.00\);_(* &quot;-&quot;??_);_(@_)"/>
    <numFmt numFmtId="164" formatCode="_(* #,##0_);_(* \(#,##0\);_(* &quot;-&quot;??_);_(@_)"/>
    <numFmt numFmtId="165" formatCode="0.000%"/>
    <numFmt numFmtId="166" formatCode="&quot;$&quot;#,##0"/>
    <numFmt numFmtId="167" formatCode="0.0%"/>
    <numFmt numFmtId="168" formatCode="&quot;$&quot;#,##0.00"/>
    <numFmt numFmtId="169" formatCode="_(* #,##0.0_);_(* \(#,##0.0\);_(* &quot;-&quot;??_);_(@_)"/>
    <numFmt numFmtId="170" formatCode="_(* #,##0.000_);_(* \(#,##0.000\);_(* &quot;-&quot;??_);_(@_)"/>
  </numFmts>
  <fonts count="53">
    <font>
      <sz val="11"/>
      <color theme="1"/>
      <name val="Calibri"/>
      <family val="2"/>
      <scheme val="minor"/>
    </font>
    <font>
      <sz val="11"/>
      <color theme="1"/>
      <name val="Calibri"/>
      <family val="2"/>
      <scheme val="minor"/>
    </font>
    <font>
      <sz val="10"/>
      <name val="Arial"/>
      <family val="2"/>
    </font>
    <font>
      <sz val="12"/>
      <color rgb="FF000000"/>
      <name val="Arial"/>
      <family val="2"/>
    </font>
    <font>
      <sz val="12"/>
      <name val="Arial"/>
      <family val="2"/>
    </font>
    <font>
      <sz val="10"/>
      <name val="MS Sans Serif"/>
    </font>
    <font>
      <sz val="9"/>
      <color indexed="81"/>
      <name val="Tahoma"/>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font>
    <font>
      <sz val="10"/>
      <color theme="1"/>
      <name val="Arial"/>
      <family val="2"/>
    </font>
    <font>
      <sz val="12"/>
      <name val="Times New Roman"/>
      <family val="1"/>
    </font>
    <font>
      <b/>
      <sz val="12"/>
      <name val="Times New Roman"/>
      <family val="1"/>
    </font>
    <font>
      <b/>
      <sz val="11"/>
      <color rgb="FF3F3F3F"/>
      <name val="Calibri"/>
      <family val="2"/>
      <scheme val="minor"/>
    </font>
    <font>
      <sz val="12"/>
      <color theme="1"/>
      <name val="Times New Roman"/>
      <family val="1"/>
    </font>
    <font>
      <b/>
      <sz val="12"/>
      <color theme="1"/>
      <name val="Times New Roman"/>
      <family val="1"/>
    </font>
    <font>
      <sz val="12"/>
      <color rgb="FF000000"/>
      <name val="Times New Roman"/>
      <family val="1"/>
    </font>
    <font>
      <u/>
      <sz val="12"/>
      <name val="Times New Roman"/>
      <family val="1"/>
    </font>
    <font>
      <i/>
      <sz val="12"/>
      <name val="Times New Roman"/>
      <family val="1"/>
    </font>
    <font>
      <sz val="12"/>
      <color theme="0"/>
      <name val="Times New Roman"/>
      <family val="1"/>
    </font>
    <font>
      <b/>
      <sz val="12"/>
      <color theme="0"/>
      <name val="Times New Roman"/>
      <family val="1"/>
    </font>
    <font>
      <sz val="12"/>
      <color theme="1"/>
      <name val="Calibri"/>
      <family val="2"/>
      <scheme val="minor"/>
    </font>
    <font>
      <b/>
      <sz val="12"/>
      <color rgb="FF000000"/>
      <name val="Times New Roman"/>
      <family val="1"/>
    </font>
    <font>
      <i/>
      <sz val="12"/>
      <color theme="1"/>
      <name val="Times New Roman"/>
      <family val="1"/>
    </font>
    <font>
      <sz val="8"/>
      <name val="Calibri"/>
      <family val="2"/>
      <scheme val="minor"/>
    </font>
    <font>
      <b/>
      <sz val="10"/>
      <name val="Arial"/>
      <family val="2"/>
    </font>
    <font>
      <sz val="11"/>
      <name val="Calibri"/>
      <family val="2"/>
      <scheme val="minor"/>
    </font>
    <font>
      <sz val="11"/>
      <color rgb="FF000000"/>
      <name val="Calibri"/>
      <family val="2"/>
      <scheme val="minor"/>
    </font>
    <font>
      <b/>
      <sz val="10"/>
      <name val="Times New Roman"/>
      <family val="1"/>
    </font>
    <font>
      <sz val="12"/>
      <color rgb="FFFF0000"/>
      <name val="Times New Roman"/>
      <family val="1"/>
    </font>
    <font>
      <sz val="11"/>
      <name val="Times New Roman"/>
      <family val="1"/>
    </font>
    <font>
      <sz val="11"/>
      <color theme="1"/>
      <name val="Times New Roman"/>
      <family val="1"/>
    </font>
    <font>
      <b/>
      <sz val="11"/>
      <name val="Times New Roman"/>
      <family val="1"/>
    </font>
    <font>
      <b/>
      <sz val="11"/>
      <color theme="1"/>
      <name val="Times New Roman"/>
      <family val="1"/>
    </font>
    <font>
      <sz val="12"/>
      <color rgb="FF000000"/>
      <name val="Times New Roman"/>
    </font>
    <font>
      <b/>
      <sz val="12"/>
      <color rgb="FF000000"/>
      <name val="Times New Roman"/>
    </font>
    <font>
      <sz val="12"/>
      <name val="Times New Roman"/>
    </font>
  </fonts>
  <fills count="53">
    <fill>
      <patternFill patternType="none"/>
    </fill>
    <fill>
      <patternFill patternType="gray125"/>
    </fill>
    <fill>
      <patternFill patternType="solid">
        <fgColor rgb="FFFFFF99"/>
        <bgColor indexed="64"/>
      </patternFill>
    </fill>
    <fill>
      <patternFill patternType="solid">
        <fgColor rgb="FFCCFFCC"/>
        <bgColor indexed="64"/>
      </patternFill>
    </fill>
    <fill>
      <patternFill patternType="solid">
        <fgColor indexed="2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1"/>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4" tint="0.59999389629810485"/>
        <bgColor indexed="64"/>
      </patternFill>
    </fill>
    <fill>
      <patternFill patternType="solid">
        <fgColor theme="4" tint="0.79998168889431442"/>
        <bgColor theme="4" tint="0.59999389629810485"/>
      </patternFill>
    </fill>
    <fill>
      <patternFill patternType="solid">
        <fgColor theme="4"/>
        <bgColor theme="4"/>
      </patternFill>
    </fill>
    <fill>
      <patternFill patternType="solid">
        <fgColor rgb="FFF2F2F2"/>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59999389629810485"/>
        <bgColor theme="4" tint="0.79998168889431442"/>
      </patternFill>
    </fill>
    <fill>
      <patternFill patternType="solid">
        <fgColor theme="4" tint="0.59999389629810485"/>
        <bgColor rgb="FFDDEBF7"/>
      </patternFill>
    </fill>
    <fill>
      <patternFill patternType="solid">
        <fgColor theme="4" tint="0.79998168889431442"/>
        <bgColor rgb="FFBDD7EE"/>
      </patternFill>
    </fill>
    <fill>
      <patternFill patternType="solid">
        <fgColor theme="4" tint="0.59999389629810485"/>
        <bgColor rgb="FF000000"/>
      </patternFill>
    </fill>
    <fill>
      <patternFill patternType="solid">
        <fgColor theme="0" tint="-0.14999847407452621"/>
        <bgColor theme="4" tint="0.59999389629810485"/>
      </patternFill>
    </fill>
    <fill>
      <patternFill patternType="solid">
        <fgColor theme="0" tint="-0.14999847407452621"/>
        <bgColor rgb="FF000000"/>
      </patternFill>
    </fill>
    <fill>
      <patternFill patternType="solid">
        <fgColor theme="0" tint="-0.14999847407452621"/>
        <bgColor theme="4" tint="0.79998168889431442"/>
      </patternFill>
    </fill>
    <fill>
      <patternFill patternType="solid">
        <fgColor theme="0" tint="-0.14999847407452621"/>
        <bgColor rgb="FFBDD7EE"/>
      </patternFill>
    </fill>
    <fill>
      <patternFill patternType="solid">
        <fgColor theme="0" tint="-0.14999847407452621"/>
        <bgColor indexed="64"/>
      </patternFill>
    </fill>
    <fill>
      <patternFill patternType="solid">
        <fgColor theme="5" tint="0.39997558519241921"/>
        <bgColor indexed="64"/>
      </patternFill>
    </fill>
  </fills>
  <borders count="90">
    <border>
      <left/>
      <right/>
      <top/>
      <bottom/>
      <diagonal/>
    </border>
    <border>
      <left style="medium">
        <color indexed="64"/>
      </left>
      <right style="thin">
        <color indexed="64"/>
      </right>
      <top style="medium">
        <color indexed="64"/>
      </top>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auto="1"/>
      </right>
      <top style="medium">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right/>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style="medium">
        <color indexed="64"/>
      </right>
      <top style="medium">
        <color auto="1"/>
      </top>
      <bottom style="thin">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top style="medium">
        <color auto="1"/>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ck">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medium">
        <color auto="1"/>
      </top>
      <bottom style="thin">
        <color auto="1"/>
      </bottom>
      <diagonal/>
    </border>
    <border>
      <left style="thin">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rgb="FF3F3F3F"/>
      </left>
      <right style="thin">
        <color rgb="FF3F3F3F"/>
      </right>
      <top style="thin">
        <color rgb="FF3F3F3F"/>
      </top>
      <bottom style="thin">
        <color rgb="FF3F3F3F"/>
      </bottom>
      <diagonal/>
    </border>
    <border>
      <left/>
      <right/>
      <top/>
      <bottom style="thick">
        <color theme="0"/>
      </bottom>
      <diagonal/>
    </border>
    <border>
      <left/>
      <right/>
      <top style="thin">
        <color theme="0"/>
      </top>
      <bottom style="thin">
        <color theme="0"/>
      </bottom>
      <diagonal/>
    </border>
    <border>
      <left/>
      <right/>
      <top style="thin">
        <color theme="0"/>
      </top>
      <bottom/>
      <diagonal/>
    </border>
    <border>
      <left style="thin">
        <color theme="0"/>
      </left>
      <right style="thin">
        <color theme="0"/>
      </right>
      <top style="thin">
        <color theme="0"/>
      </top>
      <bottom style="thin">
        <color indexed="64"/>
      </bottom>
      <diagonal/>
    </border>
    <border>
      <left/>
      <right style="thin">
        <color indexed="64"/>
      </right>
      <top/>
      <bottom/>
      <diagonal/>
    </border>
    <border>
      <left style="thin">
        <color indexed="64"/>
      </left>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auto="1"/>
      </top>
      <bottom style="thin">
        <color auto="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medium">
        <color auto="1"/>
      </left>
      <right style="medium">
        <color auto="1"/>
      </right>
      <top style="thin">
        <color indexed="64"/>
      </top>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thin">
        <color theme="0"/>
      </left>
      <right style="thin">
        <color theme="0"/>
      </right>
      <top/>
      <bottom style="thin">
        <color theme="0"/>
      </bottom>
      <diagonal/>
    </border>
    <border>
      <left style="thin">
        <color indexed="64"/>
      </left>
      <right/>
      <top/>
      <bottom style="medium">
        <color indexed="64"/>
      </bottom>
      <diagonal/>
    </border>
    <border>
      <left style="thin">
        <color indexed="64"/>
      </left>
      <right/>
      <top style="thin">
        <color indexed="64"/>
      </top>
      <bottom/>
      <diagonal/>
    </border>
  </borders>
  <cellStyleXfs count="129">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1" fillId="0" borderId="0"/>
    <xf numFmtId="0" fontId="3" fillId="0" borderId="0"/>
    <xf numFmtId="5" fontId="4" fillId="0" borderId="0" applyFont="0" applyFill="0" applyBorder="0" applyAlignment="0">
      <protection locked="0"/>
    </xf>
    <xf numFmtId="0" fontId="1" fillId="0" borderId="0"/>
    <xf numFmtId="44" fontId="1" fillId="0" borderId="0" applyFont="0" applyFill="0" applyBorder="0" applyAlignment="0" applyProtection="0"/>
    <xf numFmtId="0" fontId="5" fillId="0" borderId="0"/>
    <xf numFmtId="9" fontId="2" fillId="0" borderId="0" applyFont="0" applyFill="0" applyBorder="0" applyAlignment="0" applyProtection="0"/>
    <xf numFmtId="0" fontId="1" fillId="0" borderId="0"/>
    <xf numFmtId="0" fontId="7" fillId="0" borderId="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5" borderId="0" applyNumberFormat="0" applyBorder="0" applyAlignment="0" applyProtection="0"/>
    <xf numFmtId="0" fontId="8" fillId="18" borderId="0" applyNumberFormat="0" applyBorder="0" applyAlignment="0" applyProtection="0"/>
    <xf numFmtId="0" fontId="8" fillId="21" borderId="0" applyNumberFormat="0" applyBorder="0" applyAlignment="0" applyProtection="0"/>
    <xf numFmtId="0" fontId="9" fillId="22"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9" borderId="0" applyNumberFormat="0" applyBorder="0" applyAlignment="0" applyProtection="0"/>
    <xf numFmtId="0" fontId="10" fillId="13" borderId="0" applyNumberFormat="0" applyBorder="0" applyAlignment="0" applyProtection="0"/>
    <xf numFmtId="0" fontId="11" fillId="30" borderId="43" applyNumberFormat="0" applyAlignment="0" applyProtection="0"/>
    <xf numFmtId="0" fontId="11" fillId="30" borderId="43" applyNumberFormat="0" applyAlignment="0" applyProtection="0"/>
    <xf numFmtId="0" fontId="11" fillId="30" borderId="43" applyNumberFormat="0" applyAlignment="0" applyProtection="0"/>
    <xf numFmtId="0" fontId="12" fillId="31" borderId="44" applyNumberFormat="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5"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0" fontId="13" fillId="0" borderId="0" applyNumberFormat="0" applyFill="0" applyBorder="0" applyAlignment="0" applyProtection="0"/>
    <xf numFmtId="0" fontId="14" fillId="14" borderId="0" applyNumberFormat="0" applyBorder="0" applyAlignment="0" applyProtection="0"/>
    <xf numFmtId="0" fontId="15" fillId="0" borderId="45" applyNumberFormat="0" applyFill="0" applyAlignment="0" applyProtection="0"/>
    <xf numFmtId="0" fontId="16" fillId="0" borderId="46" applyNumberFormat="0" applyFill="0" applyAlignment="0" applyProtection="0"/>
    <xf numFmtId="0" fontId="17" fillId="0" borderId="47" applyNumberFormat="0" applyFill="0" applyAlignment="0" applyProtection="0"/>
    <xf numFmtId="0" fontId="17" fillId="0" borderId="0" applyNumberFormat="0" applyFill="0" applyBorder="0" applyAlignment="0" applyProtection="0"/>
    <xf numFmtId="0" fontId="18" fillId="17" borderId="43" applyNumberFormat="0" applyAlignment="0" applyProtection="0"/>
    <xf numFmtId="0" fontId="18" fillId="17" borderId="43" applyNumberFormat="0" applyAlignment="0" applyProtection="0"/>
    <xf numFmtId="0" fontId="18" fillId="17" borderId="43" applyNumberFormat="0" applyAlignment="0" applyProtection="0"/>
    <xf numFmtId="0" fontId="19" fillId="0" borderId="48" applyNumberFormat="0" applyFill="0" applyAlignment="0" applyProtection="0"/>
    <xf numFmtId="0" fontId="20" fillId="32" borderId="0" applyNumberFormat="0" applyBorder="0" applyAlignment="0" applyProtection="0"/>
    <xf numFmtId="0" fontId="26" fillId="0" borderId="0"/>
    <xf numFmtId="0" fontId="25"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2" fillId="0" borderId="0"/>
    <xf numFmtId="0" fontId="1" fillId="0" borderId="0"/>
    <xf numFmtId="0" fontId="2"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33" borderId="49" applyNumberFormat="0" applyFont="0" applyAlignment="0" applyProtection="0"/>
    <xf numFmtId="0" fontId="2" fillId="33" borderId="49" applyNumberFormat="0" applyFont="0" applyAlignment="0" applyProtection="0"/>
    <xf numFmtId="0" fontId="2" fillId="33" borderId="49" applyNumberFormat="0" applyFont="0" applyAlignment="0" applyProtection="0"/>
    <xf numFmtId="0" fontId="1" fillId="11" borderId="42" applyNumberFormat="0" applyFont="0" applyAlignment="0" applyProtection="0"/>
    <xf numFmtId="0" fontId="21" fillId="30" borderId="50" applyNumberFormat="0" applyAlignment="0" applyProtection="0"/>
    <xf numFmtId="0" fontId="21" fillId="30" borderId="50" applyNumberFormat="0" applyAlignment="0" applyProtection="0"/>
    <xf numFmtId="0" fontId="21" fillId="30" borderId="50" applyNumberFormat="0" applyAlignment="0" applyProtection="0"/>
    <xf numFmtId="0" fontId="7" fillId="0" borderId="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22" fillId="0" borderId="0" applyNumberFormat="0" applyFill="0" applyBorder="0" applyAlignment="0" applyProtection="0"/>
    <xf numFmtId="0" fontId="23" fillId="0" borderId="51" applyNumberFormat="0" applyFill="0" applyAlignment="0" applyProtection="0"/>
    <xf numFmtId="0" fontId="23" fillId="0" borderId="51" applyNumberFormat="0" applyFill="0" applyAlignment="0" applyProtection="0"/>
    <xf numFmtId="0" fontId="23" fillId="0" borderId="51" applyNumberFormat="0" applyFill="0" applyAlignment="0" applyProtection="0"/>
    <xf numFmtId="0" fontId="24" fillId="0" borderId="0" applyNumberFormat="0" applyFill="0" applyBorder="0" applyAlignment="0" applyProtection="0"/>
    <xf numFmtId="0" fontId="1" fillId="0" borderId="0"/>
    <xf numFmtId="0" fontId="1" fillId="0" borderId="0"/>
    <xf numFmtId="0" fontId="2" fillId="0" borderId="0"/>
    <xf numFmtId="0" fontId="7" fillId="0" borderId="0"/>
    <xf numFmtId="0" fontId="7" fillId="0" borderId="0"/>
    <xf numFmtId="0" fontId="7" fillId="0" borderId="0"/>
    <xf numFmtId="0" fontId="7" fillId="0" borderId="0"/>
    <xf numFmtId="0" fontId="7"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40" borderId="64" applyNumberFormat="0" applyAlignment="0" applyProtection="0"/>
  </cellStyleXfs>
  <cellXfs count="517">
    <xf numFmtId="0" fontId="0" fillId="0" borderId="0" xfId="0"/>
    <xf numFmtId="0" fontId="27" fillId="0" borderId="55" xfId="4" applyFont="1" applyBorder="1" applyAlignment="1">
      <alignment horizontal="center" vertical="top" wrapText="1"/>
    </xf>
    <xf numFmtId="0" fontId="27" fillId="0" borderId="17" xfId="4" applyFont="1" applyBorder="1" applyAlignment="1">
      <alignment horizontal="center" vertical="top" wrapText="1"/>
    </xf>
    <xf numFmtId="0" fontId="28" fillId="0" borderId="0" xfId="4" applyFont="1" applyAlignment="1">
      <alignment horizontal="left" vertical="top" wrapText="1"/>
    </xf>
    <xf numFmtId="0" fontId="27" fillId="0" borderId="0" xfId="4" applyFont="1"/>
    <xf numFmtId="0" fontId="27" fillId="0" borderId="14" xfId="4" applyFont="1" applyBorder="1" applyAlignment="1">
      <alignment horizontal="center" vertical="top" wrapText="1"/>
    </xf>
    <xf numFmtId="0" fontId="28" fillId="0" borderId="15" xfId="4" applyFont="1" applyBorder="1" applyAlignment="1">
      <alignment horizontal="center"/>
    </xf>
    <xf numFmtId="0" fontId="28" fillId="0" borderId="16" xfId="4" applyFont="1" applyBorder="1" applyAlignment="1">
      <alignment horizontal="center"/>
    </xf>
    <xf numFmtId="0" fontId="27" fillId="0" borderId="14" xfId="4" applyFont="1" applyBorder="1" applyAlignment="1">
      <alignment horizontal="center" vertical="center" wrapText="1"/>
    </xf>
    <xf numFmtId="0" fontId="27" fillId="0" borderId="15" xfId="4" applyFont="1" applyBorder="1" applyAlignment="1">
      <alignment horizontal="center"/>
    </xf>
    <xf numFmtId="0" fontId="27" fillId="0" borderId="16" xfId="4" applyFont="1" applyBorder="1" applyAlignment="1">
      <alignment horizontal="center"/>
    </xf>
    <xf numFmtId="0" fontId="27" fillId="0" borderId="14" xfId="4" applyFont="1" applyBorder="1"/>
    <xf numFmtId="0" fontId="27" fillId="0" borderId="15" xfId="4" applyFont="1" applyBorder="1" applyAlignment="1">
      <alignment horizontal="center" vertical="center"/>
    </xf>
    <xf numFmtId="0" fontId="27" fillId="0" borderId="16" xfId="4" applyFont="1" applyBorder="1" applyAlignment="1">
      <alignment horizontal="center" vertical="center"/>
    </xf>
    <xf numFmtId="0" fontId="27" fillId="0" borderId="15" xfId="4" applyFont="1" applyBorder="1" applyAlignment="1">
      <alignment vertical="top" wrapText="1"/>
    </xf>
    <xf numFmtId="0" fontId="27" fillId="0" borderId="0" xfId="4" applyFont="1" applyAlignment="1">
      <alignment horizontal="left" vertical="top" wrapText="1"/>
    </xf>
    <xf numFmtId="0" fontId="27" fillId="34" borderId="15" xfId="4" applyFont="1" applyFill="1" applyBorder="1" applyAlignment="1">
      <alignment horizontal="left" vertical="top" wrapText="1"/>
    </xf>
    <xf numFmtId="0" fontId="28" fillId="0" borderId="15" xfId="4" applyFont="1" applyBorder="1" applyAlignment="1">
      <alignment horizontal="center" vertical="center"/>
    </xf>
    <xf numFmtId="0" fontId="28" fillId="0" borderId="16" xfId="4" applyFont="1" applyBorder="1" applyAlignment="1">
      <alignment horizontal="center" vertical="center"/>
    </xf>
    <xf numFmtId="0" fontId="27" fillId="0" borderId="14" xfId="4" applyFont="1" applyBorder="1" applyAlignment="1">
      <alignment vertical="center"/>
    </xf>
    <xf numFmtId="0" fontId="27" fillId="0" borderId="0" xfId="4" applyFont="1" applyAlignment="1">
      <alignment horizontal="center"/>
    </xf>
    <xf numFmtId="0" fontId="27" fillId="0" borderId="17" xfId="4" applyFont="1" applyBorder="1" applyAlignment="1">
      <alignment horizontal="center" vertical="center" wrapText="1"/>
    </xf>
    <xf numFmtId="0" fontId="27" fillId="0" borderId="0" xfId="4" applyFont="1" applyAlignment="1">
      <alignment horizontal="center" vertical="top" wrapText="1"/>
    </xf>
    <xf numFmtId="0" fontId="27" fillId="0" borderId="0" xfId="4" applyFont="1" applyAlignment="1">
      <alignment vertical="top" wrapText="1"/>
    </xf>
    <xf numFmtId="0" fontId="27" fillId="0" borderId="0" xfId="4" applyFont="1" applyAlignment="1">
      <alignment wrapText="1"/>
    </xf>
    <xf numFmtId="0" fontId="30" fillId="0" borderId="0" xfId="6" applyFont="1"/>
    <xf numFmtId="0" fontId="31" fillId="0" borderId="0" xfId="6" applyFont="1"/>
    <xf numFmtId="0" fontId="28" fillId="0" borderId="0" xfId="4" applyFont="1"/>
    <xf numFmtId="0" fontId="30" fillId="0" borderId="0" xfId="0" applyFont="1"/>
    <xf numFmtId="44" fontId="27" fillId="0" borderId="0" xfId="2" applyFont="1"/>
    <xf numFmtId="44" fontId="27" fillId="34" borderId="0" xfId="2" applyFont="1" applyFill="1"/>
    <xf numFmtId="0" fontId="27" fillId="34" borderId="0" xfId="4" applyFont="1" applyFill="1"/>
    <xf numFmtId="164" fontId="27" fillId="0" borderId="0" xfId="1" applyNumberFormat="1" applyFont="1"/>
    <xf numFmtId="164" fontId="27" fillId="34" borderId="0" xfId="1" applyNumberFormat="1" applyFont="1" applyFill="1"/>
    <xf numFmtId="44" fontId="27" fillId="0" borderId="0" xfId="2" applyFont="1" applyFill="1"/>
    <xf numFmtId="164" fontId="27" fillId="0" borderId="0" xfId="1" applyNumberFormat="1" applyFont="1" applyFill="1"/>
    <xf numFmtId="0" fontId="27" fillId="0" borderId="19" xfId="4" applyFont="1" applyBorder="1"/>
    <xf numFmtId="10" fontId="27" fillId="3" borderId="9" xfId="4" applyNumberFormat="1" applyFont="1" applyFill="1" applyBorder="1"/>
    <xf numFmtId="2" fontId="28" fillId="0" borderId="0" xfId="4" applyNumberFormat="1" applyFont="1" applyAlignment="1">
      <alignment horizontal="center"/>
    </xf>
    <xf numFmtId="0" fontId="28" fillId="0" borderId="31" xfId="4" applyFont="1" applyBorder="1" applyAlignment="1">
      <alignment wrapText="1"/>
    </xf>
    <xf numFmtId="0" fontId="28" fillId="0" borderId="7" xfId="0" applyFont="1" applyBorder="1"/>
    <xf numFmtId="0" fontId="28" fillId="0" borderId="8" xfId="4" applyFont="1" applyBorder="1" applyAlignment="1">
      <alignment wrapText="1"/>
    </xf>
    <xf numFmtId="0" fontId="28" fillId="0" borderId="7" xfId="4" applyFont="1" applyBorder="1"/>
    <xf numFmtId="0" fontId="28" fillId="0" borderId="19" xfId="4" applyFont="1" applyBorder="1" applyAlignment="1">
      <alignment horizontal="center" wrapText="1"/>
    </xf>
    <xf numFmtId="0" fontId="28" fillId="0" borderId="6" xfId="4" applyFont="1" applyBorder="1" applyAlignment="1">
      <alignment horizontal="center"/>
    </xf>
    <xf numFmtId="0" fontId="28" fillId="0" borderId="10" xfId="4" applyFont="1" applyBorder="1" applyAlignment="1">
      <alignment horizontal="center"/>
    </xf>
    <xf numFmtId="44" fontId="28" fillId="0" borderId="7" xfId="2" applyFont="1" applyFill="1" applyBorder="1" applyAlignment="1">
      <alignment horizontal="center"/>
    </xf>
    <xf numFmtId="44" fontId="28" fillId="35" borderId="34" xfId="2" applyFont="1" applyFill="1" applyBorder="1" applyAlignment="1">
      <alignment horizontal="center"/>
    </xf>
    <xf numFmtId="0" fontId="28" fillId="0" borderId="39" xfId="4" applyFont="1" applyBorder="1" applyAlignment="1">
      <alignment horizontal="center"/>
    </xf>
    <xf numFmtId="0" fontId="28" fillId="0" borderId="36" xfId="4" applyFont="1" applyBorder="1" applyAlignment="1">
      <alignment horizontal="center"/>
    </xf>
    <xf numFmtId="44" fontId="28" fillId="0" borderId="40" xfId="2" applyFont="1" applyFill="1" applyBorder="1" applyAlignment="1">
      <alignment horizontal="center"/>
    </xf>
    <xf numFmtId="44" fontId="28" fillId="35" borderId="37" xfId="2" applyFont="1" applyFill="1" applyBorder="1" applyAlignment="1">
      <alignment horizontal="center"/>
    </xf>
    <xf numFmtId="44" fontId="28" fillId="35" borderId="52" xfId="2" applyFont="1" applyFill="1" applyBorder="1" applyAlignment="1">
      <alignment horizontal="center"/>
    </xf>
    <xf numFmtId="44" fontId="28" fillId="35" borderId="53" xfId="2" applyFont="1" applyFill="1" applyBorder="1" applyAlignment="1">
      <alignment horizontal="center"/>
    </xf>
    <xf numFmtId="164" fontId="28" fillId="0" borderId="34" xfId="1" applyNumberFormat="1" applyFont="1" applyBorder="1" applyAlignment="1">
      <alignment horizontal="center"/>
    </xf>
    <xf numFmtId="44" fontId="28" fillId="0" borderId="9" xfId="2" applyFont="1" applyBorder="1" applyAlignment="1">
      <alignment horizontal="center"/>
    </xf>
    <xf numFmtId="0" fontId="27" fillId="36" borderId="9" xfId="4" applyFont="1" applyFill="1" applyBorder="1"/>
    <xf numFmtId="0" fontId="28" fillId="0" borderId="5" xfId="4" applyFont="1" applyBorder="1"/>
    <xf numFmtId="0" fontId="27" fillId="0" borderId="4" xfId="4" applyFont="1" applyBorder="1"/>
    <xf numFmtId="0" fontId="27" fillId="0" borderId="30" xfId="4" applyFont="1" applyBorder="1"/>
    <xf numFmtId="0" fontId="27" fillId="0" borderId="11" xfId="4" applyFont="1" applyBorder="1"/>
    <xf numFmtId="0" fontId="27" fillId="0" borderId="12" xfId="4" applyFont="1" applyBorder="1"/>
    <xf numFmtId="44" fontId="27" fillId="0" borderId="13" xfId="2" applyFont="1" applyBorder="1"/>
    <xf numFmtId="44" fontId="27" fillId="35" borderId="30" xfId="2" applyFont="1" applyFill="1" applyBorder="1"/>
    <xf numFmtId="44" fontId="27" fillId="35" borderId="20" xfId="2" applyFont="1" applyFill="1" applyBorder="1"/>
    <xf numFmtId="44" fontId="27" fillId="35" borderId="22" xfId="2" applyFont="1" applyFill="1" applyBorder="1"/>
    <xf numFmtId="164" fontId="27" fillId="0" borderId="30" xfId="1" applyNumberFormat="1" applyFont="1" applyBorder="1"/>
    <xf numFmtId="44" fontId="27" fillId="0" borderId="21" xfId="2" applyFont="1" applyBorder="1"/>
    <xf numFmtId="0" fontId="27" fillId="36" borderId="54" xfId="4" applyFont="1" applyFill="1" applyBorder="1"/>
    <xf numFmtId="0" fontId="27" fillId="0" borderId="15" xfId="4" applyFont="1" applyBorder="1"/>
    <xf numFmtId="0" fontId="27" fillId="0" borderId="15" xfId="4" applyFont="1" applyBorder="1" applyAlignment="1">
      <alignment wrapText="1"/>
    </xf>
    <xf numFmtId="49" fontId="27" fillId="2" borderId="15" xfId="1" applyNumberFormat="1" applyFont="1" applyFill="1" applyBorder="1"/>
    <xf numFmtId="44" fontId="27" fillId="3" borderId="30" xfId="2" applyFont="1" applyFill="1" applyBorder="1"/>
    <xf numFmtId="7" fontId="27" fillId="2" borderId="14" xfId="4" applyNumberFormat="1" applyFont="1" applyFill="1" applyBorder="1"/>
    <xf numFmtId="164" fontId="27" fillId="2" borderId="15" xfId="1" applyNumberFormat="1" applyFont="1" applyFill="1" applyBorder="1"/>
    <xf numFmtId="44" fontId="27" fillId="3" borderId="13" xfId="2" applyFont="1" applyFill="1" applyBorder="1"/>
    <xf numFmtId="7" fontId="27" fillId="3" borderId="14" xfId="4" applyNumberFormat="1" applyFont="1" applyFill="1" applyBorder="1"/>
    <xf numFmtId="43" fontId="27" fillId="3" borderId="21" xfId="1" applyFont="1" applyFill="1" applyBorder="1"/>
    <xf numFmtId="44" fontId="27" fillId="3" borderId="21" xfId="2" applyFont="1" applyFill="1" applyBorder="1"/>
    <xf numFmtId="44" fontId="27" fillId="2" borderId="14" xfId="4" applyNumberFormat="1" applyFont="1" applyFill="1" applyBorder="1"/>
    <xf numFmtId="0" fontId="28" fillId="0" borderId="15" xfId="4" applyFont="1" applyBorder="1"/>
    <xf numFmtId="0" fontId="28" fillId="0" borderId="12" xfId="4" applyFont="1" applyBorder="1"/>
    <xf numFmtId="0" fontId="28" fillId="0" borderId="14" xfId="4" applyFont="1" applyBorder="1"/>
    <xf numFmtId="164" fontId="28" fillId="0" borderId="15" xfId="4" applyNumberFormat="1" applyFont="1" applyBorder="1"/>
    <xf numFmtId="44" fontId="28" fillId="3" borderId="16" xfId="2" applyFont="1" applyFill="1" applyBorder="1"/>
    <xf numFmtId="44" fontId="28" fillId="35" borderId="23" xfId="2" applyFont="1" applyFill="1" applyBorder="1"/>
    <xf numFmtId="164" fontId="28" fillId="3" borderId="30" xfId="1" applyNumberFormat="1" applyFont="1" applyFill="1" applyBorder="1"/>
    <xf numFmtId="44" fontId="28" fillId="3" borderId="21" xfId="2" applyFont="1" applyFill="1" applyBorder="1"/>
    <xf numFmtId="44" fontId="27" fillId="0" borderId="16" xfId="2" applyFont="1" applyFill="1" applyBorder="1"/>
    <xf numFmtId="44" fontId="27" fillId="35" borderId="15" xfId="2" applyFont="1" applyFill="1" applyBorder="1"/>
    <xf numFmtId="44" fontId="27" fillId="35" borderId="14" xfId="2" applyFont="1" applyFill="1" applyBorder="1"/>
    <xf numFmtId="44" fontId="27" fillId="35" borderId="16" xfId="2" applyFont="1" applyFill="1" applyBorder="1"/>
    <xf numFmtId="44" fontId="27" fillId="0" borderId="21" xfId="2" applyFont="1" applyFill="1" applyBorder="1"/>
    <xf numFmtId="0" fontId="33" fillId="0" borderId="15" xfId="4" applyFont="1" applyBorder="1" applyAlignment="1">
      <alignment horizontal="center"/>
    </xf>
    <xf numFmtId="44" fontId="27" fillId="0" borderId="16" xfId="2" applyFont="1" applyBorder="1"/>
    <xf numFmtId="44" fontId="27" fillId="0" borderId="24" xfId="2" applyFont="1" applyBorder="1"/>
    <xf numFmtId="40" fontId="27" fillId="0" borderId="15" xfId="4" applyNumberFormat="1" applyFont="1" applyBorder="1"/>
    <xf numFmtId="0" fontId="27" fillId="3" borderId="12" xfId="4" applyFont="1" applyFill="1" applyBorder="1"/>
    <xf numFmtId="10" fontId="27" fillId="3" borderId="14" xfId="4" applyNumberFormat="1" applyFont="1" applyFill="1" applyBorder="1"/>
    <xf numFmtId="44" fontId="27" fillId="3" borderId="15" xfId="2" applyFont="1" applyFill="1" applyBorder="1"/>
    <xf numFmtId="44" fontId="27" fillId="3" borderId="16" xfId="2" applyFont="1" applyFill="1" applyBorder="1"/>
    <xf numFmtId="44" fontId="27" fillId="3" borderId="24" xfId="2" applyFont="1" applyFill="1" applyBorder="1"/>
    <xf numFmtId="44" fontId="27" fillId="35" borderId="23" xfId="2" applyFont="1" applyFill="1" applyBorder="1"/>
    <xf numFmtId="44" fontId="27" fillId="0" borderId="15" xfId="2" applyFont="1" applyBorder="1"/>
    <xf numFmtId="44" fontId="28" fillId="3" borderId="24" xfId="2" applyFont="1" applyFill="1" applyBorder="1"/>
    <xf numFmtId="44" fontId="27" fillId="0" borderId="24" xfId="2" applyFont="1" applyFill="1" applyBorder="1"/>
    <xf numFmtId="9" fontId="27" fillId="2" borderId="15" xfId="3" applyFont="1" applyFill="1" applyBorder="1"/>
    <xf numFmtId="164" fontId="27" fillId="0" borderId="15" xfId="1" applyNumberFormat="1" applyFont="1" applyFill="1" applyBorder="1"/>
    <xf numFmtId="10" fontId="27" fillId="0" borderId="15" xfId="4" applyNumberFormat="1" applyFont="1" applyBorder="1"/>
    <xf numFmtId="44" fontId="27" fillId="3" borderId="15" xfId="4" applyNumberFormat="1" applyFont="1" applyFill="1" applyBorder="1"/>
    <xf numFmtId="0" fontId="28" fillId="0" borderId="30" xfId="4" applyFont="1" applyBorder="1"/>
    <xf numFmtId="0" fontId="27" fillId="0" borderId="17" xfId="4" applyFont="1" applyBorder="1"/>
    <xf numFmtId="44" fontId="27" fillId="0" borderId="16" xfId="2" applyFont="1" applyFill="1" applyBorder="1" applyAlignment="1">
      <alignment horizontal="center"/>
    </xf>
    <xf numFmtId="0" fontId="27" fillId="0" borderId="14" xfId="4" applyFont="1" applyBorder="1" applyAlignment="1">
      <alignment horizontal="center"/>
    </xf>
    <xf numFmtId="10" fontId="27" fillId="2" borderId="14" xfId="3" applyNumberFormat="1" applyFont="1" applyFill="1" applyBorder="1"/>
    <xf numFmtId="165" fontId="27" fillId="2" borderId="14" xfId="3" applyNumberFormat="1" applyFont="1" applyFill="1" applyBorder="1"/>
    <xf numFmtId="44" fontId="28" fillId="0" borderId="15" xfId="4" applyNumberFormat="1" applyFont="1" applyBorder="1"/>
    <xf numFmtId="44" fontId="28" fillId="0" borderId="12" xfId="4" applyNumberFormat="1" applyFont="1" applyBorder="1"/>
    <xf numFmtId="164" fontId="27" fillId="35" borderId="23" xfId="1" applyNumberFormat="1" applyFont="1" applyFill="1" applyBorder="1"/>
    <xf numFmtId="43" fontId="28" fillId="3" borderId="13" xfId="1" applyFont="1" applyFill="1" applyBorder="1"/>
    <xf numFmtId="44" fontId="28" fillId="3" borderId="13" xfId="2" applyFont="1" applyFill="1" applyBorder="1"/>
    <xf numFmtId="0" fontId="27" fillId="10" borderId="30" xfId="4" applyFont="1" applyFill="1" applyBorder="1"/>
    <xf numFmtId="44" fontId="27" fillId="35" borderId="13" xfId="2" applyFont="1" applyFill="1" applyBorder="1"/>
    <xf numFmtId="0" fontId="27" fillId="10" borderId="15" xfId="4" applyFont="1" applyFill="1" applyBorder="1"/>
    <xf numFmtId="44" fontId="27" fillId="0" borderId="14" xfId="2" applyFont="1" applyFill="1" applyBorder="1"/>
    <xf numFmtId="43" fontId="27" fillId="3" borderId="30" xfId="1" applyFont="1" applyFill="1" applyBorder="1"/>
    <xf numFmtId="164" fontId="28" fillId="3" borderId="15" xfId="4" applyNumberFormat="1" applyFont="1" applyFill="1" applyBorder="1"/>
    <xf numFmtId="44" fontId="28" fillId="3" borderId="15" xfId="2" applyFont="1" applyFill="1" applyBorder="1"/>
    <xf numFmtId="44" fontId="27" fillId="2" borderId="14" xfId="2" applyFont="1" applyFill="1" applyBorder="1"/>
    <xf numFmtId="10" fontId="27" fillId="3" borderId="14" xfId="3" applyNumberFormat="1" applyFont="1" applyFill="1" applyBorder="1"/>
    <xf numFmtId="44" fontId="27" fillId="0" borderId="15" xfId="4" applyNumberFormat="1" applyFont="1" applyBorder="1"/>
    <xf numFmtId="164" fontId="27" fillId="0" borderId="24" xfId="1" applyNumberFormat="1" applyFont="1" applyBorder="1"/>
    <xf numFmtId="0" fontId="27" fillId="0" borderId="33" xfId="4" applyFont="1" applyBorder="1"/>
    <xf numFmtId="0" fontId="28" fillId="0" borderId="0" xfId="4" applyFont="1" applyAlignment="1">
      <alignment horizontal="left"/>
    </xf>
    <xf numFmtId="44" fontId="27" fillId="0" borderId="0" xfId="2" applyFont="1" applyBorder="1"/>
    <xf numFmtId="44" fontId="27" fillId="34" borderId="0" xfId="2" applyFont="1" applyFill="1" applyBorder="1"/>
    <xf numFmtId="0" fontId="28" fillId="0" borderId="19" xfId="4" applyFont="1" applyBorder="1"/>
    <xf numFmtId="0" fontId="28" fillId="0" borderId="9" xfId="4" applyFont="1" applyBorder="1" applyAlignment="1">
      <alignment horizontal="center"/>
    </xf>
    <xf numFmtId="0" fontId="28" fillId="0" borderId="0" xfId="4" applyFont="1" applyAlignment="1">
      <alignment horizontal="center"/>
    </xf>
    <xf numFmtId="0" fontId="27" fillId="0" borderId="20" xfId="4" applyFont="1" applyBorder="1" applyAlignment="1">
      <alignment horizontal="left"/>
    </xf>
    <xf numFmtId="166" fontId="27" fillId="0" borderId="21" xfId="4" applyNumberFormat="1" applyFont="1" applyBorder="1"/>
    <xf numFmtId="0" fontId="27" fillId="4" borderId="22" xfId="4" applyFont="1" applyFill="1" applyBorder="1"/>
    <xf numFmtId="166" fontId="27" fillId="0" borderId="24" xfId="4" applyNumberFormat="1" applyFont="1" applyBorder="1"/>
    <xf numFmtId="9" fontId="27" fillId="0" borderId="0" xfId="3" applyFont="1" applyFill="1" applyBorder="1"/>
    <xf numFmtId="166" fontId="27" fillId="0" borderId="26" xfId="4" applyNumberFormat="1" applyFont="1" applyBorder="1"/>
    <xf numFmtId="167" fontId="27" fillId="0" borderId="18" xfId="3" applyNumberFormat="1" applyFont="1" applyFill="1" applyBorder="1" applyAlignment="1">
      <alignment horizontal="center"/>
    </xf>
    <xf numFmtId="167" fontId="27" fillId="0" borderId="0" xfId="3" applyNumberFormat="1" applyFont="1" applyFill="1" applyBorder="1" applyAlignment="1">
      <alignment horizontal="center"/>
    </xf>
    <xf numFmtId="9" fontId="27" fillId="0" borderId="0" xfId="3" applyFont="1" applyFill="1" applyBorder="1" applyAlignment="1">
      <alignment horizontal="center"/>
    </xf>
    <xf numFmtId="167" fontId="27" fillId="0" borderId="18" xfId="3" applyNumberFormat="1" applyFont="1" applyFill="1" applyBorder="1"/>
    <xf numFmtId="167" fontId="27" fillId="0" borderId="0" xfId="3" applyNumberFormat="1" applyFont="1" applyFill="1" applyBorder="1"/>
    <xf numFmtId="0" fontId="27" fillId="34" borderId="0" xfId="4" applyFont="1" applyFill="1" applyAlignment="1">
      <alignment wrapText="1"/>
    </xf>
    <xf numFmtId="0" fontId="28" fillId="0" borderId="9" xfId="4" applyFont="1" applyBorder="1" applyAlignment="1">
      <alignment horizontal="center" wrapText="1"/>
    </xf>
    <xf numFmtId="0" fontId="4" fillId="0" borderId="0" xfId="4" applyFont="1"/>
    <xf numFmtId="0" fontId="35" fillId="5" borderId="27" xfId="7" applyFont="1" applyFill="1" applyBorder="1"/>
    <xf numFmtId="0" fontId="36" fillId="5" borderId="27" xfId="7" applyFont="1" applyFill="1" applyBorder="1"/>
    <xf numFmtId="0" fontId="36" fillId="5" borderId="27" xfId="7" applyFont="1" applyFill="1" applyBorder="1" applyAlignment="1">
      <alignment horizontal="centerContinuous" vertical="center" wrapText="1"/>
    </xf>
    <xf numFmtId="0" fontId="36" fillId="5" borderId="27" xfId="7" applyFont="1" applyFill="1" applyBorder="1" applyAlignment="1">
      <alignment horizontal="center" vertical="center" wrapText="1"/>
    </xf>
    <xf numFmtId="0" fontId="28" fillId="0" borderId="28" xfId="7" applyFont="1" applyBorder="1" applyAlignment="1">
      <alignment horizontal="left"/>
    </xf>
    <xf numFmtId="9" fontId="27" fillId="0" borderId="28" xfId="3" applyFont="1" applyBorder="1" applyAlignment="1">
      <alignment horizontal="center"/>
    </xf>
    <xf numFmtId="10" fontId="27" fillId="0" borderId="29" xfId="7" applyNumberFormat="1" applyFont="1" applyBorder="1" applyAlignment="1">
      <alignment horizontal="center" vertical="center"/>
    </xf>
    <xf numFmtId="10" fontId="28" fillId="0" borderId="29" xfId="7" applyNumberFormat="1" applyFont="1" applyBorder="1" applyAlignment="1">
      <alignment horizontal="left"/>
    </xf>
    <xf numFmtId="10" fontId="27" fillId="0" borderId="29" xfId="3" applyNumberFormat="1" applyFont="1" applyBorder="1" applyAlignment="1">
      <alignment horizontal="center"/>
    </xf>
    <xf numFmtId="0" fontId="27" fillId="0" borderId="29" xfId="7" applyFont="1" applyBorder="1" applyAlignment="1">
      <alignment horizontal="center" vertical="center"/>
    </xf>
    <xf numFmtId="0" fontId="28" fillId="0" borderId="29" xfId="7" applyFont="1" applyBorder="1" applyAlignment="1">
      <alignment horizontal="left"/>
    </xf>
    <xf numFmtId="9" fontId="27" fillId="0" borderId="29" xfId="3" applyFont="1" applyBorder="1" applyAlignment="1">
      <alignment horizontal="center"/>
    </xf>
    <xf numFmtId="49" fontId="27" fillId="0" borderId="29" xfId="7" applyNumberFormat="1" applyFont="1" applyBorder="1" applyAlignment="1">
      <alignment horizontal="center" vertical="center"/>
    </xf>
    <xf numFmtId="49" fontId="28" fillId="0" borderId="29" xfId="7" applyNumberFormat="1" applyFont="1" applyBorder="1" applyAlignment="1">
      <alignment horizontal="left"/>
    </xf>
    <xf numFmtId="0" fontId="30" fillId="0" borderId="0" xfId="6" applyFont="1" applyAlignment="1">
      <alignment horizontal="left" vertical="center"/>
    </xf>
    <xf numFmtId="0" fontId="37" fillId="0" borderId="0" xfId="0" applyFont="1"/>
    <xf numFmtId="0" fontId="28" fillId="0" borderId="8" xfId="4" applyFont="1" applyBorder="1" applyAlignment="1">
      <alignment horizontal="center" wrapText="1"/>
    </xf>
    <xf numFmtId="0" fontId="28" fillId="0" borderId="41" xfId="4" applyFont="1" applyBorder="1" applyAlignment="1">
      <alignment horizontal="center" wrapText="1"/>
    </xf>
    <xf numFmtId="0" fontId="27" fillId="0" borderId="14" xfId="4" applyFont="1" applyBorder="1" applyAlignment="1">
      <alignment horizontal="left" indent="1"/>
    </xf>
    <xf numFmtId="0" fontId="27" fillId="0" borderId="32" xfId="4" applyFont="1" applyBorder="1"/>
    <xf numFmtId="168" fontId="28" fillId="0" borderId="61" xfId="128" applyNumberFormat="1" applyFont="1" applyFill="1" applyBorder="1" applyAlignment="1">
      <alignment horizontal="right"/>
    </xf>
    <xf numFmtId="2" fontId="28" fillId="0" borderId="4" xfId="128" applyNumberFormat="1" applyFont="1" applyFill="1" applyBorder="1" applyAlignment="1">
      <alignment horizontal="right"/>
    </xf>
    <xf numFmtId="168" fontId="28" fillId="0" borderId="62" xfId="128" applyNumberFormat="1" applyFont="1" applyFill="1" applyBorder="1" applyAlignment="1">
      <alignment horizontal="right"/>
    </xf>
    <xf numFmtId="0" fontId="27" fillId="2" borderId="14" xfId="0" applyFont="1" applyFill="1" applyBorder="1"/>
    <xf numFmtId="40" fontId="27" fillId="0" borderId="63" xfId="4" applyNumberFormat="1" applyFont="1" applyBorder="1" applyAlignment="1">
      <alignment wrapText="1"/>
    </xf>
    <xf numFmtId="2" fontId="28" fillId="0" borderId="12" xfId="128" applyNumberFormat="1" applyFont="1" applyFill="1" applyBorder="1" applyAlignment="1">
      <alignment horizontal="right"/>
    </xf>
    <xf numFmtId="168" fontId="28" fillId="0" borderId="13" xfId="128" applyNumberFormat="1" applyFont="1" applyFill="1" applyBorder="1" applyAlignment="1">
      <alignment horizontal="right"/>
    </xf>
    <xf numFmtId="168" fontId="28" fillId="0" borderId="14" xfId="128" applyNumberFormat="1" applyFont="1" applyFill="1" applyBorder="1" applyAlignment="1">
      <alignment horizontal="right"/>
    </xf>
    <xf numFmtId="2" fontId="28" fillId="0" borderId="15" xfId="128" applyNumberFormat="1" applyFont="1" applyFill="1" applyBorder="1" applyAlignment="1">
      <alignment horizontal="right"/>
    </xf>
    <xf numFmtId="168" fontId="28" fillId="0" borderId="32" xfId="128" applyNumberFormat="1" applyFont="1" applyFill="1" applyBorder="1" applyAlignment="1">
      <alignment horizontal="right"/>
    </xf>
    <xf numFmtId="168" fontId="28" fillId="0" borderId="16" xfId="128" applyNumberFormat="1" applyFont="1" applyFill="1" applyBorder="1" applyAlignment="1">
      <alignment horizontal="right"/>
    </xf>
    <xf numFmtId="0" fontId="27" fillId="0" borderId="32" xfId="4" applyFont="1" applyBorder="1" applyAlignment="1">
      <alignment wrapText="1"/>
    </xf>
    <xf numFmtId="0" fontId="27" fillId="2" borderId="14" xfId="4" applyFont="1" applyFill="1" applyBorder="1" applyAlignment="1">
      <alignment horizontal="left" indent="3"/>
    </xf>
    <xf numFmtId="0" fontId="31" fillId="0" borderId="15" xfId="0" applyFont="1" applyBorder="1" applyAlignment="1">
      <alignment horizontal="center"/>
    </xf>
    <xf numFmtId="0" fontId="31" fillId="0" borderId="15" xfId="0" applyFont="1" applyBorder="1" applyAlignment="1">
      <alignment horizontal="center" wrapText="1"/>
    </xf>
    <xf numFmtId="0" fontId="31" fillId="0" borderId="15" xfId="0" applyFont="1" applyBorder="1" applyAlignment="1">
      <alignment horizontal="center" vertical="center" wrapText="1"/>
    </xf>
    <xf numFmtId="0" fontId="31" fillId="0" borderId="32" xfId="0" applyFont="1" applyBorder="1" applyAlignment="1">
      <alignment horizontal="center" vertical="center" wrapText="1"/>
    </xf>
    <xf numFmtId="169" fontId="32" fillId="9" borderId="15" xfId="1" applyNumberFormat="1" applyFont="1" applyFill="1" applyBorder="1" applyAlignment="1">
      <alignment horizontal="center" vertical="center" wrapText="1"/>
    </xf>
    <xf numFmtId="43" fontId="27" fillId="0" borderId="15" xfId="44" applyFont="1" applyFill="1" applyBorder="1"/>
    <xf numFmtId="169" fontId="32" fillId="38" borderId="14" xfId="1" applyNumberFormat="1" applyFont="1" applyFill="1" applyBorder="1" applyAlignment="1">
      <alignment horizontal="center" vertical="center" wrapText="1"/>
    </xf>
    <xf numFmtId="0" fontId="30" fillId="6" borderId="0" xfId="0" applyFont="1" applyFill="1"/>
    <xf numFmtId="169" fontId="32" fillId="38" borderId="15" xfId="1" applyNumberFormat="1" applyFont="1" applyFill="1" applyBorder="1" applyAlignment="1">
      <alignment horizontal="center" vertical="center" wrapText="1"/>
    </xf>
    <xf numFmtId="0" fontId="30" fillId="37" borderId="0" xfId="0" applyFont="1" applyFill="1"/>
    <xf numFmtId="169" fontId="38" fillId="9" borderId="15" xfId="1" applyNumberFormat="1" applyFont="1" applyFill="1" applyBorder="1" applyAlignment="1">
      <alignment horizontal="center" vertical="center" wrapText="1"/>
    </xf>
    <xf numFmtId="43" fontId="30" fillId="0" borderId="0" xfId="1" applyFont="1"/>
    <xf numFmtId="43" fontId="31" fillId="0" borderId="0" xfId="1" applyFont="1"/>
    <xf numFmtId="43" fontId="30" fillId="0" borderId="0" xfId="0" applyNumberFormat="1" applyFont="1"/>
    <xf numFmtId="0" fontId="28" fillId="0" borderId="0" xfId="0" applyFont="1" applyAlignment="1">
      <alignment horizontal="center"/>
    </xf>
    <xf numFmtId="0" fontId="28" fillId="39" borderId="65" xfId="0" applyFont="1" applyFill="1" applyBorder="1"/>
    <xf numFmtId="0" fontId="27" fillId="0" borderId="0" xfId="0" applyFont="1"/>
    <xf numFmtId="0" fontId="28" fillId="39" borderId="57" xfId="0" applyFont="1" applyFill="1" applyBorder="1" applyAlignment="1">
      <alignment horizontal="center"/>
    </xf>
    <xf numFmtId="0" fontId="27" fillId="0" borderId="0" xfId="4" applyFont="1" applyAlignment="1">
      <alignment horizontal="center" vertical="center" wrapText="1"/>
    </xf>
    <xf numFmtId="0" fontId="27" fillId="0" borderId="0" xfId="4" applyFont="1" applyAlignment="1">
      <alignment horizontal="center" vertical="center"/>
    </xf>
    <xf numFmtId="0" fontId="28" fillId="0" borderId="8" xfId="4" applyFont="1" applyBorder="1"/>
    <xf numFmtId="43" fontId="27" fillId="0" borderId="15" xfId="44" applyFont="1" applyFill="1" applyBorder="1" applyAlignment="1">
      <alignment horizontal="center" vertical="center" wrapText="1"/>
    </xf>
    <xf numFmtId="0" fontId="31" fillId="0" borderId="0" xfId="0" applyFont="1"/>
    <xf numFmtId="0" fontId="31" fillId="6" borderId="0" xfId="0" applyFont="1" applyFill="1"/>
    <xf numFmtId="0" fontId="27" fillId="8" borderId="66" xfId="0" applyFont="1" applyFill="1" applyBorder="1" applyAlignment="1">
      <alignment wrapText="1"/>
    </xf>
    <xf numFmtId="0" fontId="27" fillId="0" borderId="0" xfId="0" applyFont="1" applyAlignment="1">
      <alignment wrapText="1"/>
    </xf>
    <xf numFmtId="0" fontId="30" fillId="0" borderId="0" xfId="0" applyFont="1" applyAlignment="1">
      <alignment wrapText="1"/>
    </xf>
    <xf numFmtId="0" fontId="27" fillId="9" borderId="67" xfId="0" applyFont="1" applyFill="1" applyBorder="1" applyAlignment="1">
      <alignment wrapText="1"/>
    </xf>
    <xf numFmtId="10" fontId="27" fillId="0" borderId="14" xfId="4" applyNumberFormat="1" applyFont="1" applyFill="1" applyBorder="1"/>
    <xf numFmtId="43" fontId="27" fillId="3" borderId="13" xfId="1" applyFont="1" applyFill="1" applyBorder="1"/>
    <xf numFmtId="0" fontId="27" fillId="9" borderId="0" xfId="0" applyFont="1" applyFill="1" applyBorder="1" applyAlignment="1">
      <alignment horizontal="right" wrapText="1"/>
    </xf>
    <xf numFmtId="0" fontId="27" fillId="8" borderId="0" xfId="0" applyFont="1" applyFill="1" applyBorder="1" applyAlignment="1">
      <alignment horizontal="right" wrapText="1"/>
    </xf>
    <xf numFmtId="0" fontId="28" fillId="0" borderId="0" xfId="0" applyFont="1" applyFill="1" applyAlignment="1">
      <alignment horizontal="center"/>
    </xf>
    <xf numFmtId="44" fontId="27" fillId="0" borderId="0" xfId="0" applyNumberFormat="1" applyFont="1" applyFill="1" applyBorder="1" applyAlignment="1">
      <alignment wrapText="1"/>
    </xf>
    <xf numFmtId="0" fontId="30" fillId="0" borderId="0" xfId="0" applyFont="1" applyFill="1"/>
    <xf numFmtId="0" fontId="41" fillId="41" borderId="34" xfId="69" applyFont="1" applyFill="1" applyBorder="1" applyAlignment="1">
      <alignment horizontal="center" vertical="center" wrapText="1"/>
    </xf>
    <xf numFmtId="0" fontId="2" fillId="0" borderId="69" xfId="69" applyFont="1" applyFill="1" applyBorder="1" applyAlignment="1">
      <alignment vertical="center"/>
    </xf>
    <xf numFmtId="0" fontId="2" fillId="0" borderId="0" xfId="69" applyFont="1" applyFill="1" applyBorder="1" applyAlignment="1">
      <alignment horizontal="center" vertical="center"/>
    </xf>
    <xf numFmtId="0" fontId="2" fillId="0" borderId="0" xfId="69" applyFont="1" applyFill="1" applyBorder="1" applyAlignment="1">
      <alignment horizontal="center" vertical="center" wrapText="1"/>
    </xf>
    <xf numFmtId="0" fontId="41" fillId="6" borderId="0" xfId="69" applyFont="1" applyFill="1" applyBorder="1" applyAlignment="1">
      <alignment horizontal="center" vertical="center" wrapText="1"/>
    </xf>
    <xf numFmtId="0" fontId="30" fillId="0" borderId="0" xfId="0" applyFont="1" applyAlignment="1">
      <alignment horizontal="left"/>
    </xf>
    <xf numFmtId="0" fontId="27" fillId="9" borderId="56" xfId="0" applyFont="1" applyFill="1" applyBorder="1" applyAlignment="1">
      <alignment horizontal="left" wrapText="1"/>
    </xf>
    <xf numFmtId="0" fontId="28" fillId="0" borderId="0" xfId="0" applyFont="1" applyAlignment="1"/>
    <xf numFmtId="0" fontId="30" fillId="0" borderId="0" xfId="0" applyFont="1" applyAlignment="1"/>
    <xf numFmtId="0" fontId="30" fillId="0" borderId="0" xfId="0" applyFont="1" applyAlignment="1">
      <alignment horizontal="center"/>
    </xf>
    <xf numFmtId="0" fontId="27" fillId="9" borderId="56" xfId="0" applyFont="1" applyFill="1" applyBorder="1" applyAlignment="1">
      <alignment horizontal="center" wrapText="1"/>
    </xf>
    <xf numFmtId="0" fontId="39" fillId="0" borderId="0" xfId="0" applyFont="1" applyAlignment="1">
      <alignment horizontal="center"/>
    </xf>
    <xf numFmtId="0" fontId="31" fillId="0" borderId="55" xfId="0" applyFont="1" applyBorder="1" applyAlignment="1">
      <alignment horizontal="center" vertical="center" wrapText="1"/>
    </xf>
    <xf numFmtId="0" fontId="31" fillId="0" borderId="70" xfId="0" applyFont="1" applyBorder="1" applyAlignment="1">
      <alignment horizontal="center" vertical="center" wrapText="1"/>
    </xf>
    <xf numFmtId="0" fontId="31" fillId="0" borderId="3" xfId="0" applyFont="1" applyBorder="1" applyAlignment="1">
      <alignment horizontal="center" vertical="center" wrapText="1"/>
    </xf>
    <xf numFmtId="169" fontId="32" fillId="38" borderId="61" xfId="1" applyNumberFormat="1" applyFont="1" applyFill="1" applyBorder="1" applyAlignment="1">
      <alignment horizontal="center" vertical="center" wrapText="1"/>
    </xf>
    <xf numFmtId="169" fontId="32" fillId="38" borderId="59" xfId="1" applyNumberFormat="1" applyFont="1" applyFill="1" applyBorder="1" applyAlignment="1">
      <alignment horizontal="center" vertical="center" wrapText="1"/>
    </xf>
    <xf numFmtId="44" fontId="28" fillId="35" borderId="16" xfId="2" applyFont="1" applyFill="1" applyBorder="1"/>
    <xf numFmtId="0" fontId="27" fillId="0" borderId="71" xfId="4" applyFont="1" applyBorder="1" applyAlignment="1">
      <alignment horizontal="left" indent="1"/>
    </xf>
    <xf numFmtId="0" fontId="27" fillId="2" borderId="71" xfId="0" applyFont="1" applyFill="1" applyBorder="1"/>
    <xf numFmtId="0" fontId="28" fillId="0" borderId="71" xfId="4" applyFont="1" applyBorder="1" applyAlignment="1">
      <alignment horizontal="left" indent="3"/>
    </xf>
    <xf numFmtId="44" fontId="28" fillId="35" borderId="72" xfId="2" applyFont="1" applyFill="1" applyBorder="1"/>
    <xf numFmtId="44" fontId="28" fillId="35" borderId="73" xfId="2" applyFont="1" applyFill="1" applyBorder="1"/>
    <xf numFmtId="7" fontId="27" fillId="0" borderId="71" xfId="4" applyNumberFormat="1" applyFont="1" applyBorder="1"/>
    <xf numFmtId="164" fontId="27" fillId="0" borderId="72" xfId="1" applyNumberFormat="1" applyFont="1" applyFill="1" applyBorder="1"/>
    <xf numFmtId="164" fontId="27" fillId="0" borderId="72" xfId="1" applyNumberFormat="1" applyFont="1" applyBorder="1"/>
    <xf numFmtId="0" fontId="27" fillId="0" borderId="71" xfId="4" applyFont="1" applyBorder="1" applyAlignment="1">
      <alignment horizontal="left" indent="3"/>
    </xf>
    <xf numFmtId="44" fontId="27" fillId="35" borderId="72" xfId="2" applyFont="1" applyFill="1" applyBorder="1"/>
    <xf numFmtId="44" fontId="27" fillId="35" borderId="73" xfId="2" applyFont="1" applyFill="1" applyBorder="1"/>
    <xf numFmtId="0" fontId="34" fillId="0" borderId="71" xfId="4" applyFont="1" applyBorder="1" applyAlignment="1">
      <alignment horizontal="left" indent="3"/>
    </xf>
    <xf numFmtId="44" fontId="27" fillId="3" borderId="73" xfId="2" applyFont="1" applyFill="1" applyBorder="1"/>
    <xf numFmtId="0" fontId="27" fillId="0" borderId="71" xfId="4" applyFont="1" applyBorder="1"/>
    <xf numFmtId="0" fontId="28" fillId="0" borderId="71" xfId="4" applyFont="1" applyBorder="1"/>
    <xf numFmtId="0" fontId="28" fillId="0" borderId="71" xfId="4" applyFont="1" applyBorder="1" applyAlignment="1">
      <alignment horizontal="left" indent="1"/>
    </xf>
    <xf numFmtId="164" fontId="28" fillId="0" borderId="72" xfId="1" applyNumberFormat="1" applyFont="1" applyBorder="1"/>
    <xf numFmtId="44" fontId="27" fillId="35" borderId="72" xfId="2" applyFont="1" applyFill="1" applyBorder="1" applyAlignment="1">
      <alignment horizontal="center"/>
    </xf>
    <xf numFmtId="0" fontId="27" fillId="2" borderId="71" xfId="4" applyFont="1" applyFill="1" applyBorder="1" applyAlignment="1">
      <alignment horizontal="left" indent="3"/>
    </xf>
    <xf numFmtId="44" fontId="27" fillId="0" borderId="73" xfId="4" applyNumberFormat="1" applyFont="1" applyBorder="1"/>
    <xf numFmtId="0" fontId="27" fillId="35" borderId="72" xfId="4" applyFont="1" applyFill="1" applyBorder="1"/>
    <xf numFmtId="164" fontId="27" fillId="35" borderId="73" xfId="1" applyNumberFormat="1" applyFont="1" applyFill="1" applyBorder="1"/>
    <xf numFmtId="44" fontId="27" fillId="0" borderId="72" xfId="2" applyFont="1" applyBorder="1"/>
    <xf numFmtId="7" fontId="27" fillId="2" borderId="71" xfId="4" applyNumberFormat="1" applyFont="1" applyFill="1" applyBorder="1"/>
    <xf numFmtId="164" fontId="28" fillId="3" borderId="72" xfId="1" applyNumberFormat="1" applyFont="1" applyFill="1" applyBorder="1"/>
    <xf numFmtId="0" fontId="27" fillId="0" borderId="71" xfId="4" applyFont="1" applyBorder="1" applyAlignment="1">
      <alignment horizontal="left"/>
    </xf>
    <xf numFmtId="0" fontId="28" fillId="0" borderId="71" xfId="4" applyFont="1" applyBorder="1" applyAlignment="1">
      <alignment horizontal="left"/>
    </xf>
    <xf numFmtId="0" fontId="27" fillId="0" borderId="71" xfId="4" applyFont="1" applyBorder="1" applyAlignment="1">
      <alignment horizontal="left" indent="2"/>
    </xf>
    <xf numFmtId="0" fontId="27" fillId="0" borderId="75" xfId="4" applyFont="1" applyBorder="1"/>
    <xf numFmtId="0" fontId="27" fillId="0" borderId="76" xfId="4" applyFont="1" applyBorder="1"/>
    <xf numFmtId="44" fontId="27" fillId="35" borderId="78" xfId="2" applyFont="1" applyFill="1" applyBorder="1"/>
    <xf numFmtId="9" fontId="27" fillId="4" borderId="73" xfId="3" applyFont="1" applyFill="1" applyBorder="1"/>
    <xf numFmtId="166" fontId="27" fillId="0" borderId="80" xfId="4" applyNumberFormat="1" applyFont="1" applyBorder="1"/>
    <xf numFmtId="9" fontId="27" fillId="4" borderId="81" xfId="3" applyFont="1" applyFill="1" applyBorder="1"/>
    <xf numFmtId="168" fontId="28" fillId="0" borderId="71" xfId="128" applyNumberFormat="1" applyFont="1" applyFill="1" applyBorder="1" applyAlignment="1">
      <alignment horizontal="right"/>
    </xf>
    <xf numFmtId="0" fontId="27" fillId="0" borderId="14" xfId="4" applyFont="1" applyFill="1" applyBorder="1" applyAlignment="1">
      <alignment horizontal="center" vertical="center" wrapText="1"/>
    </xf>
    <xf numFmtId="40" fontId="27" fillId="2" borderId="12" xfId="4" applyNumberFormat="1" applyFont="1" applyFill="1" applyBorder="1" applyAlignment="1">
      <alignment wrapText="1"/>
    </xf>
    <xf numFmtId="0" fontId="27" fillId="2" borderId="15" xfId="4" applyFont="1" applyFill="1" applyBorder="1" applyAlignment="1">
      <alignment wrapText="1"/>
    </xf>
    <xf numFmtId="0" fontId="27" fillId="2" borderId="15" xfId="4" applyFont="1" applyFill="1" applyBorder="1"/>
    <xf numFmtId="0" fontId="0" fillId="2" borderId="15" xfId="0" applyFill="1" applyBorder="1"/>
    <xf numFmtId="40" fontId="27" fillId="2" borderId="15" xfId="4" applyNumberFormat="1" applyFont="1" applyFill="1" applyBorder="1" applyAlignment="1">
      <alignment wrapText="1"/>
    </xf>
    <xf numFmtId="0" fontId="27" fillId="6" borderId="15" xfId="0" applyFont="1" applyFill="1" applyBorder="1"/>
    <xf numFmtId="0" fontId="30" fillId="6" borderId="15" xfId="0" applyFont="1" applyFill="1" applyBorder="1"/>
    <xf numFmtId="0" fontId="31" fillId="37" borderId="15" xfId="0" applyFont="1" applyFill="1" applyBorder="1"/>
    <xf numFmtId="0" fontId="31" fillId="42" borderId="15" xfId="0" applyFont="1" applyFill="1" applyBorder="1"/>
    <xf numFmtId="0" fontId="30" fillId="37" borderId="15" xfId="0" applyFont="1" applyFill="1" applyBorder="1"/>
    <xf numFmtId="0" fontId="30" fillId="42" borderId="15" xfId="0" applyFont="1" applyFill="1" applyBorder="1"/>
    <xf numFmtId="0" fontId="43" fillId="0" borderId="0" xfId="0" applyFont="1"/>
    <xf numFmtId="0" fontId="41" fillId="0" borderId="0" xfId="0" applyFont="1" applyAlignment="1">
      <alignment horizontal="center" vertical="center" wrapText="1"/>
    </xf>
    <xf numFmtId="0" fontId="28" fillId="0" borderId="0" xfId="4" applyFont="1" applyAlignment="1">
      <alignment wrapText="1"/>
    </xf>
    <xf numFmtId="0" fontId="28" fillId="0" borderId="15" xfId="4" applyFont="1" applyBorder="1" applyAlignment="1">
      <alignment wrapText="1"/>
    </xf>
    <xf numFmtId="0" fontId="27" fillId="0" borderId="15" xfId="4" applyNumberFormat="1" applyFont="1" applyBorder="1"/>
    <xf numFmtId="0" fontId="27" fillId="0" borderId="59" xfId="4" applyFont="1" applyBorder="1"/>
    <xf numFmtId="44" fontId="27" fillId="0" borderId="58" xfId="4" applyNumberFormat="1" applyFont="1" applyBorder="1"/>
    <xf numFmtId="0" fontId="27" fillId="0" borderId="58" xfId="4" applyFont="1" applyBorder="1"/>
    <xf numFmtId="0" fontId="28" fillId="0" borderId="61" xfId="4" applyFont="1" applyBorder="1"/>
    <xf numFmtId="44" fontId="27" fillId="0" borderId="58" xfId="2" applyFont="1" applyBorder="1"/>
    <xf numFmtId="44" fontId="27" fillId="0" borderId="75" xfId="2" applyFont="1" applyBorder="1"/>
    <xf numFmtId="0" fontId="27" fillId="0" borderId="12" xfId="4" applyFont="1" applyFill="1" applyBorder="1"/>
    <xf numFmtId="0" fontId="27" fillId="0" borderId="20" xfId="4" applyFont="1" applyBorder="1" applyAlignment="1">
      <alignment horizontal="left" wrapText="1"/>
    </xf>
    <xf numFmtId="0" fontId="27" fillId="0" borderId="23" xfId="4" applyFont="1" applyBorder="1" applyAlignment="1">
      <alignment horizontal="left" wrapText="1"/>
    </xf>
    <xf numFmtId="0" fontId="27" fillId="0" borderId="79" xfId="4" applyFont="1" applyBorder="1" applyAlignment="1">
      <alignment horizontal="left" wrapText="1"/>
    </xf>
    <xf numFmtId="0" fontId="27" fillId="0" borderId="25" xfId="4" applyFont="1" applyBorder="1" applyAlignment="1">
      <alignment horizontal="left" wrapText="1"/>
    </xf>
    <xf numFmtId="0" fontId="28" fillId="0" borderId="19" xfId="4" applyFont="1" applyBorder="1" applyAlignment="1">
      <alignment wrapText="1"/>
    </xf>
    <xf numFmtId="44" fontId="27" fillId="0" borderId="15" xfId="4" applyNumberFormat="1" applyFont="1" applyBorder="1" applyAlignment="1">
      <alignment wrapText="1"/>
    </xf>
    <xf numFmtId="44" fontId="27" fillId="0" borderId="0" xfId="4" applyNumberFormat="1" applyFont="1"/>
    <xf numFmtId="44" fontId="27" fillId="0" borderId="4" xfId="4" applyNumberFormat="1" applyFont="1" applyBorder="1"/>
    <xf numFmtId="0" fontId="27" fillId="0" borderId="74" xfId="4" applyFont="1" applyBorder="1"/>
    <xf numFmtId="44" fontId="27" fillId="0" borderId="33" xfId="2" applyFont="1" applyBorder="1"/>
    <xf numFmtId="44" fontId="27" fillId="0" borderId="12" xfId="4" applyNumberFormat="1" applyFont="1" applyBorder="1"/>
    <xf numFmtId="2" fontId="27" fillId="0" borderId="12" xfId="4" applyNumberFormat="1" applyFont="1" applyBorder="1"/>
    <xf numFmtId="0" fontId="27" fillId="0" borderId="82" xfId="4" applyFont="1" applyBorder="1"/>
    <xf numFmtId="0" fontId="28" fillId="0" borderId="69" xfId="4" applyFont="1" applyBorder="1"/>
    <xf numFmtId="0" fontId="27" fillId="9" borderId="83" xfId="0" applyFont="1" applyFill="1" applyBorder="1" applyAlignment="1">
      <alignment horizontal="left" wrapText="1"/>
    </xf>
    <xf numFmtId="169" fontId="32" fillId="9" borderId="75" xfId="1" applyNumberFormat="1" applyFont="1" applyFill="1" applyBorder="1" applyAlignment="1">
      <alignment horizontal="center" vertical="center" wrapText="1"/>
    </xf>
    <xf numFmtId="169" fontId="32" fillId="38" borderId="76" xfId="1" applyNumberFormat="1" applyFont="1" applyFill="1" applyBorder="1" applyAlignment="1">
      <alignment horizontal="center" vertical="center" wrapText="1"/>
    </xf>
    <xf numFmtId="44" fontId="28" fillId="0" borderId="12" xfId="2" quotePrefix="1" applyFont="1" applyFill="1" applyBorder="1" applyAlignment="1">
      <alignment horizontal="right" wrapText="1"/>
    </xf>
    <xf numFmtId="0" fontId="30" fillId="0" borderId="0" xfId="0" quotePrefix="1" applyFont="1" applyAlignment="1">
      <alignment wrapText="1"/>
    </xf>
    <xf numFmtId="164" fontId="28" fillId="0" borderId="12" xfId="1" quotePrefix="1" applyNumberFormat="1" applyFont="1" applyFill="1" applyBorder="1" applyAlignment="1">
      <alignment horizontal="right" wrapText="1"/>
    </xf>
    <xf numFmtId="0" fontId="27" fillId="2" borderId="12" xfId="4" applyFont="1" applyFill="1" applyBorder="1"/>
    <xf numFmtId="0" fontId="27" fillId="38" borderId="56" xfId="0" applyFont="1" applyFill="1" applyBorder="1" applyAlignment="1">
      <alignment horizontal="left" wrapText="1"/>
    </xf>
    <xf numFmtId="0" fontId="27" fillId="38" borderId="56" xfId="0" applyFont="1" applyFill="1" applyBorder="1" applyAlignment="1">
      <alignment horizontal="center" wrapText="1"/>
    </xf>
    <xf numFmtId="0" fontId="27" fillId="38" borderId="83" xfId="0" applyFont="1" applyFill="1" applyBorder="1" applyAlignment="1">
      <alignment horizontal="left" wrapText="1"/>
    </xf>
    <xf numFmtId="0" fontId="27" fillId="38" borderId="83" xfId="0" applyFont="1" applyFill="1" applyBorder="1" applyAlignment="1">
      <alignment horizontal="center" wrapText="1"/>
    </xf>
    <xf numFmtId="40" fontId="27" fillId="34" borderId="63" xfId="4" applyNumberFormat="1" applyFont="1" applyFill="1" applyBorder="1" applyAlignment="1">
      <alignment wrapText="1"/>
    </xf>
    <xf numFmtId="44" fontId="28" fillId="34" borderId="12" xfId="2" quotePrefix="1" applyFont="1" applyFill="1" applyBorder="1" applyAlignment="1">
      <alignment horizontal="right" wrapText="1"/>
    </xf>
    <xf numFmtId="164" fontId="28" fillId="34" borderId="12" xfId="1" quotePrefix="1" applyNumberFormat="1" applyFont="1" applyFill="1" applyBorder="1" applyAlignment="1">
      <alignment horizontal="right" wrapText="1"/>
    </xf>
    <xf numFmtId="168" fontId="28" fillId="34" borderId="13" xfId="128" applyNumberFormat="1" applyFont="1" applyFill="1" applyBorder="1" applyAlignment="1">
      <alignment horizontal="right"/>
    </xf>
    <xf numFmtId="2" fontId="28" fillId="34" borderId="12" xfId="128" applyNumberFormat="1" applyFont="1" applyFill="1" applyBorder="1" applyAlignment="1">
      <alignment horizontal="right"/>
    </xf>
    <xf numFmtId="0" fontId="37" fillId="34" borderId="0" xfId="0" applyFont="1" applyFill="1"/>
    <xf numFmtId="44" fontId="27" fillId="0" borderId="30" xfId="4" applyNumberFormat="1" applyFont="1" applyBorder="1"/>
    <xf numFmtId="0" fontId="32" fillId="0" borderId="0" xfId="9" applyFont="1" applyFill="1" applyAlignment="1">
      <alignment horizontal="right" wrapText="1"/>
    </xf>
    <xf numFmtId="0" fontId="42" fillId="0" borderId="0" xfId="0" applyFont="1" applyAlignment="1">
      <alignment horizontal="left" wrapText="1"/>
    </xf>
    <xf numFmtId="8" fontId="27" fillId="44" borderId="56" xfId="0" applyNumberFormat="1" applyFont="1" applyFill="1" applyBorder="1" applyAlignment="1">
      <alignment horizontal="right" wrapText="1"/>
    </xf>
    <xf numFmtId="8" fontId="27" fillId="45" borderId="56" xfId="0" applyNumberFormat="1" applyFont="1" applyFill="1" applyBorder="1" applyAlignment="1">
      <alignment horizontal="right" wrapText="1"/>
    </xf>
    <xf numFmtId="8" fontId="27" fillId="46" borderId="56" xfId="0" applyNumberFormat="1" applyFont="1" applyFill="1" applyBorder="1" applyAlignment="1">
      <alignment horizontal="right" wrapText="1"/>
    </xf>
    <xf numFmtId="0" fontId="43" fillId="47" borderId="56" xfId="0" applyFont="1" applyFill="1" applyBorder="1"/>
    <xf numFmtId="8" fontId="27" fillId="48" borderId="56" xfId="0" applyNumberFormat="1" applyFont="1" applyFill="1" applyBorder="1" applyAlignment="1">
      <alignment horizontal="right" wrapText="1"/>
    </xf>
    <xf numFmtId="0" fontId="43" fillId="49" borderId="56" xfId="0" applyFont="1" applyFill="1" applyBorder="1"/>
    <xf numFmtId="8" fontId="27" fillId="50" borderId="56" xfId="0" applyNumberFormat="1" applyFont="1" applyFill="1" applyBorder="1" applyAlignment="1">
      <alignment horizontal="right" wrapText="1"/>
    </xf>
    <xf numFmtId="0" fontId="42" fillId="49" borderId="56" xfId="0" applyFont="1" applyFill="1" applyBorder="1" applyAlignment="1">
      <alignment horizontal="left" wrapText="1"/>
    </xf>
    <xf numFmtId="0" fontId="42" fillId="47" borderId="56" xfId="0" applyFont="1" applyFill="1" applyBorder="1" applyAlignment="1">
      <alignment horizontal="left" wrapText="1"/>
    </xf>
    <xf numFmtId="8" fontId="27" fillId="50" borderId="68" xfId="0" applyNumberFormat="1" applyFont="1" applyFill="1" applyBorder="1" applyAlignment="1">
      <alignment horizontal="right" wrapText="1"/>
    </xf>
    <xf numFmtId="0" fontId="43" fillId="51" borderId="0" xfId="0" applyFont="1" applyFill="1"/>
    <xf numFmtId="8" fontId="27" fillId="48" borderId="0" xfId="0" applyNumberFormat="1" applyFont="1" applyFill="1" applyAlignment="1">
      <alignment horizontal="right" wrapText="1"/>
    </xf>
    <xf numFmtId="44" fontId="27" fillId="51" borderId="56" xfId="2" applyNumberFormat="1" applyFont="1" applyFill="1" applyBorder="1" applyAlignment="1">
      <alignment horizontal="right" wrapText="1"/>
    </xf>
    <xf numFmtId="0" fontId="41" fillId="51" borderId="0" xfId="0" applyFont="1" applyFill="1" applyAlignment="1">
      <alignment horizontal="center" vertical="center" wrapText="1"/>
    </xf>
    <xf numFmtId="8" fontId="27" fillId="50" borderId="0" xfId="0" applyNumberFormat="1" applyFont="1" applyFill="1" applyAlignment="1">
      <alignment horizontal="right" wrapText="1"/>
    </xf>
    <xf numFmtId="44" fontId="27" fillId="47" borderId="56" xfId="2" applyNumberFormat="1" applyFont="1" applyFill="1" applyBorder="1" applyAlignment="1">
      <alignment horizontal="right" wrapText="1"/>
    </xf>
    <xf numFmtId="0" fontId="42" fillId="51" borderId="0" xfId="0" applyFont="1" applyFill="1" applyAlignment="1">
      <alignment horizontal="left" wrapText="1"/>
    </xf>
    <xf numFmtId="8" fontId="27" fillId="50" borderId="30" xfId="0" applyNumberFormat="1" applyFont="1" applyFill="1" applyBorder="1" applyAlignment="1">
      <alignment horizontal="right" wrapText="1"/>
    </xf>
    <xf numFmtId="0" fontId="0" fillId="51" borderId="0" xfId="0" applyFill="1"/>
    <xf numFmtId="44" fontId="27" fillId="47" borderId="0" xfId="9" applyNumberFormat="1" applyFont="1" applyFill="1" applyAlignment="1">
      <alignment horizontal="left" wrapText="1"/>
    </xf>
    <xf numFmtId="44" fontId="27" fillId="43" borderId="56" xfId="2" applyNumberFormat="1" applyFont="1" applyFill="1" applyBorder="1" applyAlignment="1">
      <alignment horizontal="right" wrapText="1"/>
    </xf>
    <xf numFmtId="44" fontId="27" fillId="37" borderId="56" xfId="2" applyNumberFormat="1" applyFont="1" applyFill="1" applyBorder="1" applyAlignment="1">
      <alignment horizontal="right" wrapText="1"/>
    </xf>
    <xf numFmtId="44" fontId="27" fillId="38" borderId="56" xfId="2" applyNumberFormat="1" applyFont="1" applyFill="1" applyBorder="1" applyAlignment="1">
      <alignment horizontal="right" wrapText="1"/>
    </xf>
    <xf numFmtId="0" fontId="44" fillId="0" borderId="9" xfId="0" applyFont="1" applyBorder="1" applyAlignment="1">
      <alignment horizontal="center" wrapText="1"/>
    </xf>
    <xf numFmtId="0" fontId="44" fillId="0" borderId="41" xfId="0" applyFont="1" applyBorder="1" applyAlignment="1">
      <alignment horizontal="center" wrapText="1"/>
    </xf>
    <xf numFmtId="168" fontId="27" fillId="0" borderId="12" xfId="4" applyNumberFormat="1" applyFont="1" applyBorder="1"/>
    <xf numFmtId="44" fontId="27" fillId="52" borderId="16" xfId="2" applyFont="1" applyFill="1" applyBorder="1"/>
    <xf numFmtId="0" fontId="27" fillId="0" borderId="0" xfId="4" applyFont="1" applyBorder="1"/>
    <xf numFmtId="44" fontId="27" fillId="35" borderId="79" xfId="2" applyFont="1" applyFill="1" applyBorder="1"/>
    <xf numFmtId="44" fontId="27" fillId="35" borderId="81" xfId="2" applyFont="1" applyFill="1" applyBorder="1"/>
    <xf numFmtId="0" fontId="28" fillId="0" borderId="15" xfId="4" applyFont="1" applyBorder="1" applyAlignment="1">
      <alignment horizontal="left"/>
    </xf>
    <xf numFmtId="0" fontId="27" fillId="0" borderId="74" xfId="4" applyFont="1" applyBorder="1" applyAlignment="1">
      <alignment horizontal="left" indent="1"/>
    </xf>
    <xf numFmtId="44" fontId="27" fillId="0" borderId="77" xfId="2" applyFont="1" applyBorder="1"/>
    <xf numFmtId="164" fontId="27" fillId="0" borderId="78" xfId="1" applyNumberFormat="1" applyFont="1" applyBorder="1"/>
    <xf numFmtId="44" fontId="27" fillId="0" borderId="80" xfId="2" applyFont="1" applyFill="1" applyBorder="1"/>
    <xf numFmtId="164" fontId="27" fillId="3" borderId="15" xfId="1" applyNumberFormat="1" applyFont="1" applyFill="1" applyBorder="1"/>
    <xf numFmtId="164" fontId="28" fillId="3" borderId="15" xfId="1" applyNumberFormat="1" applyFont="1" applyFill="1" applyBorder="1"/>
    <xf numFmtId="0" fontId="27" fillId="0" borderId="15" xfId="4" applyFont="1" applyFill="1" applyBorder="1"/>
    <xf numFmtId="0" fontId="27" fillId="0" borderId="30" xfId="4" applyNumberFormat="1" applyFont="1" applyFill="1" applyBorder="1"/>
    <xf numFmtId="0" fontId="27" fillId="0" borderId="14" xfId="4" applyFont="1" applyFill="1" applyBorder="1"/>
    <xf numFmtId="0" fontId="27" fillId="36" borderId="9" xfId="4" applyNumberFormat="1" applyFont="1" applyFill="1" applyBorder="1"/>
    <xf numFmtId="0" fontId="27" fillId="0" borderId="75" xfId="4" applyFont="1" applyFill="1" applyBorder="1"/>
    <xf numFmtId="0" fontId="27" fillId="0" borderId="33" xfId="4" applyFont="1" applyFill="1" applyBorder="1"/>
    <xf numFmtId="0" fontId="27" fillId="0" borderId="0" xfId="4" applyNumberFormat="1" applyFont="1" applyFill="1" applyBorder="1"/>
    <xf numFmtId="0" fontId="27" fillId="0" borderId="76" xfId="4" applyFont="1" applyFill="1" applyBorder="1"/>
    <xf numFmtId="164" fontId="27" fillId="35" borderId="79" xfId="1" applyNumberFormat="1" applyFont="1" applyFill="1" applyBorder="1"/>
    <xf numFmtId="164" fontId="27" fillId="35" borderId="81" xfId="1" applyNumberFormat="1" applyFont="1" applyFill="1" applyBorder="1"/>
    <xf numFmtId="164" fontId="27" fillId="0" borderId="74" xfId="1" applyNumberFormat="1" applyFont="1" applyBorder="1"/>
    <xf numFmtId="0" fontId="27" fillId="36" borderId="84" xfId="4" applyNumberFormat="1" applyFont="1" applyFill="1" applyBorder="1"/>
    <xf numFmtId="44" fontId="28" fillId="52" borderId="16" xfId="2" applyNumberFormat="1" applyFont="1" applyFill="1" applyBorder="1"/>
    <xf numFmtId="44" fontId="27" fillId="52" borderId="24" xfId="2" applyFont="1" applyFill="1" applyBorder="1"/>
    <xf numFmtId="44" fontId="28" fillId="52" borderId="16" xfId="2" applyFont="1" applyFill="1" applyBorder="1"/>
    <xf numFmtId="164" fontId="28" fillId="0" borderId="71" xfId="1" applyNumberFormat="1" applyFont="1" applyBorder="1"/>
    <xf numFmtId="44" fontId="28" fillId="52" borderId="9" xfId="2" applyFont="1" applyFill="1" applyBorder="1"/>
    <xf numFmtId="0" fontId="27" fillId="36" borderId="53" xfId="4" applyFont="1" applyFill="1" applyBorder="1"/>
    <xf numFmtId="0" fontId="28" fillId="0" borderId="85" xfId="4" applyFont="1" applyBorder="1" applyAlignment="1">
      <alignment horizontal="left"/>
    </xf>
    <xf numFmtId="44" fontId="27" fillId="35" borderId="33" xfId="2" applyFont="1" applyFill="1" applyBorder="1"/>
    <xf numFmtId="0" fontId="27" fillId="35" borderId="33" xfId="4" applyFont="1" applyFill="1" applyBorder="1"/>
    <xf numFmtId="0" fontId="30" fillId="0" borderId="0" xfId="0" applyFont="1" applyBorder="1"/>
    <xf numFmtId="44" fontId="28" fillId="52" borderId="84" xfId="2" applyFont="1" applyFill="1" applyBorder="1"/>
    <xf numFmtId="44" fontId="28" fillId="52" borderId="77" xfId="2" applyFont="1" applyFill="1" applyBorder="1"/>
    <xf numFmtId="44" fontId="28" fillId="52" borderId="33" xfId="1" applyNumberFormat="1" applyFont="1" applyFill="1" applyBorder="1"/>
    <xf numFmtId="44" fontId="28" fillId="52" borderId="33" xfId="4" applyNumberFormat="1" applyFont="1" applyFill="1" applyBorder="1"/>
    <xf numFmtId="44" fontId="28" fillId="52" borderId="33" xfId="2" applyNumberFormat="1" applyFont="1" applyFill="1" applyBorder="1"/>
    <xf numFmtId="0" fontId="2" fillId="0" borderId="0" xfId="0" applyFont="1" applyAlignment="1">
      <alignment horizontal="center" vertical="center" wrapText="1"/>
    </xf>
    <xf numFmtId="8" fontId="27" fillId="44" borderId="56" xfId="0" applyNumberFormat="1" applyFont="1" applyFill="1" applyBorder="1" applyAlignment="1">
      <alignment horizontal="left" wrapText="1"/>
    </xf>
    <xf numFmtId="8" fontId="27" fillId="45" borderId="56" xfId="0" applyNumberFormat="1" applyFont="1" applyFill="1" applyBorder="1" applyAlignment="1">
      <alignment horizontal="left" wrapText="1"/>
    </xf>
    <xf numFmtId="8" fontId="27" fillId="46" borderId="56" xfId="0" applyNumberFormat="1" applyFont="1" applyFill="1" applyBorder="1" applyAlignment="1">
      <alignment horizontal="left" wrapText="1"/>
    </xf>
    <xf numFmtId="2" fontId="30" fillId="0" borderId="0" xfId="0" applyNumberFormat="1" applyFont="1"/>
    <xf numFmtId="0" fontId="27" fillId="0" borderId="0" xfId="0" applyFont="1" applyAlignment="1">
      <alignment horizontal="center" vertical="center" wrapText="1"/>
    </xf>
    <xf numFmtId="43" fontId="32" fillId="38" borderId="4" xfId="1" applyFont="1" applyFill="1" applyBorder="1" applyAlignment="1">
      <alignment horizontal="center" vertical="center" wrapText="1"/>
    </xf>
    <xf numFmtId="0" fontId="32" fillId="9" borderId="62" xfId="0" applyFont="1" applyFill="1" applyBorder="1" applyAlignment="1">
      <alignment horizontal="center" vertical="center" wrapText="1"/>
    </xf>
    <xf numFmtId="43" fontId="32" fillId="38" borderId="15" xfId="1" applyFont="1" applyFill="1" applyBorder="1" applyAlignment="1">
      <alignment horizontal="center" vertical="center" wrapText="1"/>
    </xf>
    <xf numFmtId="0" fontId="27" fillId="9" borderId="68" xfId="0" applyFont="1" applyFill="1" applyBorder="1" applyAlignment="1">
      <alignment horizontal="left" wrapText="1"/>
    </xf>
    <xf numFmtId="43" fontId="27" fillId="0" borderId="75" xfId="44" applyFont="1" applyFill="1" applyBorder="1" applyAlignment="1">
      <alignment horizontal="center" vertical="center" wrapText="1"/>
    </xf>
    <xf numFmtId="8" fontId="28" fillId="46" borderId="56" xfId="0" applyNumberFormat="1" applyFont="1" applyFill="1" applyBorder="1" applyAlignment="1">
      <alignment horizontal="left" wrapText="1"/>
    </xf>
    <xf numFmtId="8" fontId="28" fillId="45" borderId="56" xfId="0" applyNumberFormat="1" applyFont="1" applyFill="1" applyBorder="1" applyAlignment="1">
      <alignment horizontal="left" wrapText="1"/>
    </xf>
    <xf numFmtId="0" fontId="28" fillId="0" borderId="9" xfId="4" applyFont="1" applyBorder="1" applyAlignment="1">
      <alignment wrapText="1"/>
    </xf>
    <xf numFmtId="43" fontId="32" fillId="38" borderId="15" xfId="1" applyNumberFormat="1" applyFont="1" applyFill="1" applyBorder="1" applyAlignment="1">
      <alignment horizontal="center" vertical="center" wrapText="1"/>
    </xf>
    <xf numFmtId="0" fontId="32" fillId="9" borderId="16" xfId="0" applyNumberFormat="1" applyFont="1" applyFill="1" applyBorder="1" applyAlignment="1">
      <alignment horizontal="center" vertical="center" wrapText="1"/>
    </xf>
    <xf numFmtId="164" fontId="45" fillId="2" borderId="15" xfId="1" applyNumberFormat="1" applyFont="1" applyFill="1" applyBorder="1"/>
    <xf numFmtId="0" fontId="30" fillId="0" borderId="15" xfId="0" applyFont="1" applyBorder="1" applyAlignment="1">
      <alignment vertical="center"/>
    </xf>
    <xf numFmtId="0" fontId="27" fillId="0" borderId="15" xfId="0" applyFont="1" applyBorder="1"/>
    <xf numFmtId="0" fontId="27" fillId="0" borderId="15" xfId="0" applyFont="1" applyBorder="1" applyAlignment="1">
      <alignment horizontal="left"/>
    </xf>
    <xf numFmtId="0" fontId="28" fillId="0" borderId="15" xfId="0" applyFont="1" applyBorder="1"/>
    <xf numFmtId="0" fontId="27" fillId="0" borderId="32" xfId="0" applyFont="1" applyBorder="1"/>
    <xf numFmtId="0" fontId="46" fillId="0" borderId="15" xfId="0" applyFont="1" applyBorder="1" applyAlignment="1">
      <alignment horizontal="center"/>
    </xf>
    <xf numFmtId="0" fontId="47" fillId="0" borderId="0" xfId="0" applyFont="1"/>
    <xf numFmtId="0" fontId="46" fillId="0" borderId="71" xfId="0" applyFont="1" applyBorder="1" applyAlignment="1">
      <alignment horizontal="center"/>
    </xf>
    <xf numFmtId="0" fontId="46" fillId="0" borderId="0" xfId="69" applyFont="1" applyAlignment="1">
      <alignment horizontal="center" vertical="center"/>
    </xf>
    <xf numFmtId="0" fontId="46" fillId="0" borderId="0" xfId="69" applyFont="1" applyBorder="1" applyAlignment="1">
      <alignment horizontal="center" vertical="center"/>
    </xf>
    <xf numFmtId="0" fontId="46" fillId="0" borderId="69" xfId="69" applyFont="1" applyBorder="1" applyAlignment="1">
      <alignment horizontal="center" vertical="center"/>
    </xf>
    <xf numFmtId="164" fontId="48" fillId="0" borderId="15" xfId="44" applyNumberFormat="1" applyFont="1" applyBorder="1" applyAlignment="1">
      <alignment horizontal="center" vertical="center" wrapText="1"/>
    </xf>
    <xf numFmtId="0" fontId="46" fillId="0" borderId="69" xfId="69" quotePrefix="1" applyFont="1" applyBorder="1" applyAlignment="1">
      <alignment horizontal="center" vertical="center"/>
    </xf>
    <xf numFmtId="0" fontId="46" fillId="0" borderId="30" xfId="69" applyFont="1" applyBorder="1" applyAlignment="1">
      <alignment horizontal="center" vertical="center"/>
    </xf>
    <xf numFmtId="0" fontId="46" fillId="0" borderId="86" xfId="69" quotePrefix="1" applyFont="1" applyBorder="1" applyAlignment="1">
      <alignment horizontal="center" vertical="center"/>
    </xf>
    <xf numFmtId="0" fontId="46" fillId="0" borderId="0" xfId="0" applyFont="1" applyBorder="1"/>
    <xf numFmtId="0" fontId="43" fillId="49" borderId="56" xfId="0" applyFont="1" applyFill="1" applyBorder="1" applyAlignment="1">
      <alignment horizontal="left"/>
    </xf>
    <xf numFmtId="0" fontId="48" fillId="0" borderId="0" xfId="69" applyFont="1" applyAlignment="1">
      <alignment horizontal="center" vertical="center"/>
    </xf>
    <xf numFmtId="0" fontId="49" fillId="0" borderId="0" xfId="0" applyFont="1"/>
    <xf numFmtId="8" fontId="28" fillId="46" borderId="56" xfId="0" applyNumberFormat="1" applyFont="1" applyFill="1" applyBorder="1" applyAlignment="1">
      <alignment horizontal="right" wrapText="1"/>
    </xf>
    <xf numFmtId="8" fontId="28" fillId="45" borderId="56" xfId="0" applyNumberFormat="1" applyFont="1" applyFill="1" applyBorder="1" applyAlignment="1">
      <alignment horizontal="right" wrapText="1"/>
    </xf>
    <xf numFmtId="0" fontId="2" fillId="0" borderId="0" xfId="0" applyFont="1" applyAlignment="1">
      <alignment horizontal="left"/>
    </xf>
    <xf numFmtId="0" fontId="27" fillId="9" borderId="87" xfId="0" applyFont="1" applyFill="1" applyBorder="1" applyAlignment="1">
      <alignment horizontal="left" wrapText="1"/>
    </xf>
    <xf numFmtId="0" fontId="27" fillId="38" borderId="87" xfId="0" applyFont="1" applyFill="1" applyBorder="1" applyAlignment="1">
      <alignment horizontal="center" wrapText="1"/>
    </xf>
    <xf numFmtId="0" fontId="28" fillId="38" borderId="15" xfId="0" applyFont="1" applyFill="1" applyBorder="1" applyAlignment="1">
      <alignment horizontal="left" wrapText="1"/>
    </xf>
    <xf numFmtId="0" fontId="28" fillId="38" borderId="15" xfId="0" applyFont="1" applyFill="1" applyBorder="1" applyAlignment="1">
      <alignment horizontal="center" wrapText="1"/>
    </xf>
    <xf numFmtId="0" fontId="32" fillId="9" borderId="0" xfId="0" applyFont="1" applyFill="1" applyAlignment="1">
      <alignment horizontal="center" vertical="center" wrapText="1"/>
    </xf>
    <xf numFmtId="0" fontId="31" fillId="0" borderId="33" xfId="0" applyFont="1" applyBorder="1" applyAlignment="1">
      <alignment horizontal="center" vertical="center" wrapText="1"/>
    </xf>
    <xf numFmtId="169" fontId="32" fillId="9" borderId="0" xfId="0" applyNumberFormat="1" applyFont="1" applyFill="1" applyAlignment="1">
      <alignment horizontal="center" vertical="center" wrapText="1"/>
    </xf>
    <xf numFmtId="164" fontId="32" fillId="9" borderId="0" xfId="44" applyNumberFormat="1" applyFont="1" applyFill="1" applyBorder="1" applyAlignment="1">
      <alignment horizontal="center" vertical="center" wrapText="1"/>
    </xf>
    <xf numFmtId="0" fontId="32" fillId="9" borderId="4" xfId="0" applyFont="1" applyFill="1" applyBorder="1" applyAlignment="1">
      <alignment horizontal="center" vertical="center" wrapText="1"/>
    </xf>
    <xf numFmtId="0" fontId="32" fillId="9" borderId="15" xfId="0" applyNumberFormat="1" applyFont="1" applyFill="1" applyBorder="1" applyAlignment="1">
      <alignment horizontal="center" vertical="center" wrapText="1"/>
    </xf>
    <xf numFmtId="0" fontId="32" fillId="9" borderId="15" xfId="0" applyFont="1" applyFill="1" applyBorder="1" applyAlignment="1">
      <alignment horizontal="center" vertical="center" wrapText="1"/>
    </xf>
    <xf numFmtId="0" fontId="32" fillId="9" borderId="10" xfId="0" applyFont="1" applyFill="1" applyBorder="1" applyAlignment="1">
      <alignment horizontal="center" vertical="center" wrapText="1"/>
    </xf>
    <xf numFmtId="0" fontId="38" fillId="9" borderId="7" xfId="0" applyFont="1" applyFill="1" applyBorder="1" applyAlignment="1">
      <alignment horizontal="center" vertical="center" wrapText="1"/>
    </xf>
    <xf numFmtId="169" fontId="27" fillId="8" borderId="56" xfId="1" applyNumberFormat="1" applyFont="1" applyFill="1" applyBorder="1" applyAlignment="1">
      <alignment horizontal="left" wrapText="1"/>
    </xf>
    <xf numFmtId="169" fontId="27" fillId="8" borderId="56" xfId="1" applyNumberFormat="1" applyFont="1" applyFill="1" applyBorder="1" applyAlignment="1">
      <alignment horizontal="center" wrapText="1"/>
    </xf>
    <xf numFmtId="169" fontId="27" fillId="2" borderId="15" xfId="1" applyNumberFormat="1" applyFont="1" applyFill="1" applyBorder="1"/>
    <xf numFmtId="43" fontId="27" fillId="2" borderId="15" xfId="1" applyNumberFormat="1" applyFont="1" applyFill="1" applyBorder="1"/>
    <xf numFmtId="170" fontId="27" fillId="2" borderId="15" xfId="1" applyNumberFormat="1" applyFont="1" applyFill="1" applyBorder="1"/>
    <xf numFmtId="0" fontId="2" fillId="0" borderId="0" xfId="0" applyFont="1" applyFill="1" applyAlignment="1">
      <alignment horizontal="left"/>
    </xf>
    <xf numFmtId="0" fontId="41" fillId="0" borderId="0" xfId="0" applyFont="1" applyFill="1" applyAlignment="1">
      <alignment horizontal="left"/>
    </xf>
    <xf numFmtId="10" fontId="27" fillId="3" borderId="0" xfId="4" applyNumberFormat="1" applyFont="1" applyFill="1" applyBorder="1"/>
    <xf numFmtId="0" fontId="28" fillId="0" borderId="88" xfId="4" applyFont="1" applyBorder="1" applyAlignment="1">
      <alignment horizontal="center"/>
    </xf>
    <xf numFmtId="0" fontId="27" fillId="0" borderId="63" xfId="4" applyFont="1" applyBorder="1"/>
    <xf numFmtId="164" fontId="27" fillId="2" borderId="63" xfId="1" applyNumberFormat="1" applyFont="1" applyFill="1" applyBorder="1"/>
    <xf numFmtId="164" fontId="45" fillId="2" borderId="63" xfId="1" applyNumberFormat="1" applyFont="1" applyFill="1" applyBorder="1"/>
    <xf numFmtId="169" fontId="27" fillId="2" borderId="63" xfId="1" applyNumberFormat="1" applyFont="1" applyFill="1" applyBorder="1"/>
    <xf numFmtId="43" fontId="27" fillId="2" borderId="63" xfId="1" applyNumberFormat="1" applyFont="1" applyFill="1" applyBorder="1"/>
    <xf numFmtId="164" fontId="28" fillId="0" borderId="32" xfId="4" applyNumberFormat="1" applyFont="1" applyBorder="1"/>
    <xf numFmtId="0" fontId="33" fillId="0" borderId="32" xfId="4" applyFont="1" applyBorder="1" applyAlignment="1">
      <alignment horizontal="center"/>
    </xf>
    <xf numFmtId="44" fontId="27" fillId="3" borderId="32" xfId="2" applyFont="1" applyFill="1" applyBorder="1"/>
    <xf numFmtId="44" fontId="27" fillId="0" borderId="32" xfId="2" applyFont="1" applyBorder="1"/>
    <xf numFmtId="44" fontId="27" fillId="3" borderId="72" xfId="4" applyNumberFormat="1" applyFont="1" applyFill="1" applyBorder="1"/>
    <xf numFmtId="0" fontId="27" fillId="0" borderId="72" xfId="4" applyFont="1" applyBorder="1"/>
    <xf numFmtId="0" fontId="28" fillId="0" borderId="72" xfId="4" applyFont="1" applyBorder="1"/>
    <xf numFmtId="0" fontId="27" fillId="0" borderId="32" xfId="4" applyFont="1" applyBorder="1" applyAlignment="1">
      <alignment horizontal="center"/>
    </xf>
    <xf numFmtId="0" fontId="28" fillId="0" borderId="32" xfId="4" applyFont="1" applyBorder="1"/>
    <xf numFmtId="164" fontId="28" fillId="3" borderId="32" xfId="4" applyNumberFormat="1" applyFont="1" applyFill="1" applyBorder="1"/>
    <xf numFmtId="44" fontId="27" fillId="3" borderId="32" xfId="4" applyNumberFormat="1" applyFont="1" applyFill="1" applyBorder="1"/>
    <xf numFmtId="0" fontId="27" fillId="0" borderId="32" xfId="4" applyFont="1" applyFill="1" applyBorder="1"/>
    <xf numFmtId="0" fontId="27" fillId="0" borderId="89" xfId="4" applyFont="1" applyBorder="1"/>
    <xf numFmtId="0" fontId="27" fillId="0" borderId="89" xfId="4" applyFont="1" applyFill="1" applyBorder="1"/>
    <xf numFmtId="0" fontId="27" fillId="0" borderId="15" xfId="4" applyFont="1" applyBorder="1" applyAlignment="1">
      <alignment horizontal="left" vertical="top" wrapText="1"/>
    </xf>
    <xf numFmtId="0" fontId="28" fillId="0" borderId="15" xfId="4" applyFont="1" applyBorder="1" applyAlignment="1">
      <alignment horizontal="center" vertical="top" wrapText="1"/>
    </xf>
    <xf numFmtId="0" fontId="28" fillId="0" borderId="16" xfId="4" applyFont="1" applyBorder="1" applyAlignment="1">
      <alignment horizontal="center" vertical="top" wrapText="1"/>
    </xf>
    <xf numFmtId="0" fontId="28" fillId="0" borderId="8" xfId="4" applyFont="1" applyBorder="1" applyAlignment="1">
      <alignment horizontal="center"/>
    </xf>
    <xf numFmtId="0" fontId="50" fillId="0" borderId="15" xfId="4" applyFont="1" applyBorder="1" applyAlignment="1">
      <alignment horizontal="left" vertical="top" wrapText="1"/>
    </xf>
    <xf numFmtId="0" fontId="52" fillId="0" borderId="15" xfId="4" applyFont="1" applyBorder="1" applyAlignment="1">
      <alignment horizontal="left" vertical="top" wrapText="1"/>
    </xf>
    <xf numFmtId="0" fontId="28" fillId="0" borderId="15" xfId="4" applyFont="1" applyBorder="1" applyAlignment="1">
      <alignment horizontal="center" vertical="top" wrapText="1"/>
    </xf>
    <xf numFmtId="0" fontId="28" fillId="0" borderId="16" xfId="4" applyFont="1" applyBorder="1" applyAlignment="1">
      <alignment horizontal="center" vertical="top" wrapText="1"/>
    </xf>
    <xf numFmtId="0" fontId="28" fillId="3" borderId="15" xfId="4" applyFont="1" applyFill="1" applyBorder="1" applyAlignment="1">
      <alignment horizontal="center" vertical="top" wrapText="1"/>
    </xf>
    <xf numFmtId="0" fontId="28" fillId="3" borderId="16" xfId="4" applyFont="1" applyFill="1" applyBorder="1" applyAlignment="1">
      <alignment horizontal="center" vertical="top" wrapText="1"/>
    </xf>
    <xf numFmtId="0" fontId="27" fillId="7" borderId="15" xfId="4" applyFont="1" applyFill="1" applyBorder="1" applyAlignment="1">
      <alignment horizontal="center" vertical="top" wrapText="1"/>
    </xf>
    <xf numFmtId="0" fontId="27" fillId="7" borderId="16" xfId="4" applyFont="1" applyFill="1" applyBorder="1" applyAlignment="1">
      <alignment horizontal="center" vertical="top" wrapText="1"/>
    </xf>
    <xf numFmtId="49" fontId="28" fillId="2" borderId="15" xfId="1" applyNumberFormat="1" applyFont="1" applyFill="1" applyBorder="1" applyAlignment="1">
      <alignment horizontal="center"/>
    </xf>
    <xf numFmtId="49" fontId="28" fillId="2" borderId="16" xfId="1" applyNumberFormat="1" applyFont="1" applyFill="1" applyBorder="1" applyAlignment="1">
      <alignment horizontal="center"/>
    </xf>
    <xf numFmtId="0" fontId="28" fillId="0" borderId="61" xfId="4" applyFont="1" applyBorder="1" applyAlignment="1">
      <alignment horizontal="center" vertical="top" wrapText="1"/>
    </xf>
    <xf numFmtId="0" fontId="28" fillId="0" borderId="4" xfId="4" applyFont="1" applyBorder="1" applyAlignment="1">
      <alignment horizontal="center" vertical="top" wrapText="1"/>
    </xf>
    <xf numFmtId="0" fontId="28" fillId="0" borderId="62" xfId="4" applyFont="1" applyBorder="1" applyAlignment="1">
      <alignment horizontal="center" vertical="top" wrapText="1"/>
    </xf>
    <xf numFmtId="0" fontId="28" fillId="3" borderId="14" xfId="4" applyFont="1" applyFill="1" applyBorder="1" applyAlignment="1">
      <alignment horizontal="center" vertical="top" wrapText="1"/>
    </xf>
    <xf numFmtId="49" fontId="28" fillId="2" borderId="14" xfId="1" applyNumberFormat="1" applyFont="1" applyFill="1" applyBorder="1" applyAlignment="1">
      <alignment horizontal="center"/>
    </xf>
    <xf numFmtId="0" fontId="27" fillId="7" borderId="14" xfId="4" applyFont="1" applyFill="1" applyBorder="1" applyAlignment="1">
      <alignment horizontal="center" vertical="top" wrapText="1"/>
    </xf>
    <xf numFmtId="0" fontId="27" fillId="0" borderId="14" xfId="4" applyFont="1" applyBorder="1" applyAlignment="1">
      <alignment horizontal="left" vertical="top" wrapText="1"/>
    </xf>
    <xf numFmtId="0" fontId="27" fillId="0" borderId="15" xfId="4" applyFont="1" applyBorder="1" applyAlignment="1">
      <alignment horizontal="left" vertical="top" wrapText="1"/>
    </xf>
    <xf numFmtId="0" fontId="27" fillId="0" borderId="16" xfId="4" applyFont="1" applyBorder="1" applyAlignment="1">
      <alignment horizontal="left" vertical="top" wrapText="1"/>
    </xf>
    <xf numFmtId="0" fontId="27" fillId="0" borderId="59" xfId="4" applyFont="1" applyBorder="1" applyAlignment="1">
      <alignment horizontal="left" vertical="top" wrapText="1"/>
    </xf>
    <xf numFmtId="0" fontId="27" fillId="0" borderId="58" xfId="4" applyFont="1" applyBorder="1" applyAlignment="1">
      <alignment horizontal="left" vertical="top" wrapText="1"/>
    </xf>
    <xf numFmtId="0" fontId="27" fillId="0" borderId="60" xfId="4" applyFont="1" applyBorder="1" applyAlignment="1">
      <alignment horizontal="left" vertical="top" wrapText="1"/>
    </xf>
    <xf numFmtId="0" fontId="28" fillId="0" borderId="1" xfId="4" applyFont="1" applyBorder="1" applyAlignment="1">
      <alignment horizontal="center"/>
    </xf>
    <xf numFmtId="0" fontId="28" fillId="0" borderId="2" xfId="4" applyFont="1" applyBorder="1" applyAlignment="1">
      <alignment horizontal="center"/>
    </xf>
    <xf numFmtId="0" fontId="28" fillId="0" borderId="3" xfId="4" applyFont="1" applyBorder="1" applyAlignment="1">
      <alignment horizontal="center"/>
    </xf>
    <xf numFmtId="0" fontId="28" fillId="35" borderId="19" xfId="4" applyFont="1" applyFill="1" applyBorder="1" applyAlignment="1">
      <alignment horizontal="center"/>
    </xf>
    <xf numFmtId="0" fontId="28" fillId="35" borderId="8" xfId="4" applyFont="1" applyFill="1" applyBorder="1" applyAlignment="1">
      <alignment horizontal="center"/>
    </xf>
    <xf numFmtId="0" fontId="28" fillId="0" borderId="41" xfId="4" applyFont="1" applyBorder="1" applyAlignment="1">
      <alignment horizontal="center"/>
    </xf>
    <xf numFmtId="0" fontId="28" fillId="0" borderId="8" xfId="4" applyFont="1" applyBorder="1" applyAlignment="1">
      <alignment horizontal="center"/>
    </xf>
    <xf numFmtId="0" fontId="28" fillId="0" borderId="19" xfId="4" applyFont="1" applyBorder="1" applyAlignment="1">
      <alignment horizontal="center"/>
    </xf>
    <xf numFmtId="0" fontId="28" fillId="35" borderId="38" xfId="4" applyFont="1" applyFill="1" applyBorder="1" applyAlignment="1">
      <alignment horizontal="center"/>
    </xf>
    <xf numFmtId="0" fontId="28" fillId="35" borderId="35" xfId="4" applyFont="1" applyFill="1" applyBorder="1" applyAlignment="1">
      <alignment horizontal="center"/>
    </xf>
    <xf numFmtId="49" fontId="28" fillId="0" borderId="19" xfId="0" applyNumberFormat="1" applyFont="1" applyBorder="1" applyAlignment="1">
      <alignment horizontal="center" vertical="center"/>
    </xf>
    <xf numFmtId="49" fontId="28" fillId="0" borderId="41" xfId="0" applyNumberFormat="1" applyFont="1" applyBorder="1" applyAlignment="1">
      <alignment horizontal="center" vertical="center"/>
    </xf>
    <xf numFmtId="49" fontId="28" fillId="0" borderId="8" xfId="0" applyNumberFormat="1" applyFont="1" applyBorder="1" applyAlignment="1">
      <alignment horizontal="center" vertical="center"/>
    </xf>
    <xf numFmtId="0" fontId="31" fillId="0" borderId="19" xfId="0" applyFont="1" applyBorder="1" applyAlignment="1">
      <alignment horizontal="center" vertical="center"/>
    </xf>
    <xf numFmtId="0" fontId="31" fillId="0" borderId="8" xfId="0" applyFont="1" applyBorder="1" applyAlignment="1">
      <alignment horizontal="center" vertical="center"/>
    </xf>
  </cellXfs>
  <cellStyles count="129">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alculation 2 2" xfId="41" xr:uid="{00000000-0005-0000-0000-00001A000000}"/>
    <cellStyle name="Calculation 2 3" xfId="42" xr:uid="{00000000-0005-0000-0000-00001B000000}"/>
    <cellStyle name="Check Cell 2" xfId="43" xr:uid="{00000000-0005-0000-0000-00001C000000}"/>
    <cellStyle name="Comma" xfId="1" builtinId="3"/>
    <cellStyle name="Comma 2" xfId="44" xr:uid="{00000000-0005-0000-0000-00001E000000}"/>
    <cellStyle name="Comma 2 2" xfId="45" xr:uid="{00000000-0005-0000-0000-00001F000000}"/>
    <cellStyle name="Comma 2 3" xfId="46" xr:uid="{00000000-0005-0000-0000-000020000000}"/>
    <cellStyle name="Comma 3" xfId="47" xr:uid="{00000000-0005-0000-0000-000021000000}"/>
    <cellStyle name="Comma 4" xfId="118" xr:uid="{00000000-0005-0000-0000-000022000000}"/>
    <cellStyle name="Currency" xfId="2" builtinId="4"/>
    <cellStyle name="Currency 2" xfId="48" xr:uid="{00000000-0005-0000-0000-000024000000}"/>
    <cellStyle name="Currency 2 2" xfId="49" xr:uid="{00000000-0005-0000-0000-000025000000}"/>
    <cellStyle name="Currency 2 3" xfId="50" xr:uid="{00000000-0005-0000-0000-000026000000}"/>
    <cellStyle name="Currency 3" xfId="10" xr:uid="{00000000-0005-0000-0000-000027000000}"/>
    <cellStyle name="Currency 4" xfId="51" xr:uid="{00000000-0005-0000-0000-000028000000}"/>
    <cellStyle name="Currency 5" xfId="52" xr:uid="{00000000-0005-0000-0000-000029000000}"/>
    <cellStyle name="Currency 6" xfId="53" xr:uid="{00000000-0005-0000-0000-00002A000000}"/>
    <cellStyle name="Currency 7" xfId="54" xr:uid="{00000000-0005-0000-0000-00002B000000}"/>
    <cellStyle name="Currency 8" xfId="55" xr:uid="{00000000-0005-0000-0000-00002C000000}"/>
    <cellStyle name="Currency 9" xfId="119" xr:uid="{00000000-0005-0000-0000-00002D000000}"/>
    <cellStyle name="Explanatory Text 2" xfId="56" xr:uid="{00000000-0005-0000-0000-00002E000000}"/>
    <cellStyle name="Good 2" xfId="57" xr:uid="{00000000-0005-0000-0000-00002F000000}"/>
    <cellStyle name="Heading 1 2" xfId="58" xr:uid="{00000000-0005-0000-0000-000030000000}"/>
    <cellStyle name="Heading 2 2" xfId="59" xr:uid="{00000000-0005-0000-0000-000031000000}"/>
    <cellStyle name="Heading 3 2" xfId="60" xr:uid="{00000000-0005-0000-0000-000032000000}"/>
    <cellStyle name="Heading 4 2" xfId="61" xr:uid="{00000000-0005-0000-0000-000033000000}"/>
    <cellStyle name="Input 2" xfId="62" xr:uid="{00000000-0005-0000-0000-000034000000}"/>
    <cellStyle name="Input 2 2" xfId="63" xr:uid="{00000000-0005-0000-0000-000035000000}"/>
    <cellStyle name="Input 2 3" xfId="64" xr:uid="{00000000-0005-0000-0000-000036000000}"/>
    <cellStyle name="Linked Cell 2" xfId="65" xr:uid="{00000000-0005-0000-0000-000037000000}"/>
    <cellStyle name="Neutral 2" xfId="66" xr:uid="{00000000-0005-0000-0000-000038000000}"/>
    <cellStyle name="Normal" xfId="0" builtinId="0"/>
    <cellStyle name="Normal - Style1 2 3" xfId="4" xr:uid="{00000000-0005-0000-0000-00003A000000}"/>
    <cellStyle name="Normal 10" xfId="67" xr:uid="{00000000-0005-0000-0000-00003B000000}"/>
    <cellStyle name="Normal 11" xfId="108" xr:uid="{00000000-0005-0000-0000-00003C000000}"/>
    <cellStyle name="Normal 12" xfId="14" xr:uid="{00000000-0005-0000-0000-00003D000000}"/>
    <cellStyle name="Normal 12 2" xfId="121" xr:uid="{00000000-0005-0000-0000-00003E000000}"/>
    <cellStyle name="Normal 13" xfId="13" xr:uid="{00000000-0005-0000-0000-00003F000000}"/>
    <cellStyle name="Normal 14" xfId="94" xr:uid="{00000000-0005-0000-0000-000040000000}"/>
    <cellStyle name="Normal 14 2" xfId="122" xr:uid="{00000000-0005-0000-0000-000041000000}"/>
    <cellStyle name="Normal 15" xfId="115" xr:uid="{00000000-0005-0000-0000-000042000000}"/>
    <cellStyle name="Normal 15 2" xfId="127" xr:uid="{00000000-0005-0000-0000-000043000000}"/>
    <cellStyle name="Normal 16" xfId="111" xr:uid="{00000000-0005-0000-0000-000044000000}"/>
    <cellStyle name="Normal 16 2" xfId="123" xr:uid="{00000000-0005-0000-0000-000045000000}"/>
    <cellStyle name="Normal 17" xfId="114" xr:uid="{00000000-0005-0000-0000-000046000000}"/>
    <cellStyle name="Normal 17 2" xfId="126" xr:uid="{00000000-0005-0000-0000-000047000000}"/>
    <cellStyle name="Normal 18" xfId="112" xr:uid="{00000000-0005-0000-0000-000048000000}"/>
    <cellStyle name="Normal 18 2" xfId="124" xr:uid="{00000000-0005-0000-0000-000049000000}"/>
    <cellStyle name="Normal 19" xfId="113" xr:uid="{00000000-0005-0000-0000-00004A000000}"/>
    <cellStyle name="Normal 19 2" xfId="125" xr:uid="{00000000-0005-0000-0000-00004B000000}"/>
    <cellStyle name="Normal 2" xfId="68" xr:uid="{00000000-0005-0000-0000-00004C000000}"/>
    <cellStyle name="Normal 2 2" xfId="69" xr:uid="{00000000-0005-0000-0000-00004D000000}"/>
    <cellStyle name="Normal 2 2 2" xfId="5" xr:uid="{00000000-0005-0000-0000-00004E000000}"/>
    <cellStyle name="Normal 2 3" xfId="70" xr:uid="{00000000-0005-0000-0000-00004F000000}"/>
    <cellStyle name="Normal 2 9" xfId="7" xr:uid="{00000000-0005-0000-0000-000050000000}"/>
    <cellStyle name="Normal 20" xfId="116" xr:uid="{00000000-0005-0000-0000-000051000000}"/>
    <cellStyle name="Normal 21" xfId="117" xr:uid="{00000000-0005-0000-0000-000052000000}"/>
    <cellStyle name="Normal 3" xfId="71" xr:uid="{00000000-0005-0000-0000-000053000000}"/>
    <cellStyle name="Normal 3 2" xfId="72" xr:uid="{00000000-0005-0000-0000-000054000000}"/>
    <cellStyle name="Normal 3 3" xfId="73" xr:uid="{00000000-0005-0000-0000-000055000000}"/>
    <cellStyle name="Normal 3 4" xfId="74" xr:uid="{00000000-0005-0000-0000-000056000000}"/>
    <cellStyle name="Normal 4" xfId="75" xr:uid="{00000000-0005-0000-0000-000057000000}"/>
    <cellStyle name="Normal 4 2" xfId="76" xr:uid="{00000000-0005-0000-0000-000058000000}"/>
    <cellStyle name="Normal 5" xfId="77" xr:uid="{00000000-0005-0000-0000-000059000000}"/>
    <cellStyle name="Normal 5 2" xfId="78" xr:uid="{00000000-0005-0000-0000-00005A000000}"/>
    <cellStyle name="Normal 5 5" xfId="11" xr:uid="{00000000-0005-0000-0000-00005B000000}"/>
    <cellStyle name="Normal 52 3 2" xfId="6" xr:uid="{00000000-0005-0000-0000-00005C000000}"/>
    <cellStyle name="Normal 55" xfId="109" xr:uid="{00000000-0005-0000-0000-00005D000000}"/>
    <cellStyle name="Normal 6" xfId="79" xr:uid="{00000000-0005-0000-0000-00005E000000}"/>
    <cellStyle name="Normal 7" xfId="80" xr:uid="{00000000-0005-0000-0000-00005F000000}"/>
    <cellStyle name="Normal 7 2" xfId="81" xr:uid="{00000000-0005-0000-0000-000060000000}"/>
    <cellStyle name="Normal 7 2 2" xfId="110" xr:uid="{00000000-0005-0000-0000-000061000000}"/>
    <cellStyle name="Normal 8" xfId="82" xr:uid="{00000000-0005-0000-0000-000062000000}"/>
    <cellStyle name="Normal 9" xfId="83" xr:uid="{00000000-0005-0000-0000-000063000000}"/>
    <cellStyle name="Normal 90 2" xfId="84" xr:uid="{00000000-0005-0000-0000-000064000000}"/>
    <cellStyle name="Normal 90 2 2" xfId="85" xr:uid="{00000000-0005-0000-0000-000065000000}"/>
    <cellStyle name="Normal 90 2 3" xfId="86" xr:uid="{00000000-0005-0000-0000-000066000000}"/>
    <cellStyle name="Normal_DO NOT USE" xfId="9" xr:uid="{00000000-0005-0000-0000-000067000000}"/>
    <cellStyle name="Note 2" xfId="87" xr:uid="{00000000-0005-0000-0000-000068000000}"/>
    <cellStyle name="Note 2 2" xfId="88" xr:uid="{00000000-0005-0000-0000-000069000000}"/>
    <cellStyle name="Note 2 3" xfId="89" xr:uid="{00000000-0005-0000-0000-00006A000000}"/>
    <cellStyle name="Note 3" xfId="90" xr:uid="{00000000-0005-0000-0000-00006B000000}"/>
    <cellStyle name="Output" xfId="128" builtinId="21"/>
    <cellStyle name="Output 2" xfId="91" xr:uid="{00000000-0005-0000-0000-00006D000000}"/>
    <cellStyle name="Output 2 2" xfId="92" xr:uid="{00000000-0005-0000-0000-00006E000000}"/>
    <cellStyle name="Output 2 3" xfId="93" xr:uid="{00000000-0005-0000-0000-00006F000000}"/>
    <cellStyle name="Percen" xfId="8" xr:uid="{00000000-0005-0000-0000-000070000000}"/>
    <cellStyle name="Percent" xfId="3" builtinId="5"/>
    <cellStyle name="Percent 2" xfId="95" xr:uid="{00000000-0005-0000-0000-000072000000}"/>
    <cellStyle name="Percent 2 2" xfId="96" xr:uid="{00000000-0005-0000-0000-000073000000}"/>
    <cellStyle name="Percent 3" xfId="97" xr:uid="{00000000-0005-0000-0000-000074000000}"/>
    <cellStyle name="Percent 4" xfId="98" xr:uid="{00000000-0005-0000-0000-000075000000}"/>
    <cellStyle name="Percent 5" xfId="99" xr:uid="{00000000-0005-0000-0000-000076000000}"/>
    <cellStyle name="Percent 6" xfId="120" xr:uid="{00000000-0005-0000-0000-000077000000}"/>
    <cellStyle name="Percent 7" xfId="12" xr:uid="{00000000-0005-0000-0000-000078000000}"/>
    <cellStyle name="Percent 90 2" xfId="100" xr:uid="{00000000-0005-0000-0000-000079000000}"/>
    <cellStyle name="Percent 90 2 2" xfId="101" xr:uid="{00000000-0005-0000-0000-00007A000000}"/>
    <cellStyle name="Percent 90 2 3" xfId="102" xr:uid="{00000000-0005-0000-0000-00007B000000}"/>
    <cellStyle name="Title 2" xfId="103" xr:uid="{00000000-0005-0000-0000-00007C000000}"/>
    <cellStyle name="Total 2" xfId="104" xr:uid="{00000000-0005-0000-0000-00007D000000}"/>
    <cellStyle name="Total 2 2" xfId="105" xr:uid="{00000000-0005-0000-0000-00007E000000}"/>
    <cellStyle name="Total 2 3" xfId="106" xr:uid="{00000000-0005-0000-0000-00007F000000}"/>
    <cellStyle name="Warning Text 2" xfId="107" xr:uid="{00000000-0005-0000-0000-000080000000}"/>
  </cellStyles>
  <dxfs count="98">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dxf>
    <dxf>
      <font>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left" vertical="bottom" textRotation="0" wrapText="1" indent="0" justifyLastLine="0" shrinkToFit="0" readingOrder="0"/>
    </dxf>
    <dxf>
      <font>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righ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righ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strike val="0"/>
        <outline val="0"/>
        <shadow val="0"/>
        <u val="none"/>
        <vertAlign val="baseline"/>
        <sz val="12"/>
        <color rgb="FF000000"/>
        <name val="Times New Roman"/>
        <scheme val="none"/>
      </font>
      <numFmt numFmtId="30" formatCode="@"/>
      <fill>
        <patternFill patternType="none">
          <fgColor indexed="64"/>
          <bgColor indexed="65"/>
        </patternFill>
      </fill>
      <alignment horizontal="left" vertical="bottom" textRotation="0" wrapText="1" indent="0" justifyLastLine="0" shrinkToFit="0" readingOrder="0"/>
    </dxf>
    <dxf>
      <font>
        <b val="0"/>
        <strike val="0"/>
        <outline val="0"/>
        <shadow val="0"/>
        <u val="none"/>
        <vertAlign val="baseline"/>
        <sz val="12"/>
        <color rgb="FF000000"/>
        <name val="Times New Roman"/>
        <scheme val="none"/>
      </font>
      <fill>
        <patternFill patternType="none">
          <fgColor indexed="64"/>
          <bgColor indexed="65"/>
        </patternFill>
      </fill>
      <alignment horizontal="right" vertical="bottom" textRotation="0" wrapText="1" indent="0" justifyLastLine="0" shrinkToFit="0" readingOrder="0"/>
    </dxf>
    <dxf>
      <border outline="0">
        <bottom style="thin">
          <color indexed="64"/>
        </bottom>
      </border>
    </dxf>
    <dxf>
      <font>
        <strike val="0"/>
        <outline val="0"/>
        <shadow val="0"/>
        <u val="none"/>
        <vertAlign val="baseline"/>
        <sz val="12"/>
        <color rgb="FF000000"/>
        <name val="Times New Roman"/>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2"/>
        <color auto="1"/>
        <name val="Times New Roman"/>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scheme val="none"/>
      </font>
      <fill>
        <patternFill patternType="solid">
          <fgColor theme="4" tint="0.79998168889431442"/>
          <bgColor theme="4"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scheme val="none"/>
      </font>
      <numFmt numFmtId="0" formatCode="General"/>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rgb="FF000000"/>
        <name val="Times New Roman"/>
        <scheme val="none"/>
      </font>
      <numFmt numFmtId="35" formatCode="_(* #,##0.00_);_(* \(#,##0.00\);_(* &quot;-&quot;??_);_(@_)"/>
      <fill>
        <patternFill patternType="solid">
          <fgColor theme="4" tint="0.59999389629810485"/>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59999389629810485"/>
          <bgColor theme="4" tint="0.79998168889431442"/>
        </patternFill>
      </fil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35" formatCode="_(* #,##0.00_);_(* \(#,##0.00\);_(* &quot;-&quot;??_);_(@_)"/>
      <fill>
        <patternFill patternType="solid">
          <fgColor theme="4" tint="0.79998168889431442"/>
          <bgColor theme="4"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2"/>
        <color auto="1"/>
        <name val="Times New Roman"/>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border outline="0">
        <right style="thin">
          <color indexed="64"/>
        </right>
        <bottom style="thin">
          <color indexed="64"/>
        </bottom>
      </border>
    </dxf>
    <dxf>
      <font>
        <b val="0"/>
        <i val="0"/>
        <strike val="0"/>
        <condense val="0"/>
        <extend val="0"/>
        <outline val="0"/>
        <shadow val="0"/>
        <u val="none"/>
        <vertAlign val="baseline"/>
        <sz val="12"/>
        <color rgb="FF000000"/>
        <name val="Times New Roman"/>
        <scheme val="none"/>
      </font>
      <fill>
        <patternFill patternType="solid">
          <fgColor theme="4" tint="0.79998168889431442"/>
          <bgColor theme="4" tint="0.79998168889431442"/>
        </patternFill>
      </fill>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numFmt numFmtId="0" formatCode="General"/>
      <fill>
        <patternFill patternType="solid">
          <fgColor indexed="64"/>
          <bgColor theme="2" tint="-0.499984740745262"/>
        </patternFill>
      </fill>
      <border diagonalUp="0" diagonalDown="0" outline="0">
        <left style="medium">
          <color indexed="64"/>
        </left>
        <right style="medium">
          <color indexed="64"/>
        </right>
        <top style="medium">
          <color auto="1"/>
        </top>
        <bottom style="medium">
          <color auto="1"/>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border diagonalUp="0" diagonalDown="0" outline="0">
        <left style="medium">
          <color indexed="64"/>
        </left>
        <right style="medium">
          <color indexed="64"/>
        </right>
        <top style="medium">
          <color auto="1"/>
        </top>
        <bottom style="medium">
          <color auto="1"/>
        </bottom>
      </border>
    </dxf>
    <dxf>
      <font>
        <b val="0"/>
        <i val="0"/>
        <strike val="0"/>
        <condense val="0"/>
        <extend val="0"/>
        <outline val="0"/>
        <shadow val="0"/>
        <u val="none"/>
        <vertAlign val="baseline"/>
        <sz val="12"/>
        <color auto="1"/>
        <name val="Times New Roman"/>
        <scheme val="none"/>
      </font>
      <numFmt numFmtId="164" formatCode="_(* #,##0_);_(* \(#,##0\);_(* &quot;-&quot;??_);_(@_)"/>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right style="medium">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medium">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rgb="FFCCFFCC"/>
        </patternFill>
      </fill>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medium">
          <color indexed="64"/>
        </left>
        <right style="thin">
          <color indexed="64"/>
        </right>
        <top style="thin">
          <color indexed="64"/>
        </top>
        <bottom style="thin">
          <color indexed="64"/>
        </bottom>
        <vertical/>
        <horizontal/>
      </border>
    </dxf>
    <dxf>
      <font>
        <strike val="0"/>
        <outline val="0"/>
        <shadow val="0"/>
        <vertAlign val="baseline"/>
        <sz val="12"/>
        <name val="Times New Roman"/>
        <scheme val="none"/>
      </font>
      <fill>
        <patternFill patternType="solid">
          <fgColor indexed="64"/>
          <bgColor theme="6" tint="0.59999389629810485"/>
        </patternFill>
      </fill>
      <border diagonalUp="0" diagonalDown="0" outline="0">
        <left/>
        <right style="medium">
          <color indexed="64"/>
        </right>
        <top style="thin">
          <color auto="1"/>
        </top>
        <bottom style="thin">
          <color auto="1"/>
        </bottom>
      </border>
    </dxf>
    <dxf>
      <font>
        <strike val="0"/>
        <outline val="0"/>
        <shadow val="0"/>
        <vertAlign val="baseline"/>
        <sz val="12"/>
        <name val="Times New Roman"/>
        <scheme val="none"/>
      </font>
      <fill>
        <patternFill patternType="solid">
          <fgColor indexed="64"/>
          <bgColor theme="6" tint="0.59999389629810485"/>
        </patternFill>
      </fill>
      <border diagonalUp="0" diagonalDown="0" outline="0">
        <left style="medium">
          <color indexed="64"/>
        </left>
        <right/>
        <top style="thin">
          <color auto="1"/>
        </top>
        <bottom style="thin">
          <color auto="1"/>
        </bottom>
      </border>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numFmt numFmtId="0" formatCode="General"/>
      <border diagonalUp="0" diagonalDown="0" outline="0">
        <left/>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Times New Roman"/>
        <scheme val="none"/>
      </font>
    </dxf>
    <dxf>
      <border outline="0">
        <bottom style="medium">
          <color indexed="64"/>
        </bottom>
      </border>
    </dxf>
    <dxf>
      <border outline="0">
        <left style="medium">
          <color indexed="64"/>
        </left>
        <right style="medium">
          <color indexed="64"/>
        </right>
        <bottom style="medium">
          <color indexed="64"/>
        </bottom>
      </border>
    </dxf>
    <dxf>
      <font>
        <strike val="0"/>
        <outline val="0"/>
        <shadow val="0"/>
        <vertAlign val="baseline"/>
        <sz val="12"/>
        <name val="Times New Roman"/>
        <scheme val="none"/>
      </font>
    </dxf>
    <dxf>
      <font>
        <strike val="0"/>
        <outline val="0"/>
        <shadow val="0"/>
        <vertAlign val="baseline"/>
        <sz val="12"/>
        <name val="Times New Roman"/>
        <scheme val="none"/>
      </font>
    </dxf>
    <dxf>
      <font>
        <color rgb="FF9C0006"/>
      </font>
      <fill>
        <patternFill>
          <bgColor rgb="FFFFC7CE"/>
        </patternFill>
      </fill>
    </dxf>
  </dxfs>
  <tableStyles count="0" defaultTableStyle="TableStyleMedium2" defaultPivotStyle="PivotStyleLight16"/>
  <colors>
    <mruColors>
      <color rgb="FFCCFFCC"/>
      <color rgb="FFFFFF99"/>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flankspeed-my.sharepoint-mil.us/personal/cheri_a_swailes_civ_us_navy_mil/Documents/Desktop/A%20SENSS/DRAFT%20RFO/8.18.25%20TEMPLATE%20Att%20C1%20-%20Cost%20Reimbursable%20Workbook.xlsx" TargetMode="External"/><Relationship Id="rId1" Type="http://schemas.openxmlformats.org/officeDocument/2006/relationships/externalLinkPath" Target="file:///C:\Users\1387475202.CIV\Downloads\8.18.25%20TEMPLATE%20Att%20C1%20-%20Cost%20Reimbursable%20Work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Indirect Rates and Fee"/>
      <sheetName val="Cost Summary"/>
      <sheetName val="Fully Burdened Labor Rates"/>
      <sheetName val="Hours Check - FOR GOVT USE"/>
      <sheetName val="Do Not Use or Delete"/>
      <sheetName val="Minimum Direct Labor Rates"/>
      <sheetName val="LCAT setup from IGCE"/>
      <sheetName val="8.18"/>
    </sheetNames>
    <sheetDataSet>
      <sheetData sheetId="0"/>
      <sheetData sheetId="1"/>
      <sheetData sheetId="2">
        <row r="303">
          <cell r="J303">
            <v>0</v>
          </cell>
          <cell r="O303">
            <v>0</v>
          </cell>
          <cell r="T303">
            <v>0</v>
          </cell>
          <cell r="Y303">
            <v>0</v>
          </cell>
          <cell r="AD303">
            <v>0</v>
          </cell>
          <cell r="AI303">
            <v>0</v>
          </cell>
          <cell r="AM303">
            <v>0</v>
          </cell>
        </row>
      </sheetData>
      <sheetData sheetId="3"/>
      <sheetData sheetId="4"/>
      <sheetData sheetId="5"/>
      <sheetData sheetId="6"/>
      <sheetData sheetId="7"/>
      <sheetData sheetId="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Cost_Elements" displayName="Cost_Elements" ref="A7:AX304" totalsRowShown="0" headerRowDxfId="96" dataDxfId="95" headerRowBorderDxfId="93" tableBorderDxfId="94">
  <autoFilter ref="A7:AX304" xr:uid="{00000000-0009-0000-0100-000004000000}"/>
  <tableColumns count="50">
    <tableColumn id="1" xr3:uid="{00000000-0010-0000-0000-000001000000}" name="Cost Elements" dataDxfId="92"/>
    <tableColumn id="2" xr3:uid="{00000000-0010-0000-0000-000002000000}" name="Government Labor Category" dataDxfId="91" dataCellStyle="Normal - Style1 2 3"/>
    <tableColumn id="3" xr3:uid="{00000000-0010-0000-0000-000003000000}" name="Proposed Labor Category" dataDxfId="90" dataCellStyle="Normal - Style1 2 3"/>
    <tableColumn id="28" xr3:uid="{00000000-0010-0000-0000-00001C000000}" name="BLS or SCLS" dataDxfId="89" dataCellStyle="Normal - Style1 2 3"/>
    <tableColumn id="4" xr3:uid="{00000000-0010-0000-0000-000004000000}" name="Site (K, G, T)" dataDxfId="88" dataCellStyle="Normal - Style1 2 3"/>
    <tableColumn id="29" xr3:uid="{00000000-0010-0000-0000-00001D000000}" name="Location" dataDxfId="87" dataCellStyle="Normal - Style1 2 3"/>
    <tableColumn id="5" xr3:uid="{00000000-0010-0000-0000-000005000000}" name="F/P" dataDxfId="86" dataCellStyle="Normal - Style1 2 3"/>
    <tableColumn id="6" xr3:uid="{00000000-0010-0000-0000-000006000000}" name="Minimum Direct Labor Rate" dataDxfId="85" dataCellStyle="Normal - Style1 2 3">
      <calculatedColumnFormula>IFERROR(INDEX(Labor_Categories[Minimum Direct Labor Rates],MATCH(Cost_Elements[[#This Row],[Government Labor Category]],Labor_Categories[Labor Categories],0)),"")</calculatedColumnFormula>
    </tableColumn>
    <tableColumn id="7" xr3:uid="{00000000-0010-0000-0000-000007000000}" name="Rate | 1" dataDxfId="84"/>
    <tableColumn id="8" xr3:uid="{00000000-0010-0000-0000-000008000000}" name="Hours | 1" dataDxfId="83"/>
    <tableColumn id="9" xr3:uid="{00000000-0010-0000-0000-000009000000}" name="Amount | 1" dataDxfId="82">
      <calculatedColumnFormula>IFERROR(IF(Cost_Elements[[#This Row],[Row]]&gt;='Do Not Use or Delete'!#REF!, IF(Cost_Elements[[#This Row],[Row]]&lt;='Do Not Use or Delete'!#REF!,I8*J8,0),0)+IF(Cost_Elements[[#This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calculatedColumnFormula>
    </tableColumn>
    <tableColumn id="24" xr3:uid="{00000000-0010-0000-0000-000018000000}" name="Overhead on Fringe Calc. | 1" dataDxfId="81"/>
    <tableColumn id="25" xr3:uid="{00000000-0010-0000-0000-000019000000}" name="Fringe Amount | 1" dataDxfId="80"/>
    <tableColumn id="10" xr3:uid="{00000000-0010-0000-0000-00000A000000}" name="Rate | 2" dataDxfId="79" dataCellStyle="Normal - Style1 2 3"/>
    <tableColumn id="11" xr3:uid="{00000000-0010-0000-0000-00000B000000}" name="Hours | 2" dataDxfId="78"/>
    <tableColumn id="12" xr3:uid="{00000000-0010-0000-0000-00000C000000}" name="Amount | 2" dataDxfId="77">
      <calculatedColumnFormula>IFERROR(IF(Cost_Elements[[#This Row],[Row]]&gt;='Do Not Use or Delete'!#REF!, IF(Cost_Elements[[#This Row],[Row]]&lt;='Do Not Use or Delete'!#REF!,N8*O8,0),0)+IF(Cost_Elements[[#This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calculatedColumnFormula>
    </tableColumn>
    <tableColumn id="37" xr3:uid="{00000000-0010-0000-0000-000025000000}" name="Overhead on Fringe Calc. | 2" dataDxfId="76"/>
    <tableColumn id="36" xr3:uid="{00000000-0010-0000-0000-000024000000}" name="Fringe Amount | 2" dataDxfId="75"/>
    <tableColumn id="13" xr3:uid="{00000000-0010-0000-0000-00000D000000}" name="Rate | 3" dataDxfId="74" dataCellStyle="Normal - Style1 2 3"/>
    <tableColumn id="14" xr3:uid="{00000000-0010-0000-0000-00000E000000}" name="Hours | 3" dataDxfId="73"/>
    <tableColumn id="15" xr3:uid="{00000000-0010-0000-0000-00000F000000}" name="Amount | 3" dataDxfId="72">
      <calculatedColumnFormula>IFERROR(IF(Cost_Elements[[#This Row],[Row]]&gt;='Do Not Use or Delete'!#REF!, IF(Cost_Elements[[#This Row],[Row]]&lt;='Do Not Use or Delete'!#REF!,S8*T8,0),0)+IF(Cost_Elements[[#This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calculatedColumnFormula>
    </tableColumn>
    <tableColumn id="39" xr3:uid="{00000000-0010-0000-0000-000027000000}" name="Overhead on Fringe Calc. | 3" dataDxfId="71"/>
    <tableColumn id="38" xr3:uid="{00000000-0010-0000-0000-000026000000}" name="Fringe Amount | 3" dataDxfId="70"/>
    <tableColumn id="16" xr3:uid="{00000000-0010-0000-0000-000010000000}" name="Rate | 4" dataDxfId="69" dataCellStyle="Normal - Style1 2 3"/>
    <tableColumn id="17" xr3:uid="{00000000-0010-0000-0000-000011000000}" name="Hours | 4" dataDxfId="68"/>
    <tableColumn id="18" xr3:uid="{00000000-0010-0000-0000-000012000000}" name="Amount | 4" dataDxfId="67">
      <calculatedColumnFormula>IFERROR(IF(Cost_Elements[[#This Row],[Row]]&gt;='Do Not Use or Delete'!#REF!, IF(Cost_Elements[[#This Row],[Row]]&lt;='Do Not Use or Delete'!#REF!,X8*Y8,0),0)+IF(Cost_Elements[[#This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calculatedColumnFormula>
    </tableColumn>
    <tableColumn id="41" xr3:uid="{00000000-0010-0000-0000-000029000000}" name="Overhead on Fringe Calc. | 4" dataDxfId="66"/>
    <tableColumn id="40" xr3:uid="{00000000-0010-0000-0000-000028000000}" name="Fringe Amount | 4" dataDxfId="65"/>
    <tableColumn id="19" xr3:uid="{00000000-0010-0000-0000-000013000000}" name="Rate | 5" dataDxfId="64" dataCellStyle="Normal - Style1 2 3"/>
    <tableColumn id="20" xr3:uid="{00000000-0010-0000-0000-000014000000}" name="Hours | 5" dataDxfId="63"/>
    <tableColumn id="21" xr3:uid="{00000000-0010-0000-0000-000015000000}" name="Amount | 5" dataDxfId="62">
      <calculatedColumnFormula>IFERROR(IF(Cost_Elements[[#This Row],[Row]]&gt;='Do Not Use or Delete'!#REF!, IF(Cost_Elements[[#This Row],[Row]]&lt;='Do Not Use or Delete'!#REF!,AC8*AD8,0),0)+IF(Cost_Elements[[#This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calculatedColumnFormula>
    </tableColumn>
    <tableColumn id="43" xr3:uid="{00000000-0010-0000-0000-00002B000000}" name="Overhead on Fringe Calc. | 5" dataDxfId="61"/>
    <tableColumn id="42" xr3:uid="{00000000-0010-0000-0000-00002A000000}" name="Fringe Amount | 5" dataDxfId="60"/>
    <tableColumn id="34" xr3:uid="{00000000-0010-0000-0000-000022000000}" name="Rate | 6" dataDxfId="59" dataCellStyle="Normal - Style1 2 3"/>
    <tableColumn id="33" xr3:uid="{00000000-0010-0000-0000-000021000000}" name="Hours | 6" dataDxfId="58" dataCellStyle="Normal - Style1 2 3"/>
    <tableColumn id="50" xr3:uid="{F4C8E0FE-9B50-47BC-8C81-F455CA9F55FB}" name="Hours | 62"/>
    <tableColumn id="49" xr3:uid="{423E6B97-B963-4E00-894B-03342FA7FD09}" name="Hours | 7"/>
    <tableColumn id="30" xr3:uid="{00000000-0010-0000-0000-00001E000000}" name="Amount | 6" dataDxfId="57" dataCellStyle="Currency"/>
    <tableColumn id="48" xr3:uid="{00000000-0010-0000-0000-000030000000}" name="Overhead on Fringe Calc. | 6" dataDxfId="56" dataCellStyle="Currency"/>
    <tableColumn id="47" xr3:uid="{00000000-0010-0000-0000-00002F000000}" name="Fringe Amount | 6" dataDxfId="55" dataCellStyle="Currency"/>
    <tableColumn id="22" xr3:uid="{00000000-0010-0000-0000-000016000000}" name="Hours | Total" dataDxfId="54" dataCellStyle="Comma"/>
    <tableColumn id="23" xr3:uid="{00000000-0010-0000-0000-000017000000}" name="Amount | Total" dataDxfId="53" dataCellStyle="Currency"/>
    <tableColumn id="26" xr3:uid="{00000000-0010-0000-0000-00001A000000}" name="Row" dataDxfId="52">
      <calculatedColumnFormula>ROW(Cost_Elements[[#This Row],[Amount | Total]])</calculatedColumnFormula>
    </tableColumn>
    <tableColumn id="31" xr3:uid="{00000000-0010-0000-0000-00001F000000}" name="Column1" dataDxfId="51"/>
    <tableColumn id="32" xr3:uid="{00000000-0010-0000-0000-000020000000}" name="Column2" dataDxfId="50"/>
    <tableColumn id="35" xr3:uid="{00000000-0010-0000-0000-000023000000}" name="Column3" dataDxfId="49"/>
    <tableColumn id="44" xr3:uid="{00000000-0010-0000-0000-00002C000000}" name="Column4" dataDxfId="48"/>
    <tableColumn id="45" xr3:uid="{00000000-0010-0000-0000-00002D000000}" name="Column5" dataDxfId="47"/>
    <tableColumn id="27" xr3:uid="{00000000-0010-0000-0000-00001B000000}" name="Column6" dataDxfId="46"/>
    <tableColumn id="46" xr3:uid="{00000000-0010-0000-0000-00002E000000}" name="Column7" dataDxfId="4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8ACD06-62E5-4E8E-BF48-1219C62203CA}" name="Table66" displayName="Table66" ref="A2:V1434" totalsRowShown="0" headerRowDxfId="39" dataDxfId="38" tableBorderDxfId="37">
  <autoFilter ref="A2:V1434" xr:uid="{DB8ACD06-62E5-4E8E-BF48-1219C62203CA}"/>
  <sortState xmlns:xlrd2="http://schemas.microsoft.com/office/spreadsheetml/2017/richdata2" ref="A3:T1434">
    <sortCondition ref="A2:A1434"/>
  </sortState>
  <tableColumns count="22">
    <tableColumn id="1" xr3:uid="{DBA1E3E3-86B8-4198-A1D2-D7AEE71A1420}" name="Govt Labor Category" dataDxfId="36"/>
    <tableColumn id="2" xr3:uid="{C53F3929-21A8-4927-8821-9C3135BD9D4D}" name="Site" dataDxfId="35"/>
    <tableColumn id="18" xr3:uid="{718881AD-03A9-4FEF-9099-E27BF457DA51}" name="Location" dataDxfId="34"/>
    <tableColumn id="13" xr3:uid="{803311A6-7B8D-4487-BCFD-03E6303FDA40}" name="BLS/ SCA" dataDxfId="33"/>
    <tableColumn id="17" xr3:uid="{0B0A3E02-F8D8-40E4-A33F-33240CF20943}" name="Regular/ OT" dataDxfId="32"/>
    <tableColumn id="3" xr3:uid="{F66E8E10-69F5-49DC-A3EB-34102ED4544A}" name="Year 1 (Specified in RFO) - N/A" dataDxfId="31" dataCellStyle="Comma"/>
    <tableColumn id="4" xr3:uid="{C8B2E7DD-B1CE-4D49-87F4-E031A6903538}" name="Year 1  (Proposed)" dataDxfId="30" dataCellStyle="Comma">
      <calculatedColumnFormula>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calculatedColumnFormula>
    </tableColumn>
    <tableColumn id="5" xr3:uid="{5BE08AD3-6E9A-4E1D-9CAE-E2DA761330CF}" name="Year 2 (Specified in RFO) - N/A" dataDxfId="29" dataCellStyle="Comma"/>
    <tableColumn id="6" xr3:uid="{352E7CE4-DD19-4AEF-9AB6-74C8E1724BBB}" name="Year 2 (Proposed)" dataDxfId="28" dataCellStyle="Comma 2">
      <calculatedColumnFormula>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calculatedColumnFormula>
    </tableColumn>
    <tableColumn id="7" xr3:uid="{948DB703-5990-4926-BB46-C1705E8763A6}" name="Year 3 (Specified in RFO) - N/A" dataDxfId="27" dataCellStyle="Comma"/>
    <tableColumn id="8" xr3:uid="{AE6ACC3B-2224-4CB1-A2C2-B2BC598F23DC}" name="Year 3 (Proposed)" dataDxfId="26" dataCellStyle="Comma 2">
      <calculatedColumnFormula>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calculatedColumnFormula>
    </tableColumn>
    <tableColumn id="9" xr3:uid="{200AC646-7C42-4C56-8D90-DAC72B2D5815}" name="Year 4 (Specified in RFO) - N/A" dataDxfId="25" dataCellStyle="Comma"/>
    <tableColumn id="10" xr3:uid="{8CF810EF-0FBB-400F-9FCA-9E0B6FD8C107}" name="Year 4 (Proposed)" dataDxfId="24" dataCellStyle="Comma 2">
      <calculatedColumnFormula>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calculatedColumnFormula>
    </tableColumn>
    <tableColumn id="11" xr3:uid="{9480661B-19DC-485F-AFBF-DD8B84D5050E}" name="Year 5 (Specified in RFO) - N/A" dataDxfId="23" dataCellStyle="Comma"/>
    <tableColumn id="12" xr3:uid="{5A01C273-C3F8-44F2-A343-3D72D93398AB}" name="Year 5 (Proposed)" dataDxfId="22" dataCellStyle="Comma 2">
      <calculatedColumnFormula>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calculatedColumnFormula>
    </tableColumn>
    <tableColumn id="20" xr3:uid="{A213F9E6-1386-4AAB-86A4-FC17AC4586F7}" name="Year 6 (Specified in RFO) - N/A" dataDxfId="21" dataCellStyle="Comma"/>
    <tableColumn id="19" xr3:uid="{42316B56-10A1-4637-9FE3-CD1B5F538508}" name="Year 6 (Proposed)" dataDxfId="20" dataCellStyle="Comma 2">
      <calculatedColumnFormula>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calculatedColumnFormula>
    </tableColumn>
    <tableColumn id="14" xr3:uid="{6162D11F-A25B-4704-9240-0DA40FC27B21}" name="Total Specifed in RFO - N/A" dataDxfId="19" dataCellStyle="Comma">
      <calculatedColumnFormula>Table66[[#This Row],[Year 1 (Specified in RFO) - N/A]]+Table66[[#This Row],[Year 2 (Specified in RFO) - N/A]]+Table66[[#This Row],[Year 3 (Specified in RFO) - N/A]]+Table66[[#This Row],[Year 4 (Specified in RFO) - N/A]]+Table66[[#This Row],[Year 5 (Specified in RFO) - N/A]]+Table66[[#This Row],[Year 6 (Specified in RFO) - N/A]]</calculatedColumnFormula>
    </tableColumn>
    <tableColumn id="15" xr3:uid="{78102CEE-1520-4C41-AD57-A6E4D655754F}" name="Total Proposed" dataDxfId="18" dataCellStyle="Comma">
      <calculatedColumnFormula>Table66[[#This Row],[Year 1  (Proposed)]]+Table66[[#This Row],[Year 2 (Proposed)]]+Table66[[#This Row],[Year 3 (Proposed)]]+Table66[[#This Row],[Year 4 (Proposed)]]+Table66[[#This Row],[Year 5 (Proposed)]]+Table66[[#This Row],[Year 6 (Proposed)]]</calculatedColumnFormula>
    </tableColumn>
    <tableColumn id="16" xr3:uid="{4A9B1648-8273-47A3-AB75-567E5FE262FD}" name="Check" dataDxfId="17">
      <calculatedColumnFormula>Table66[[#This Row],[Total Specifed in RFO - N/A]]=Table66[[#This Row],[Total Proposed]]</calculatedColumnFormula>
    </tableColumn>
    <tableColumn id="21" xr3:uid="{02A0C826-C85A-48DD-BD22-9DC6C3C4A7B2}" name="Column1" dataDxfId="16"/>
    <tableColumn id="22" xr3:uid="{E219758D-4DB9-4F42-8A54-1E9897250BE8}" name="Column2" dataDxfId="15">
      <calculatedColumnFormula>Table66[[#This Row],[Year 6 (Specified in RFO) - N/A]]-Table66[[#This Row],[Column1]]</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Labor_Categories" displayName="Labor_Categories" ref="A1:E447" totalsRowShown="0" headerRowDxfId="14" dataDxfId="13" tableBorderDxfId="12" dataCellStyle="Normal_DO NOT USE">
  <autoFilter ref="A1:E447" xr:uid="{00000000-0009-0000-0100-000001000000}"/>
  <sortState xmlns:xlrd2="http://schemas.microsoft.com/office/spreadsheetml/2017/richdata2" ref="A2:D29">
    <sortCondition ref="A1:A29"/>
  </sortState>
  <tableColumns count="5">
    <tableColumn id="4" xr3:uid="{00000000-0010-0000-0200-000004000000}" name="N" dataDxfId="11" dataCellStyle="Normal_DO NOT USE"/>
    <tableColumn id="1" xr3:uid="{00000000-0010-0000-0200-000001000000}" name="Labor Categories" dataDxfId="10" dataCellStyle="Normal_DO NOT USE"/>
    <tableColumn id="3" xr3:uid="{00000000-0010-0000-0200-000003000000}" name="Minimum Direct Labor Rates" dataDxfId="9" dataCellStyle="Currency"/>
    <tableColumn id="5" xr3:uid="{00000000-0010-0000-0200-000005000000}" name="Composite Rate" dataDxfId="8" dataCellStyle="Currency"/>
    <tableColumn id="2" xr3:uid="{00000000-0010-0000-0200-000002000000}" name="Location" dataDxfId="7" dataCellStyle="Normal_DO NOT US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 displayName="Table2" ref="H1:I6" totalsRowShown="0" headerRowDxfId="6" dataDxfId="5">
  <autoFilter ref="H1:I6" xr:uid="{00000000-0009-0000-0100-000002000000}"/>
  <tableColumns count="2">
    <tableColumn id="1" xr3:uid="{00000000-0010-0000-0300-000001000000}" name="Site" dataDxfId="4"/>
    <tableColumn id="2" xr3:uid="{00000000-0010-0000-0300-000002000000}" name="Location" dataDxfId="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3" displayName="Table3" ref="J1:J3" totalsRowShown="0" headerRowDxfId="2" dataDxfId="1">
  <autoFilter ref="J1:J3" xr:uid="{00000000-0009-0000-0100-000003000000}"/>
  <tableColumns count="1">
    <tableColumn id="1" xr3:uid="{00000000-0010-0000-0400-000001000000}" name="F or P"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6.bin"/><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D73"/>
  <sheetViews>
    <sheetView topLeftCell="A57" zoomScaleNormal="100" workbookViewId="0">
      <selection activeCell="F50" sqref="F50"/>
    </sheetView>
  </sheetViews>
  <sheetFormatPr defaultColWidth="8.7109375" defaultRowHeight="15.75"/>
  <cols>
    <col min="1" max="1" width="4.42578125" style="4" bestFit="1" customWidth="1"/>
    <col min="2" max="2" width="115.140625" style="4" customWidth="1"/>
    <col min="3" max="3" width="24.5703125" style="4" customWidth="1"/>
    <col min="4" max="4" width="53.5703125" style="4" customWidth="1"/>
    <col min="5" max="16384" width="8.7109375" style="152"/>
  </cols>
  <sheetData>
    <row r="1" spans="1:4">
      <c r="A1" s="1"/>
      <c r="B1" s="490" t="s">
        <v>0</v>
      </c>
      <c r="C1" s="491"/>
      <c r="D1" s="492"/>
    </row>
    <row r="2" spans="1:4">
      <c r="A2" s="2"/>
      <c r="B2" s="493" t="s">
        <v>1</v>
      </c>
      <c r="C2" s="484"/>
      <c r="D2" s="485"/>
    </row>
    <row r="3" spans="1:4">
      <c r="A3" s="2"/>
      <c r="B3" s="494" t="s">
        <v>2</v>
      </c>
      <c r="C3" s="488"/>
      <c r="D3" s="489"/>
    </row>
    <row r="4" spans="1:4">
      <c r="A4" s="2"/>
      <c r="B4" s="495" t="s">
        <v>3</v>
      </c>
      <c r="C4" s="486"/>
      <c r="D4" s="487"/>
    </row>
    <row r="5" spans="1:4" ht="7.5" customHeight="1">
      <c r="A5" s="2"/>
      <c r="B5" s="496"/>
      <c r="C5" s="497"/>
      <c r="D5" s="498"/>
    </row>
    <row r="6" spans="1:4" ht="30" customHeight="1">
      <c r="A6" s="2"/>
      <c r="B6" s="496" t="s">
        <v>4</v>
      </c>
      <c r="C6" s="497"/>
      <c r="D6" s="498"/>
    </row>
    <row r="7" spans="1:4">
      <c r="A7" s="2"/>
      <c r="B7" s="496" t="s">
        <v>5</v>
      </c>
      <c r="C7" s="497"/>
      <c r="D7" s="498"/>
    </row>
    <row r="8" spans="1:4" ht="16.5" thickBot="1">
      <c r="A8" s="2"/>
      <c r="B8" s="499" t="s">
        <v>6</v>
      </c>
      <c r="C8" s="500"/>
      <c r="D8" s="501"/>
    </row>
    <row r="9" spans="1:4" ht="16.5" thickBot="1">
      <c r="A9" s="2"/>
      <c r="B9" s="3"/>
    </row>
    <row r="10" spans="1:4" ht="18" customHeight="1">
      <c r="A10" s="490" t="s">
        <v>7</v>
      </c>
      <c r="B10" s="491"/>
      <c r="C10" s="491"/>
      <c r="D10" s="492"/>
    </row>
    <row r="11" spans="1:4">
      <c r="A11" s="5"/>
      <c r="B11" s="477"/>
      <c r="C11" s="6" t="s">
        <v>8</v>
      </c>
      <c r="D11" s="7" t="s">
        <v>9</v>
      </c>
    </row>
    <row r="12" spans="1:4">
      <c r="A12" s="5"/>
      <c r="B12" s="482" t="s">
        <v>10</v>
      </c>
      <c r="C12" s="482"/>
      <c r="D12" s="483"/>
    </row>
    <row r="13" spans="1:4">
      <c r="A13" s="5">
        <v>1</v>
      </c>
      <c r="B13" s="476" t="s">
        <v>11</v>
      </c>
      <c r="C13" s="477"/>
      <c r="D13" s="478"/>
    </row>
    <row r="14" spans="1:4" ht="38.25" customHeight="1">
      <c r="A14" s="8">
        <v>2</v>
      </c>
      <c r="B14" s="476" t="s">
        <v>12</v>
      </c>
      <c r="C14" s="9" t="s">
        <v>13</v>
      </c>
      <c r="D14" s="10" t="s">
        <v>14</v>
      </c>
    </row>
    <row r="15" spans="1:4" ht="27" customHeight="1">
      <c r="A15" s="11"/>
      <c r="B15" s="482" t="s">
        <v>15</v>
      </c>
      <c r="C15" s="482"/>
      <c r="D15" s="483"/>
    </row>
    <row r="16" spans="1:4" ht="15" customHeight="1">
      <c r="A16" s="8">
        <v>3</v>
      </c>
      <c r="B16" s="476" t="s">
        <v>11</v>
      </c>
      <c r="C16" s="12" t="s">
        <v>16</v>
      </c>
      <c r="D16" s="13" t="s">
        <v>17</v>
      </c>
    </row>
    <row r="17" spans="1:4" ht="82.5" customHeight="1">
      <c r="A17" s="8">
        <v>4</v>
      </c>
      <c r="B17" s="476" t="s">
        <v>18</v>
      </c>
      <c r="C17" s="12" t="s">
        <v>16</v>
      </c>
      <c r="D17" s="13" t="s">
        <v>17</v>
      </c>
    </row>
    <row r="18" spans="1:4" ht="63">
      <c r="A18" s="8">
        <v>5</v>
      </c>
      <c r="B18" s="476" t="s">
        <v>19</v>
      </c>
      <c r="C18" s="12" t="s">
        <v>20</v>
      </c>
      <c r="D18" s="13" t="s">
        <v>17</v>
      </c>
    </row>
    <row r="19" spans="1:4" ht="63">
      <c r="A19" s="8">
        <v>6</v>
      </c>
      <c r="B19" s="476" t="s">
        <v>21</v>
      </c>
      <c r="C19" s="12" t="s">
        <v>22</v>
      </c>
      <c r="D19" s="13" t="s">
        <v>17</v>
      </c>
    </row>
    <row r="20" spans="1:4" ht="45.75">
      <c r="A20" s="8">
        <v>7</v>
      </c>
      <c r="B20" s="476" t="s">
        <v>23</v>
      </c>
      <c r="C20" s="12" t="s">
        <v>13</v>
      </c>
      <c r="D20" s="13" t="s">
        <v>24</v>
      </c>
    </row>
    <row r="21" spans="1:4" ht="70.5" customHeight="1">
      <c r="A21" s="8">
        <v>8</v>
      </c>
      <c r="B21" s="476" t="s">
        <v>25</v>
      </c>
      <c r="C21" s="12" t="s">
        <v>26</v>
      </c>
      <c r="D21" s="13" t="s">
        <v>17</v>
      </c>
    </row>
    <row r="22" spans="1:4" ht="31.5">
      <c r="A22" s="8">
        <v>9</v>
      </c>
      <c r="B22" s="14" t="s">
        <v>27</v>
      </c>
      <c r="C22" s="12" t="s">
        <v>28</v>
      </c>
      <c r="D22" s="13" t="s">
        <v>17</v>
      </c>
    </row>
    <row r="23" spans="1:4" ht="31.5">
      <c r="A23" s="8">
        <v>10</v>
      </c>
      <c r="B23" s="14" t="s">
        <v>29</v>
      </c>
      <c r="C23" s="12" t="s">
        <v>30</v>
      </c>
      <c r="D23" s="13" t="s">
        <v>17</v>
      </c>
    </row>
    <row r="24" spans="1:4" ht="61.5">
      <c r="A24" s="274">
        <v>11</v>
      </c>
      <c r="B24" s="14" t="s">
        <v>31</v>
      </c>
      <c r="C24" s="12" t="s">
        <v>32</v>
      </c>
      <c r="D24" s="13" t="s">
        <v>33</v>
      </c>
    </row>
    <row r="25" spans="1:4">
      <c r="A25" s="8">
        <v>12</v>
      </c>
      <c r="B25" s="14" t="s">
        <v>34</v>
      </c>
      <c r="C25" s="12" t="s">
        <v>35</v>
      </c>
      <c r="D25" s="13" t="s">
        <v>36</v>
      </c>
    </row>
    <row r="26" spans="1:4" ht="47.25">
      <c r="A26" s="8">
        <v>13</v>
      </c>
      <c r="B26" s="476" t="s">
        <v>37</v>
      </c>
      <c r="C26" s="12" t="s">
        <v>38</v>
      </c>
      <c r="D26" s="13" t="s">
        <v>39</v>
      </c>
    </row>
    <row r="27" spans="1:4" ht="31.5">
      <c r="A27" s="8">
        <v>14</v>
      </c>
      <c r="B27" s="476" t="s">
        <v>40</v>
      </c>
      <c r="C27" s="12" t="s">
        <v>17</v>
      </c>
      <c r="D27" s="13" t="s">
        <v>36</v>
      </c>
    </row>
    <row r="28" spans="1:4" ht="31.5">
      <c r="A28" s="8">
        <v>15</v>
      </c>
      <c r="B28" s="476" t="s">
        <v>41</v>
      </c>
      <c r="C28" s="12" t="s">
        <v>42</v>
      </c>
      <c r="D28" s="13" t="s">
        <v>43</v>
      </c>
    </row>
    <row r="29" spans="1:4" ht="42" customHeight="1">
      <c r="A29" s="8">
        <v>16</v>
      </c>
      <c r="B29" s="476" t="s">
        <v>44</v>
      </c>
      <c r="C29" s="12" t="s">
        <v>45</v>
      </c>
      <c r="D29" s="13" t="s">
        <v>17</v>
      </c>
    </row>
    <row r="30" spans="1:4" ht="47.25">
      <c r="A30" s="8">
        <v>17</v>
      </c>
      <c r="B30" s="476" t="s">
        <v>46</v>
      </c>
      <c r="C30" s="12"/>
      <c r="D30" s="13"/>
    </row>
    <row r="31" spans="1:4">
      <c r="A31" s="8">
        <v>18</v>
      </c>
      <c r="B31" s="476" t="s">
        <v>47</v>
      </c>
      <c r="C31" s="12" t="s">
        <v>48</v>
      </c>
      <c r="D31" s="13" t="s">
        <v>49</v>
      </c>
    </row>
    <row r="32" spans="1:4" ht="47.25">
      <c r="A32" s="8">
        <v>19</v>
      </c>
      <c r="B32" s="476" t="s">
        <v>50</v>
      </c>
      <c r="C32" s="12" t="s">
        <v>48</v>
      </c>
      <c r="D32" s="13" t="s">
        <v>49</v>
      </c>
    </row>
    <row r="33" spans="1:4" ht="121.5">
      <c r="A33" s="21"/>
      <c r="B33" s="481" t="s">
        <v>51</v>
      </c>
      <c r="C33" s="12" t="s">
        <v>48</v>
      </c>
      <c r="D33" s="13" t="s">
        <v>49</v>
      </c>
    </row>
    <row r="34" spans="1:4">
      <c r="A34" s="21"/>
      <c r="B34" s="482" t="s">
        <v>52</v>
      </c>
      <c r="C34" s="482"/>
      <c r="D34" s="483"/>
    </row>
    <row r="35" spans="1:4">
      <c r="A35" s="8">
        <v>20</v>
      </c>
      <c r="B35" s="476" t="s">
        <v>53</v>
      </c>
      <c r="C35" s="12" t="s">
        <v>16</v>
      </c>
      <c r="D35" s="13" t="s">
        <v>17</v>
      </c>
    </row>
    <row r="36" spans="1:4" ht="47.25">
      <c r="A36" s="8">
        <v>21</v>
      </c>
      <c r="B36" s="476" t="s">
        <v>54</v>
      </c>
      <c r="C36" s="12" t="s">
        <v>16</v>
      </c>
      <c r="D36" s="13" t="s">
        <v>17</v>
      </c>
    </row>
    <row r="37" spans="1:4" ht="47.25">
      <c r="A37" s="8">
        <v>22</v>
      </c>
      <c r="B37" s="476" t="s">
        <v>55</v>
      </c>
      <c r="C37" s="12" t="s">
        <v>20</v>
      </c>
      <c r="D37" s="13" t="s">
        <v>17</v>
      </c>
    </row>
    <row r="38" spans="1:4" ht="78.75">
      <c r="A38" s="8">
        <v>22</v>
      </c>
      <c r="B38" s="476" t="s">
        <v>56</v>
      </c>
      <c r="C38" s="12" t="s">
        <v>22</v>
      </c>
      <c r="D38" s="13" t="s">
        <v>57</v>
      </c>
    </row>
    <row r="39" spans="1:4">
      <c r="A39" s="8">
        <v>23</v>
      </c>
      <c r="B39" s="476" t="s">
        <v>58</v>
      </c>
      <c r="C39" s="12" t="s">
        <v>13</v>
      </c>
      <c r="D39" s="13" t="s">
        <v>59</v>
      </c>
    </row>
    <row r="40" spans="1:4" ht="47.25">
      <c r="A40" s="8">
        <v>24</v>
      </c>
      <c r="B40" s="476" t="s">
        <v>60</v>
      </c>
      <c r="C40" s="12" t="s">
        <v>26</v>
      </c>
      <c r="D40" s="13" t="s">
        <v>61</v>
      </c>
    </row>
    <row r="41" spans="1:4">
      <c r="A41" s="204"/>
      <c r="B41" s="15"/>
      <c r="C41" s="205"/>
      <c r="D41" s="205"/>
    </row>
    <row r="42" spans="1:4">
      <c r="A42" s="204"/>
      <c r="B42" s="15"/>
      <c r="C42" s="205"/>
      <c r="D42" s="205"/>
    </row>
    <row r="43" spans="1:4" ht="14.25" customHeight="1">
      <c r="A43" s="490" t="s">
        <v>62</v>
      </c>
      <c r="B43" s="491"/>
      <c r="C43" s="491"/>
      <c r="D43" s="492"/>
    </row>
    <row r="44" spans="1:4">
      <c r="A44" s="5"/>
      <c r="B44" s="484" t="s">
        <v>1</v>
      </c>
      <c r="C44" s="484"/>
      <c r="D44" s="485"/>
    </row>
    <row r="45" spans="1:4">
      <c r="A45" s="5"/>
      <c r="B45" s="488" t="s">
        <v>2</v>
      </c>
      <c r="C45" s="488"/>
      <c r="D45" s="489"/>
    </row>
    <row r="46" spans="1:4" ht="36" customHeight="1">
      <c r="A46" s="5"/>
      <c r="B46" s="486" t="s">
        <v>63</v>
      </c>
      <c r="C46" s="486"/>
      <c r="D46" s="487"/>
    </row>
    <row r="47" spans="1:4" ht="59.25" customHeight="1">
      <c r="A47" s="5"/>
      <c r="B47" s="16"/>
      <c r="C47" s="17" t="s">
        <v>8</v>
      </c>
      <c r="D47" s="18" t="s">
        <v>9</v>
      </c>
    </row>
    <row r="48" spans="1:4">
      <c r="A48" s="5"/>
      <c r="B48" s="482" t="s">
        <v>10</v>
      </c>
      <c r="C48" s="482"/>
      <c r="D48" s="483"/>
    </row>
    <row r="49" spans="1:4" ht="31.5">
      <c r="A49" s="5">
        <v>1</v>
      </c>
      <c r="B49" s="476" t="s">
        <v>64</v>
      </c>
      <c r="C49" s="477"/>
      <c r="D49" s="478"/>
    </row>
    <row r="50" spans="1:4" ht="30.75">
      <c r="A50" s="8">
        <v>2</v>
      </c>
      <c r="B50" s="480" t="s">
        <v>65</v>
      </c>
      <c r="C50" s="9" t="s">
        <v>13</v>
      </c>
      <c r="D50" s="10" t="s">
        <v>66</v>
      </c>
    </row>
    <row r="51" spans="1:4">
      <c r="A51" s="19"/>
      <c r="B51" s="482" t="s">
        <v>15</v>
      </c>
      <c r="C51" s="482"/>
      <c r="D51" s="483"/>
    </row>
    <row r="52" spans="1:4" ht="31.5">
      <c r="A52" s="8">
        <v>3</v>
      </c>
      <c r="B52" s="476" t="s">
        <v>64</v>
      </c>
      <c r="C52" s="12" t="s">
        <v>16</v>
      </c>
      <c r="D52" s="13" t="s">
        <v>17</v>
      </c>
    </row>
    <row r="53" spans="1:4" ht="85.5" customHeight="1">
      <c r="A53" s="8">
        <v>4</v>
      </c>
      <c r="B53" s="476" t="s">
        <v>67</v>
      </c>
      <c r="C53" s="12" t="s">
        <v>16</v>
      </c>
      <c r="D53" s="13" t="s">
        <v>17</v>
      </c>
    </row>
    <row r="54" spans="1:4" ht="47.25">
      <c r="A54" s="8">
        <v>5</v>
      </c>
      <c r="B54" s="476" t="s">
        <v>68</v>
      </c>
      <c r="C54" s="12" t="s">
        <v>20</v>
      </c>
      <c r="D54" s="13" t="s">
        <v>17</v>
      </c>
    </row>
    <row r="55" spans="1:4" ht="66" customHeight="1">
      <c r="A55" s="8">
        <v>6</v>
      </c>
      <c r="B55" s="476" t="s">
        <v>69</v>
      </c>
      <c r="C55" s="12" t="s">
        <v>22</v>
      </c>
      <c r="D55" s="13" t="s">
        <v>17</v>
      </c>
    </row>
    <row r="56" spans="1:4" ht="39" customHeight="1">
      <c r="A56" s="8">
        <v>7</v>
      </c>
      <c r="B56" s="476" t="s">
        <v>70</v>
      </c>
      <c r="C56" s="12" t="s">
        <v>13</v>
      </c>
      <c r="D56" s="13" t="s">
        <v>24</v>
      </c>
    </row>
    <row r="57" spans="1:4" ht="63">
      <c r="A57" s="8">
        <v>8</v>
      </c>
      <c r="B57" s="476" t="s">
        <v>71</v>
      </c>
      <c r="C57" s="12" t="s">
        <v>26</v>
      </c>
      <c r="D57" s="13" t="s">
        <v>17</v>
      </c>
    </row>
    <row r="58" spans="1:4" ht="31.5">
      <c r="A58" s="8">
        <v>9</v>
      </c>
      <c r="B58" s="476" t="s">
        <v>27</v>
      </c>
      <c r="C58" s="12" t="s">
        <v>28</v>
      </c>
      <c r="D58" s="13" t="s">
        <v>17</v>
      </c>
    </row>
    <row r="59" spans="1:4" ht="31.5">
      <c r="A59" s="8">
        <v>10</v>
      </c>
      <c r="B59" s="14" t="s">
        <v>29</v>
      </c>
      <c r="C59" s="12" t="s">
        <v>30</v>
      </c>
      <c r="D59" s="13" t="s">
        <v>17</v>
      </c>
    </row>
    <row r="60" spans="1:4" ht="63">
      <c r="A60" s="8">
        <v>11</v>
      </c>
      <c r="B60" s="14" t="s">
        <v>72</v>
      </c>
      <c r="C60" s="12" t="s">
        <v>32</v>
      </c>
      <c r="D60" s="13" t="s">
        <v>73</v>
      </c>
    </row>
    <row r="61" spans="1:4">
      <c r="A61" s="8">
        <v>12</v>
      </c>
      <c r="B61" s="14" t="s">
        <v>34</v>
      </c>
      <c r="C61" s="12" t="s">
        <v>35</v>
      </c>
      <c r="D61" s="13" t="s">
        <v>36</v>
      </c>
    </row>
    <row r="62" spans="1:4" ht="47.25">
      <c r="A62" s="8">
        <v>13</v>
      </c>
      <c r="B62" s="476" t="s">
        <v>74</v>
      </c>
      <c r="C62" s="12" t="s">
        <v>38</v>
      </c>
      <c r="D62" s="13" t="s">
        <v>75</v>
      </c>
    </row>
    <row r="63" spans="1:4" ht="31.5">
      <c r="A63" s="5">
        <v>14</v>
      </c>
      <c r="B63" s="476" t="s">
        <v>40</v>
      </c>
      <c r="C63" s="12" t="s">
        <v>17</v>
      </c>
      <c r="D63" s="13" t="s">
        <v>76</v>
      </c>
    </row>
    <row r="64" spans="1:4">
      <c r="A64" s="22"/>
      <c r="B64" s="23"/>
    </row>
    <row r="65" spans="1:2">
      <c r="A65" s="22"/>
      <c r="B65" s="24"/>
    </row>
    <row r="66" spans="1:2">
      <c r="A66" s="20"/>
      <c r="B66" s="24"/>
    </row>
    <row r="67" spans="1:2">
      <c r="A67" s="20"/>
      <c r="B67" s="23"/>
    </row>
    <row r="68" spans="1:2">
      <c r="A68" s="20"/>
      <c r="B68" s="23"/>
    </row>
    <row r="69" spans="1:2">
      <c r="A69" s="22"/>
      <c r="B69" s="24"/>
    </row>
    <row r="70" spans="1:2">
      <c r="A70" s="22"/>
      <c r="B70" s="23"/>
    </row>
    <row r="71" spans="1:2">
      <c r="A71" s="22"/>
      <c r="B71" s="23"/>
    </row>
    <row r="72" spans="1:2">
      <c r="A72" s="22"/>
      <c r="B72" s="23"/>
    </row>
    <row r="73" spans="1:2">
      <c r="A73" s="22"/>
      <c r="B73" s="23"/>
    </row>
  </sheetData>
  <mergeCells count="18">
    <mergeCell ref="B6:D6"/>
    <mergeCell ref="B7:D7"/>
    <mergeCell ref="B8:D8"/>
    <mergeCell ref="A10:D10"/>
    <mergeCell ref="B15:D15"/>
    <mergeCell ref="B12:D12"/>
    <mergeCell ref="B1:D1"/>
    <mergeCell ref="B2:D2"/>
    <mergeCell ref="B3:D3"/>
    <mergeCell ref="B4:D4"/>
    <mergeCell ref="B5:D5"/>
    <mergeCell ref="B34:D34"/>
    <mergeCell ref="B44:D44"/>
    <mergeCell ref="B46:D46"/>
    <mergeCell ref="B51:D51"/>
    <mergeCell ref="B48:D48"/>
    <mergeCell ref="B45:D45"/>
    <mergeCell ref="A43:D43"/>
  </mergeCells>
  <pageMargins left="0.45" right="0.4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5" tint="0.59999389629810485"/>
  </sheetPr>
  <dimension ref="A1:I30"/>
  <sheetViews>
    <sheetView showGridLines="0" zoomScaleNormal="100" zoomScaleSheetLayoutView="115" zoomScalePageLayoutView="85" workbookViewId="0">
      <selection activeCell="I1" sqref="I1"/>
    </sheetView>
  </sheetViews>
  <sheetFormatPr defaultColWidth="9.140625" defaultRowHeight="15.75"/>
  <cols>
    <col min="1" max="1" width="64.42578125" style="25" customWidth="1"/>
    <col min="2" max="2" width="12.5703125" style="25" customWidth="1"/>
    <col min="3" max="3" width="29" style="25" bestFit="1" customWidth="1"/>
    <col min="4" max="4" width="10.42578125" style="25" customWidth="1"/>
    <col min="5" max="6" width="9.85546875" style="25" customWidth="1"/>
    <col min="7" max="7" width="10" style="25" customWidth="1"/>
    <col min="8" max="8" width="10.5703125" style="25" customWidth="1"/>
    <col min="9" max="9" width="0" style="25" hidden="1" customWidth="1"/>
    <col min="10" max="16384" width="9.140625" style="25"/>
  </cols>
  <sheetData>
    <row r="1" spans="1:9">
      <c r="A1" s="26" t="s">
        <v>77</v>
      </c>
      <c r="B1" s="26"/>
    </row>
    <row r="2" spans="1:9">
      <c r="A2" s="26"/>
      <c r="B2" s="26"/>
    </row>
    <row r="3" spans="1:9">
      <c r="A3" s="4" t="s">
        <v>78</v>
      </c>
      <c r="B3" s="4"/>
    </row>
    <row r="4" spans="1:9">
      <c r="A4" s="4" t="s">
        <v>79</v>
      </c>
      <c r="B4" s="4"/>
    </row>
    <row r="6" spans="1:9" ht="34.5" customHeight="1">
      <c r="B6" s="153"/>
      <c r="C6" s="154"/>
      <c r="D6" s="155" t="s">
        <v>80</v>
      </c>
      <c r="E6" s="155"/>
      <c r="F6" s="155"/>
      <c r="G6" s="155"/>
      <c r="H6" s="155"/>
      <c r="I6" s="155"/>
    </row>
    <row r="7" spans="1:9" ht="35.25" customHeight="1">
      <c r="B7" s="156"/>
      <c r="C7" s="156" t="s">
        <v>81</v>
      </c>
      <c r="D7" s="156" t="s">
        <v>82</v>
      </c>
      <c r="E7" s="156" t="s">
        <v>83</v>
      </c>
      <c r="F7" s="156" t="s">
        <v>84</v>
      </c>
      <c r="G7" s="156" t="s">
        <v>85</v>
      </c>
      <c r="H7" s="156" t="s">
        <v>86</v>
      </c>
      <c r="I7" s="156" t="s">
        <v>87</v>
      </c>
    </row>
    <row r="8" spans="1:9">
      <c r="B8" s="157" t="s">
        <v>88</v>
      </c>
      <c r="C8" s="157"/>
      <c r="D8" s="158"/>
      <c r="E8" s="158"/>
      <c r="F8" s="158"/>
      <c r="G8" s="158"/>
      <c r="H8" s="158"/>
      <c r="I8" s="158"/>
    </row>
    <row r="9" spans="1:9">
      <c r="B9" s="159" t="s">
        <v>28</v>
      </c>
      <c r="C9" s="160" t="s">
        <v>89</v>
      </c>
      <c r="D9" s="161"/>
      <c r="E9" s="161"/>
      <c r="F9" s="161"/>
      <c r="G9" s="161"/>
      <c r="H9" s="161"/>
      <c r="I9" s="161"/>
    </row>
    <row r="10" spans="1:9">
      <c r="B10" s="159" t="s">
        <v>90</v>
      </c>
      <c r="C10" s="160" t="s">
        <v>91</v>
      </c>
      <c r="D10" s="161"/>
      <c r="E10" s="161"/>
      <c r="F10" s="161"/>
      <c r="G10" s="161"/>
      <c r="H10" s="161"/>
      <c r="I10" s="161"/>
    </row>
    <row r="11" spans="1:9">
      <c r="B11" s="162"/>
      <c r="C11" s="163"/>
      <c r="D11" s="164"/>
      <c r="E11" s="164"/>
      <c r="F11" s="164"/>
      <c r="G11" s="164"/>
      <c r="H11" s="164"/>
      <c r="I11" s="164"/>
    </row>
    <row r="12" spans="1:9">
      <c r="B12" s="163" t="s">
        <v>92</v>
      </c>
      <c r="C12" s="163"/>
      <c r="D12" s="164"/>
      <c r="E12" s="164"/>
      <c r="F12" s="164"/>
      <c r="G12" s="164"/>
      <c r="H12" s="164"/>
      <c r="I12" s="164"/>
    </row>
    <row r="13" spans="1:9">
      <c r="B13" s="159" t="s">
        <v>93</v>
      </c>
      <c r="C13" s="160" t="s">
        <v>94</v>
      </c>
      <c r="D13" s="161"/>
      <c r="E13" s="161"/>
      <c r="F13" s="161"/>
      <c r="G13" s="161"/>
      <c r="H13" s="161"/>
      <c r="I13" s="161"/>
    </row>
    <row r="14" spans="1:9">
      <c r="B14" s="159" t="s">
        <v>30</v>
      </c>
      <c r="C14" s="160" t="s">
        <v>95</v>
      </c>
      <c r="D14" s="161"/>
      <c r="E14" s="161"/>
      <c r="F14" s="161"/>
      <c r="G14" s="161"/>
      <c r="H14" s="161"/>
      <c r="I14" s="161"/>
    </row>
    <row r="15" spans="1:9">
      <c r="B15" s="162" t="s">
        <v>96</v>
      </c>
      <c r="C15" s="163" t="s">
        <v>97</v>
      </c>
      <c r="D15" s="161"/>
      <c r="E15" s="161"/>
      <c r="F15" s="161"/>
      <c r="G15" s="161"/>
      <c r="H15" s="161"/>
      <c r="I15" s="161"/>
    </row>
    <row r="16" spans="1:9">
      <c r="B16" s="163" t="s">
        <v>98</v>
      </c>
      <c r="C16" s="163"/>
      <c r="D16" s="164"/>
      <c r="E16" s="164"/>
      <c r="F16" s="164"/>
      <c r="G16" s="164"/>
      <c r="H16" s="164"/>
      <c r="I16" s="164"/>
    </row>
    <row r="17" spans="2:9">
      <c r="B17" s="165"/>
      <c r="C17" s="160" t="s">
        <v>98</v>
      </c>
      <c r="D17" s="161"/>
      <c r="E17" s="161"/>
      <c r="F17" s="161"/>
      <c r="G17" s="161"/>
      <c r="H17" s="161"/>
      <c r="I17" s="161"/>
    </row>
    <row r="18" spans="2:9">
      <c r="B18" s="165"/>
      <c r="C18" s="160" t="s">
        <v>99</v>
      </c>
      <c r="D18" s="161"/>
      <c r="E18" s="161"/>
      <c r="F18" s="161"/>
      <c r="G18" s="161"/>
      <c r="H18" s="161"/>
      <c r="I18" s="161"/>
    </row>
    <row r="19" spans="2:9">
      <c r="B19" s="162"/>
      <c r="C19" s="163"/>
      <c r="D19" s="164"/>
      <c r="E19" s="164"/>
      <c r="F19" s="164"/>
      <c r="G19" s="164"/>
      <c r="H19" s="164"/>
      <c r="I19" s="164"/>
    </row>
    <row r="20" spans="2:9">
      <c r="B20" s="163" t="s">
        <v>100</v>
      </c>
      <c r="C20" s="163"/>
      <c r="D20" s="164"/>
      <c r="E20" s="164"/>
      <c r="F20" s="164"/>
      <c r="G20" s="164"/>
      <c r="H20" s="164"/>
      <c r="I20" s="164"/>
    </row>
    <row r="21" spans="2:9">
      <c r="B21" s="162"/>
      <c r="C21" s="166" t="s">
        <v>101</v>
      </c>
      <c r="D21" s="161"/>
      <c r="E21" s="161"/>
      <c r="F21" s="161"/>
      <c r="G21" s="161"/>
      <c r="H21" s="161"/>
      <c r="I21" s="161"/>
    </row>
    <row r="22" spans="2:9">
      <c r="B22" s="162"/>
      <c r="C22" s="166" t="s">
        <v>102</v>
      </c>
      <c r="D22" s="161"/>
      <c r="E22" s="161"/>
      <c r="F22" s="161"/>
      <c r="G22" s="161"/>
      <c r="H22" s="161"/>
      <c r="I22" s="161"/>
    </row>
    <row r="23" spans="2:9">
      <c r="B23" s="162"/>
      <c r="C23" s="166" t="s">
        <v>103</v>
      </c>
      <c r="D23" s="161"/>
      <c r="E23" s="161"/>
      <c r="F23" s="161"/>
      <c r="G23" s="161"/>
      <c r="H23" s="161"/>
      <c r="I23" s="161"/>
    </row>
    <row r="24" spans="2:9">
      <c r="B24" s="162"/>
      <c r="C24" s="163"/>
      <c r="D24" s="164"/>
      <c r="E24" s="164"/>
      <c r="F24" s="164"/>
      <c r="G24" s="164"/>
      <c r="H24" s="164"/>
      <c r="I24" s="164"/>
    </row>
    <row r="25" spans="2:9">
      <c r="B25" s="163" t="s">
        <v>104</v>
      </c>
      <c r="C25" s="163"/>
      <c r="D25" s="164"/>
      <c r="E25" s="164"/>
      <c r="F25" s="164"/>
      <c r="G25" s="164"/>
      <c r="H25" s="164"/>
      <c r="I25" s="164"/>
    </row>
    <row r="26" spans="2:9">
      <c r="B26" s="162"/>
      <c r="C26" s="163" t="s">
        <v>105</v>
      </c>
      <c r="D26" s="161"/>
      <c r="E26" s="161"/>
      <c r="F26" s="161"/>
      <c r="G26" s="161"/>
      <c r="H26" s="161"/>
      <c r="I26" s="161"/>
    </row>
    <row r="27" spans="2:9">
      <c r="B27" s="162"/>
      <c r="C27" s="163" t="s">
        <v>106</v>
      </c>
      <c r="D27" s="161"/>
      <c r="E27" s="161"/>
      <c r="F27" s="161"/>
      <c r="G27" s="161"/>
      <c r="H27" s="161"/>
      <c r="I27" s="161"/>
    </row>
    <row r="28" spans="2:9">
      <c r="B28" s="162"/>
      <c r="C28" s="163"/>
      <c r="D28" s="164"/>
      <c r="E28" s="164"/>
      <c r="F28" s="164"/>
      <c r="G28" s="164"/>
      <c r="H28" s="164"/>
      <c r="I28" s="164"/>
    </row>
    <row r="29" spans="2:9">
      <c r="B29" s="167"/>
    </row>
    <row r="30" spans="2:9">
      <c r="B30" s="25" t="s">
        <v>107</v>
      </c>
    </row>
  </sheetData>
  <pageMargins left="1" right="1" top="1" bottom="1" header="0.5" footer="0.5"/>
  <pageSetup orientation="landscape" horizontalDpi="90" verticalDpi="90" r:id="rId1"/>
  <headerFooter>
    <oddHeader>&amp;A</oddHeader>
    <oddFooter>&amp;F</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5" tint="0.59999389629810485"/>
  </sheetPr>
  <dimension ref="A1:AX349"/>
  <sheetViews>
    <sheetView showGridLines="0" showZeros="0" zoomScale="90" zoomScaleNormal="90" zoomScaleSheetLayoutView="100" workbookViewId="0">
      <pane ySplit="7" topLeftCell="C8" activePane="bottomLeft" state="frozen"/>
      <selection pane="bottomLeft" activeCell="C324" sqref="C324"/>
    </sheetView>
  </sheetViews>
  <sheetFormatPr defaultColWidth="9.140625" defaultRowHeight="15.75"/>
  <cols>
    <col min="1" max="1" width="35.5703125" style="4" customWidth="1"/>
    <col min="2" max="2" width="81.7109375" style="4" customWidth="1"/>
    <col min="3" max="3" width="20.85546875" style="4" customWidth="1"/>
    <col min="4" max="4" width="16.42578125" style="4" customWidth="1"/>
    <col min="5" max="5" width="17.140625" style="4" customWidth="1"/>
    <col min="6" max="6" width="17.42578125" style="4" customWidth="1"/>
    <col min="7" max="7" width="13.5703125" style="4" customWidth="1"/>
    <col min="8" max="8" width="17.140625" style="4" customWidth="1"/>
    <col min="9" max="9" width="13" style="4" bestFit="1" customWidth="1"/>
    <col min="10" max="10" width="15.85546875" style="4" bestFit="1" customWidth="1"/>
    <col min="11" max="11" width="15.85546875" style="29" customWidth="1"/>
    <col min="12" max="12" width="33.140625" style="30" hidden="1" customWidth="1"/>
    <col min="13" max="13" width="1.28515625" style="31" hidden="1" customWidth="1"/>
    <col min="14" max="14" width="16.28515625" style="4" bestFit="1" customWidth="1"/>
    <col min="15" max="15" width="15.85546875" style="29" bestFit="1" customWidth="1"/>
    <col min="16" max="16" width="18.140625" style="4" bestFit="1" customWidth="1"/>
    <col min="17" max="17" width="33.28515625" style="31" hidden="1" customWidth="1"/>
    <col min="18" max="18" width="23.28515625" style="31" hidden="1" customWidth="1"/>
    <col min="19" max="19" width="16.28515625" style="4" bestFit="1" customWidth="1"/>
    <col min="20" max="20" width="15.85546875" style="29" bestFit="1" customWidth="1"/>
    <col min="21" max="21" width="17.140625" style="4" bestFit="1" customWidth="1"/>
    <col min="22" max="22" width="33.28515625" style="31" hidden="1" customWidth="1"/>
    <col min="23" max="23" width="23.28515625" style="31" hidden="1" customWidth="1"/>
    <col min="24" max="24" width="16.28515625" style="4" bestFit="1" customWidth="1"/>
    <col min="25" max="25" width="18.5703125" style="29" customWidth="1"/>
    <col min="26" max="26" width="17.140625" style="4" bestFit="1" customWidth="1"/>
    <col min="27" max="27" width="33.28515625" style="31" hidden="1" customWidth="1"/>
    <col min="28" max="28" width="23.28515625" style="31" hidden="1" customWidth="1"/>
    <col min="29" max="29" width="16.28515625" style="4" bestFit="1" customWidth="1"/>
    <col min="30" max="30" width="18.42578125" style="29" customWidth="1"/>
    <col min="31" max="31" width="18.5703125" style="32" bestFit="1" customWidth="1"/>
    <col min="32" max="32" width="36.28515625" style="33" hidden="1" customWidth="1"/>
    <col min="33" max="33" width="25.85546875" style="33" hidden="1" customWidth="1"/>
    <col min="34" max="34" width="16.28515625" style="4" hidden="1" customWidth="1"/>
    <col min="35" max="37" width="19.28515625" style="29" hidden="1" customWidth="1"/>
    <col min="38" max="38" width="18.5703125" style="32" hidden="1" customWidth="1"/>
    <col min="39" max="39" width="33.28515625" style="33" hidden="1" customWidth="1"/>
    <col min="40" max="40" width="23.28515625" style="33" hidden="1" customWidth="1"/>
    <col min="41" max="41" width="13.85546875" style="29" bestFit="1" customWidth="1"/>
    <col min="42" max="42" width="20.5703125" style="4" bestFit="1" customWidth="1"/>
    <col min="43" max="43" width="6.5703125" style="4" customWidth="1"/>
    <col min="44" max="48" width="11.140625" style="28" hidden="1" customWidth="1"/>
    <col min="49" max="50" width="9.140625" style="28" hidden="1" customWidth="1"/>
    <col min="51" max="243" width="9.140625" style="4"/>
    <col min="244" max="244" width="47.28515625" style="4" customWidth="1"/>
    <col min="245" max="246" width="23.85546875" style="4" bestFit="1" customWidth="1"/>
    <col min="247" max="248" width="5.7109375" style="4" customWidth="1"/>
    <col min="249" max="250" width="9.140625" style="4"/>
    <col min="251" max="251" width="7.5703125" style="4" customWidth="1"/>
    <col min="252" max="252" width="9.140625" style="4"/>
    <col min="253" max="253" width="8" style="4" customWidth="1"/>
    <col min="254" max="256" width="7.5703125" style="4" customWidth="1"/>
    <col min="257" max="264" width="9.140625" style="4"/>
    <col min="265" max="265" width="12.85546875" style="4" bestFit="1" customWidth="1"/>
    <col min="266" max="499" width="9.140625" style="4"/>
    <col min="500" max="500" width="47.28515625" style="4" customWidth="1"/>
    <col min="501" max="502" width="23.85546875" style="4" bestFit="1" customWidth="1"/>
    <col min="503" max="504" width="5.7109375" style="4" customWidth="1"/>
    <col min="505" max="506" width="9.140625" style="4"/>
    <col min="507" max="507" width="7.5703125" style="4" customWidth="1"/>
    <col min="508" max="508" width="9.140625" style="4"/>
    <col min="509" max="509" width="8" style="4" customWidth="1"/>
    <col min="510" max="512" width="7.5703125" style="4" customWidth="1"/>
    <col min="513" max="520" width="9.140625" style="4"/>
    <col min="521" max="521" width="12.85546875" style="4" bestFit="1" customWidth="1"/>
    <col min="522" max="755" width="9.140625" style="4"/>
    <col min="756" max="756" width="47.28515625" style="4" customWidth="1"/>
    <col min="757" max="758" width="23.85546875" style="4" bestFit="1" customWidth="1"/>
    <col min="759" max="760" width="5.7109375" style="4" customWidth="1"/>
    <col min="761" max="762" width="9.140625" style="4"/>
    <col min="763" max="763" width="7.5703125" style="4" customWidth="1"/>
    <col min="764" max="764" width="9.140625" style="4"/>
    <col min="765" max="765" width="8" style="4" customWidth="1"/>
    <col min="766" max="768" width="7.5703125" style="4" customWidth="1"/>
    <col min="769" max="776" width="9.140625" style="4"/>
    <col min="777" max="777" width="12.85546875" style="4" bestFit="1" customWidth="1"/>
    <col min="778" max="1011" width="9.140625" style="4"/>
    <col min="1012" max="1012" width="47.28515625" style="4" customWidth="1"/>
    <col min="1013" max="1014" width="23.85546875" style="4" bestFit="1" customWidth="1"/>
    <col min="1015" max="1016" width="5.7109375" style="4" customWidth="1"/>
    <col min="1017" max="1018" width="9.140625" style="4"/>
    <col min="1019" max="1019" width="7.5703125" style="4" customWidth="1"/>
    <col min="1020" max="1020" width="9.140625" style="4"/>
    <col min="1021" max="1021" width="8" style="4" customWidth="1"/>
    <col min="1022" max="1024" width="7.5703125" style="4" customWidth="1"/>
    <col min="1025" max="1032" width="9.140625" style="4"/>
    <col min="1033" max="1033" width="12.85546875" style="4" bestFit="1" customWidth="1"/>
    <col min="1034" max="1267" width="9.140625" style="4"/>
    <col min="1268" max="1268" width="47.28515625" style="4" customWidth="1"/>
    <col min="1269" max="1270" width="23.85546875" style="4" bestFit="1" customWidth="1"/>
    <col min="1271" max="1272" width="5.7109375" style="4" customWidth="1"/>
    <col min="1273" max="1274" width="9.140625" style="4"/>
    <col min="1275" max="1275" width="7.5703125" style="4" customWidth="1"/>
    <col min="1276" max="1276" width="9.140625" style="4"/>
    <col min="1277" max="1277" width="8" style="4" customWidth="1"/>
    <col min="1278" max="1280" width="7.5703125" style="4" customWidth="1"/>
    <col min="1281" max="1288" width="9.140625" style="4"/>
    <col min="1289" max="1289" width="12.85546875" style="4" bestFit="1" customWidth="1"/>
    <col min="1290" max="1523" width="9.140625" style="4"/>
    <col min="1524" max="1524" width="47.28515625" style="4" customWidth="1"/>
    <col min="1525" max="1526" width="23.85546875" style="4" bestFit="1" customWidth="1"/>
    <col min="1527" max="1528" width="5.7109375" style="4" customWidth="1"/>
    <col min="1529" max="1530" width="9.140625" style="4"/>
    <col min="1531" max="1531" width="7.5703125" style="4" customWidth="1"/>
    <col min="1532" max="1532" width="9.140625" style="4"/>
    <col min="1533" max="1533" width="8" style="4" customWidth="1"/>
    <col min="1534" max="1536" width="7.5703125" style="4" customWidth="1"/>
    <col min="1537" max="1544" width="9.140625" style="4"/>
    <col min="1545" max="1545" width="12.85546875" style="4" bestFit="1" customWidth="1"/>
    <col min="1546" max="1779" width="9.140625" style="4"/>
    <col min="1780" max="1780" width="47.28515625" style="4" customWidth="1"/>
    <col min="1781" max="1782" width="23.85546875" style="4" bestFit="1" customWidth="1"/>
    <col min="1783" max="1784" width="5.7109375" style="4" customWidth="1"/>
    <col min="1785" max="1786" width="9.140625" style="4"/>
    <col min="1787" max="1787" width="7.5703125" style="4" customWidth="1"/>
    <col min="1788" max="1788" width="9.140625" style="4"/>
    <col min="1789" max="1789" width="8" style="4" customWidth="1"/>
    <col min="1790" max="1792" width="7.5703125" style="4" customWidth="1"/>
    <col min="1793" max="1800" width="9.140625" style="4"/>
    <col min="1801" max="1801" width="12.85546875" style="4" bestFit="1" customWidth="1"/>
    <col min="1802" max="2035" width="9.140625" style="4"/>
    <col min="2036" max="2036" width="47.28515625" style="4" customWidth="1"/>
    <col min="2037" max="2038" width="23.85546875" style="4" bestFit="1" customWidth="1"/>
    <col min="2039" max="2040" width="5.7109375" style="4" customWidth="1"/>
    <col min="2041" max="2042" width="9.140625" style="4"/>
    <col min="2043" max="2043" width="7.5703125" style="4" customWidth="1"/>
    <col min="2044" max="2044" width="9.140625" style="4"/>
    <col min="2045" max="2045" width="8" style="4" customWidth="1"/>
    <col min="2046" max="2048" width="7.5703125" style="4" customWidth="1"/>
    <col min="2049" max="2056" width="9.140625" style="4"/>
    <col min="2057" max="2057" width="12.85546875" style="4" bestFit="1" customWidth="1"/>
    <col min="2058" max="2291" width="9.140625" style="4"/>
    <col min="2292" max="2292" width="47.28515625" style="4" customWidth="1"/>
    <col min="2293" max="2294" width="23.85546875" style="4" bestFit="1" customWidth="1"/>
    <col min="2295" max="2296" width="5.7109375" style="4" customWidth="1"/>
    <col min="2297" max="2298" width="9.140625" style="4"/>
    <col min="2299" max="2299" width="7.5703125" style="4" customWidth="1"/>
    <col min="2300" max="2300" width="9.140625" style="4"/>
    <col min="2301" max="2301" width="8" style="4" customWidth="1"/>
    <col min="2302" max="2304" width="7.5703125" style="4" customWidth="1"/>
    <col min="2305" max="2312" width="9.140625" style="4"/>
    <col min="2313" max="2313" width="12.85546875" style="4" bestFit="1" customWidth="1"/>
    <col min="2314" max="2547" width="9.140625" style="4"/>
    <col min="2548" max="2548" width="47.28515625" style="4" customWidth="1"/>
    <col min="2549" max="2550" width="23.85546875" style="4" bestFit="1" customWidth="1"/>
    <col min="2551" max="2552" width="5.7109375" style="4" customWidth="1"/>
    <col min="2553" max="2554" width="9.140625" style="4"/>
    <col min="2555" max="2555" width="7.5703125" style="4" customWidth="1"/>
    <col min="2556" max="2556" width="9.140625" style="4"/>
    <col min="2557" max="2557" width="8" style="4" customWidth="1"/>
    <col min="2558" max="2560" width="7.5703125" style="4" customWidth="1"/>
    <col min="2561" max="2568" width="9.140625" style="4"/>
    <col min="2569" max="2569" width="12.85546875" style="4" bestFit="1" customWidth="1"/>
    <col min="2570" max="2803" width="9.140625" style="4"/>
    <col min="2804" max="2804" width="47.28515625" style="4" customWidth="1"/>
    <col min="2805" max="2806" width="23.85546875" style="4" bestFit="1" customWidth="1"/>
    <col min="2807" max="2808" width="5.7109375" style="4" customWidth="1"/>
    <col min="2809" max="2810" width="9.140625" style="4"/>
    <col min="2811" max="2811" width="7.5703125" style="4" customWidth="1"/>
    <col min="2812" max="2812" width="9.140625" style="4"/>
    <col min="2813" max="2813" width="8" style="4" customWidth="1"/>
    <col min="2814" max="2816" width="7.5703125" style="4" customWidth="1"/>
    <col min="2817" max="2824" width="9.140625" style="4"/>
    <col min="2825" max="2825" width="12.85546875" style="4" bestFit="1" customWidth="1"/>
    <col min="2826" max="3059" width="9.140625" style="4"/>
    <col min="3060" max="3060" width="47.28515625" style="4" customWidth="1"/>
    <col min="3061" max="3062" width="23.85546875" style="4" bestFit="1" customWidth="1"/>
    <col min="3063" max="3064" width="5.7109375" style="4" customWidth="1"/>
    <col min="3065" max="3066" width="9.140625" style="4"/>
    <col min="3067" max="3067" width="7.5703125" style="4" customWidth="1"/>
    <col min="3068" max="3068" width="9.140625" style="4"/>
    <col min="3069" max="3069" width="8" style="4" customWidth="1"/>
    <col min="3070" max="3072" width="7.5703125" style="4" customWidth="1"/>
    <col min="3073" max="3080" width="9.140625" style="4"/>
    <col min="3081" max="3081" width="12.85546875" style="4" bestFit="1" customWidth="1"/>
    <col min="3082" max="3315" width="9.140625" style="4"/>
    <col min="3316" max="3316" width="47.28515625" style="4" customWidth="1"/>
    <col min="3317" max="3318" width="23.85546875" style="4" bestFit="1" customWidth="1"/>
    <col min="3319" max="3320" width="5.7109375" style="4" customWidth="1"/>
    <col min="3321" max="3322" width="9.140625" style="4"/>
    <col min="3323" max="3323" width="7.5703125" style="4" customWidth="1"/>
    <col min="3324" max="3324" width="9.140625" style="4"/>
    <col min="3325" max="3325" width="8" style="4" customWidth="1"/>
    <col min="3326" max="3328" width="7.5703125" style="4" customWidth="1"/>
    <col min="3329" max="3336" width="9.140625" style="4"/>
    <col min="3337" max="3337" width="12.85546875" style="4" bestFit="1" customWidth="1"/>
    <col min="3338" max="3571" width="9.140625" style="4"/>
    <col min="3572" max="3572" width="47.28515625" style="4" customWidth="1"/>
    <col min="3573" max="3574" width="23.85546875" style="4" bestFit="1" customWidth="1"/>
    <col min="3575" max="3576" width="5.7109375" style="4" customWidth="1"/>
    <col min="3577" max="3578" width="9.140625" style="4"/>
    <col min="3579" max="3579" width="7.5703125" style="4" customWidth="1"/>
    <col min="3580" max="3580" width="9.140625" style="4"/>
    <col min="3581" max="3581" width="8" style="4" customWidth="1"/>
    <col min="3582" max="3584" width="7.5703125" style="4" customWidth="1"/>
    <col min="3585" max="3592" width="9.140625" style="4"/>
    <col min="3593" max="3593" width="12.85546875" style="4" bestFit="1" customWidth="1"/>
    <col min="3594" max="3827" width="9.140625" style="4"/>
    <col min="3828" max="3828" width="47.28515625" style="4" customWidth="1"/>
    <col min="3829" max="3830" width="23.85546875" style="4" bestFit="1" customWidth="1"/>
    <col min="3831" max="3832" width="5.7109375" style="4" customWidth="1"/>
    <col min="3833" max="3834" width="9.140625" style="4"/>
    <col min="3835" max="3835" width="7.5703125" style="4" customWidth="1"/>
    <col min="3836" max="3836" width="9.140625" style="4"/>
    <col min="3837" max="3837" width="8" style="4" customWidth="1"/>
    <col min="3838" max="3840" width="7.5703125" style="4" customWidth="1"/>
    <col min="3841" max="3848" width="9.140625" style="4"/>
    <col min="3849" max="3849" width="12.85546875" style="4" bestFit="1" customWidth="1"/>
    <col min="3850" max="4083" width="9.140625" style="4"/>
    <col min="4084" max="4084" width="47.28515625" style="4" customWidth="1"/>
    <col min="4085" max="4086" width="23.85546875" style="4" bestFit="1" customWidth="1"/>
    <col min="4087" max="4088" width="5.7109375" style="4" customWidth="1"/>
    <col min="4089" max="4090" width="9.140625" style="4"/>
    <col min="4091" max="4091" width="7.5703125" style="4" customWidth="1"/>
    <col min="4092" max="4092" width="9.140625" style="4"/>
    <col min="4093" max="4093" width="8" style="4" customWidth="1"/>
    <col min="4094" max="4096" width="7.5703125" style="4" customWidth="1"/>
    <col min="4097" max="4104" width="9.140625" style="4"/>
    <col min="4105" max="4105" width="12.85546875" style="4" bestFit="1" customWidth="1"/>
    <col min="4106" max="4339" width="9.140625" style="4"/>
    <col min="4340" max="4340" width="47.28515625" style="4" customWidth="1"/>
    <col min="4341" max="4342" width="23.85546875" style="4" bestFit="1" customWidth="1"/>
    <col min="4343" max="4344" width="5.7109375" style="4" customWidth="1"/>
    <col min="4345" max="4346" width="9.140625" style="4"/>
    <col min="4347" max="4347" width="7.5703125" style="4" customWidth="1"/>
    <col min="4348" max="4348" width="9.140625" style="4"/>
    <col min="4349" max="4349" width="8" style="4" customWidth="1"/>
    <col min="4350" max="4352" width="7.5703125" style="4" customWidth="1"/>
    <col min="4353" max="4360" width="9.140625" style="4"/>
    <col min="4361" max="4361" width="12.85546875" style="4" bestFit="1" customWidth="1"/>
    <col min="4362" max="4595" width="9.140625" style="4"/>
    <col min="4596" max="4596" width="47.28515625" style="4" customWidth="1"/>
    <col min="4597" max="4598" width="23.85546875" style="4" bestFit="1" customWidth="1"/>
    <col min="4599" max="4600" width="5.7109375" style="4" customWidth="1"/>
    <col min="4601" max="4602" width="9.140625" style="4"/>
    <col min="4603" max="4603" width="7.5703125" style="4" customWidth="1"/>
    <col min="4604" max="4604" width="9.140625" style="4"/>
    <col min="4605" max="4605" width="8" style="4" customWidth="1"/>
    <col min="4606" max="4608" width="7.5703125" style="4" customWidth="1"/>
    <col min="4609" max="4616" width="9.140625" style="4"/>
    <col min="4617" max="4617" width="12.85546875" style="4" bestFit="1" customWidth="1"/>
    <col min="4618" max="4851" width="9.140625" style="4"/>
    <col min="4852" max="4852" width="47.28515625" style="4" customWidth="1"/>
    <col min="4853" max="4854" width="23.85546875" style="4" bestFit="1" customWidth="1"/>
    <col min="4855" max="4856" width="5.7109375" style="4" customWidth="1"/>
    <col min="4857" max="4858" width="9.140625" style="4"/>
    <col min="4859" max="4859" width="7.5703125" style="4" customWidth="1"/>
    <col min="4860" max="4860" width="9.140625" style="4"/>
    <col min="4861" max="4861" width="8" style="4" customWidth="1"/>
    <col min="4862" max="4864" width="7.5703125" style="4" customWidth="1"/>
    <col min="4865" max="4872" width="9.140625" style="4"/>
    <col min="4873" max="4873" width="12.85546875" style="4" bestFit="1" customWidth="1"/>
    <col min="4874" max="5107" width="9.140625" style="4"/>
    <col min="5108" max="5108" width="47.28515625" style="4" customWidth="1"/>
    <col min="5109" max="5110" width="23.85546875" style="4" bestFit="1" customWidth="1"/>
    <col min="5111" max="5112" width="5.7109375" style="4" customWidth="1"/>
    <col min="5113" max="5114" width="9.140625" style="4"/>
    <col min="5115" max="5115" width="7.5703125" style="4" customWidth="1"/>
    <col min="5116" max="5116" width="9.140625" style="4"/>
    <col min="5117" max="5117" width="8" style="4" customWidth="1"/>
    <col min="5118" max="5120" width="7.5703125" style="4" customWidth="1"/>
    <col min="5121" max="5128" width="9.140625" style="4"/>
    <col min="5129" max="5129" width="12.85546875" style="4" bestFit="1" customWidth="1"/>
    <col min="5130" max="5363" width="9.140625" style="4"/>
    <col min="5364" max="5364" width="47.28515625" style="4" customWidth="1"/>
    <col min="5365" max="5366" width="23.85546875" style="4" bestFit="1" customWidth="1"/>
    <col min="5367" max="5368" width="5.7109375" style="4" customWidth="1"/>
    <col min="5369" max="5370" width="9.140625" style="4"/>
    <col min="5371" max="5371" width="7.5703125" style="4" customWidth="1"/>
    <col min="5372" max="5372" width="9.140625" style="4"/>
    <col min="5373" max="5373" width="8" style="4" customWidth="1"/>
    <col min="5374" max="5376" width="7.5703125" style="4" customWidth="1"/>
    <col min="5377" max="5384" width="9.140625" style="4"/>
    <col min="5385" max="5385" width="12.85546875" style="4" bestFit="1" customWidth="1"/>
    <col min="5386" max="5619" width="9.140625" style="4"/>
    <col min="5620" max="5620" width="47.28515625" style="4" customWidth="1"/>
    <col min="5621" max="5622" width="23.85546875" style="4" bestFit="1" customWidth="1"/>
    <col min="5623" max="5624" width="5.7109375" style="4" customWidth="1"/>
    <col min="5625" max="5626" width="9.140625" style="4"/>
    <col min="5627" max="5627" width="7.5703125" style="4" customWidth="1"/>
    <col min="5628" max="5628" width="9.140625" style="4"/>
    <col min="5629" max="5629" width="8" style="4" customWidth="1"/>
    <col min="5630" max="5632" width="7.5703125" style="4" customWidth="1"/>
    <col min="5633" max="5640" width="9.140625" style="4"/>
    <col min="5641" max="5641" width="12.85546875" style="4" bestFit="1" customWidth="1"/>
    <col min="5642" max="5875" width="9.140625" style="4"/>
    <col min="5876" max="5876" width="47.28515625" style="4" customWidth="1"/>
    <col min="5877" max="5878" width="23.85546875" style="4" bestFit="1" customWidth="1"/>
    <col min="5879" max="5880" width="5.7109375" style="4" customWidth="1"/>
    <col min="5881" max="5882" width="9.140625" style="4"/>
    <col min="5883" max="5883" width="7.5703125" style="4" customWidth="1"/>
    <col min="5884" max="5884" width="9.140625" style="4"/>
    <col min="5885" max="5885" width="8" style="4" customWidth="1"/>
    <col min="5886" max="5888" width="7.5703125" style="4" customWidth="1"/>
    <col min="5889" max="5896" width="9.140625" style="4"/>
    <col min="5897" max="5897" width="12.85546875" style="4" bestFit="1" customWidth="1"/>
    <col min="5898" max="6131" width="9.140625" style="4"/>
    <col min="6132" max="6132" width="47.28515625" style="4" customWidth="1"/>
    <col min="6133" max="6134" width="23.85546875" style="4" bestFit="1" customWidth="1"/>
    <col min="6135" max="6136" width="5.7109375" style="4" customWidth="1"/>
    <col min="6137" max="6138" width="9.140625" style="4"/>
    <col min="6139" max="6139" width="7.5703125" style="4" customWidth="1"/>
    <col min="6140" max="6140" width="9.140625" style="4"/>
    <col min="6141" max="6141" width="8" style="4" customWidth="1"/>
    <col min="6142" max="6144" width="7.5703125" style="4" customWidth="1"/>
    <col min="6145" max="6152" width="9.140625" style="4"/>
    <col min="6153" max="6153" width="12.85546875" style="4" bestFit="1" customWidth="1"/>
    <col min="6154" max="6387" width="9.140625" style="4"/>
    <col min="6388" max="6388" width="47.28515625" style="4" customWidth="1"/>
    <col min="6389" max="6390" width="23.85546875" style="4" bestFit="1" customWidth="1"/>
    <col min="6391" max="6392" width="5.7109375" style="4" customWidth="1"/>
    <col min="6393" max="6394" width="9.140625" style="4"/>
    <col min="6395" max="6395" width="7.5703125" style="4" customWidth="1"/>
    <col min="6396" max="6396" width="9.140625" style="4"/>
    <col min="6397" max="6397" width="8" style="4" customWidth="1"/>
    <col min="6398" max="6400" width="7.5703125" style="4" customWidth="1"/>
    <col min="6401" max="6408" width="9.140625" style="4"/>
    <col min="6409" max="6409" width="12.85546875" style="4" bestFit="1" customWidth="1"/>
    <col min="6410" max="6643" width="9.140625" style="4"/>
    <col min="6644" max="6644" width="47.28515625" style="4" customWidth="1"/>
    <col min="6645" max="6646" width="23.85546875" style="4" bestFit="1" customWidth="1"/>
    <col min="6647" max="6648" width="5.7109375" style="4" customWidth="1"/>
    <col min="6649" max="6650" width="9.140625" style="4"/>
    <col min="6651" max="6651" width="7.5703125" style="4" customWidth="1"/>
    <col min="6652" max="6652" width="9.140625" style="4"/>
    <col min="6653" max="6653" width="8" style="4" customWidth="1"/>
    <col min="6654" max="6656" width="7.5703125" style="4" customWidth="1"/>
    <col min="6657" max="6664" width="9.140625" style="4"/>
    <col min="6665" max="6665" width="12.85546875" style="4" bestFit="1" customWidth="1"/>
    <col min="6666" max="6899" width="9.140625" style="4"/>
    <col min="6900" max="6900" width="47.28515625" style="4" customWidth="1"/>
    <col min="6901" max="6902" width="23.85546875" style="4" bestFit="1" customWidth="1"/>
    <col min="6903" max="6904" width="5.7109375" style="4" customWidth="1"/>
    <col min="6905" max="6906" width="9.140625" style="4"/>
    <col min="6907" max="6907" width="7.5703125" style="4" customWidth="1"/>
    <col min="6908" max="6908" width="9.140625" style="4"/>
    <col min="6909" max="6909" width="8" style="4" customWidth="1"/>
    <col min="6910" max="6912" width="7.5703125" style="4" customWidth="1"/>
    <col min="6913" max="6920" width="9.140625" style="4"/>
    <col min="6921" max="6921" width="12.85546875" style="4" bestFit="1" customWidth="1"/>
    <col min="6922" max="7155" width="9.140625" style="4"/>
    <col min="7156" max="7156" width="47.28515625" style="4" customWidth="1"/>
    <col min="7157" max="7158" width="23.85546875" style="4" bestFit="1" customWidth="1"/>
    <col min="7159" max="7160" width="5.7109375" style="4" customWidth="1"/>
    <col min="7161" max="7162" width="9.140625" style="4"/>
    <col min="7163" max="7163" width="7.5703125" style="4" customWidth="1"/>
    <col min="7164" max="7164" width="9.140625" style="4"/>
    <col min="7165" max="7165" width="8" style="4" customWidth="1"/>
    <col min="7166" max="7168" width="7.5703125" style="4" customWidth="1"/>
    <col min="7169" max="7176" width="9.140625" style="4"/>
    <col min="7177" max="7177" width="12.85546875" style="4" bestFit="1" customWidth="1"/>
    <col min="7178" max="7411" width="9.140625" style="4"/>
    <col min="7412" max="7412" width="47.28515625" style="4" customWidth="1"/>
    <col min="7413" max="7414" width="23.85546875" style="4" bestFit="1" customWidth="1"/>
    <col min="7415" max="7416" width="5.7109375" style="4" customWidth="1"/>
    <col min="7417" max="7418" width="9.140625" style="4"/>
    <col min="7419" max="7419" width="7.5703125" style="4" customWidth="1"/>
    <col min="7420" max="7420" width="9.140625" style="4"/>
    <col min="7421" max="7421" width="8" style="4" customWidth="1"/>
    <col min="7422" max="7424" width="7.5703125" style="4" customWidth="1"/>
    <col min="7425" max="7432" width="9.140625" style="4"/>
    <col min="7433" max="7433" width="12.85546875" style="4" bestFit="1" customWidth="1"/>
    <col min="7434" max="7667" width="9.140625" style="4"/>
    <col min="7668" max="7668" width="47.28515625" style="4" customWidth="1"/>
    <col min="7669" max="7670" width="23.85546875" style="4" bestFit="1" customWidth="1"/>
    <col min="7671" max="7672" width="5.7109375" style="4" customWidth="1"/>
    <col min="7673" max="7674" width="9.140625" style="4"/>
    <col min="7675" max="7675" width="7.5703125" style="4" customWidth="1"/>
    <col min="7676" max="7676" width="9.140625" style="4"/>
    <col min="7677" max="7677" width="8" style="4" customWidth="1"/>
    <col min="7678" max="7680" width="7.5703125" style="4" customWidth="1"/>
    <col min="7681" max="7688" width="9.140625" style="4"/>
    <col min="7689" max="7689" width="12.85546875" style="4" bestFit="1" customWidth="1"/>
    <col min="7690" max="7923" width="9.140625" style="4"/>
    <col min="7924" max="7924" width="47.28515625" style="4" customWidth="1"/>
    <col min="7925" max="7926" width="23.85546875" style="4" bestFit="1" customWidth="1"/>
    <col min="7927" max="7928" width="5.7109375" style="4" customWidth="1"/>
    <col min="7929" max="7930" width="9.140625" style="4"/>
    <col min="7931" max="7931" width="7.5703125" style="4" customWidth="1"/>
    <col min="7932" max="7932" width="9.140625" style="4"/>
    <col min="7933" max="7933" width="8" style="4" customWidth="1"/>
    <col min="7934" max="7936" width="7.5703125" style="4" customWidth="1"/>
    <col min="7937" max="7944" width="9.140625" style="4"/>
    <col min="7945" max="7945" width="12.85546875" style="4" bestFit="1" customWidth="1"/>
    <col min="7946" max="8179" width="9.140625" style="4"/>
    <col min="8180" max="8180" width="47.28515625" style="4" customWidth="1"/>
    <col min="8181" max="8182" width="23.85546875" style="4" bestFit="1" customWidth="1"/>
    <col min="8183" max="8184" width="5.7109375" style="4" customWidth="1"/>
    <col min="8185" max="8186" width="9.140625" style="4"/>
    <col min="8187" max="8187" width="7.5703125" style="4" customWidth="1"/>
    <col min="8188" max="8188" width="9.140625" style="4"/>
    <col min="8189" max="8189" width="8" style="4" customWidth="1"/>
    <col min="8190" max="8192" width="7.5703125" style="4" customWidth="1"/>
    <col min="8193" max="8200" width="9.140625" style="4"/>
    <col min="8201" max="8201" width="12.85546875" style="4" bestFit="1" customWidth="1"/>
    <col min="8202" max="8435" width="9.140625" style="4"/>
    <col min="8436" max="8436" width="47.28515625" style="4" customWidth="1"/>
    <col min="8437" max="8438" width="23.85546875" style="4" bestFit="1" customWidth="1"/>
    <col min="8439" max="8440" width="5.7109375" style="4" customWidth="1"/>
    <col min="8441" max="8442" width="9.140625" style="4"/>
    <col min="8443" max="8443" width="7.5703125" style="4" customWidth="1"/>
    <col min="8444" max="8444" width="9.140625" style="4"/>
    <col min="8445" max="8445" width="8" style="4" customWidth="1"/>
    <col min="8446" max="8448" width="7.5703125" style="4" customWidth="1"/>
    <col min="8449" max="8456" width="9.140625" style="4"/>
    <col min="8457" max="8457" width="12.85546875" style="4" bestFit="1" customWidth="1"/>
    <col min="8458" max="8691" width="9.140625" style="4"/>
    <col min="8692" max="8692" width="47.28515625" style="4" customWidth="1"/>
    <col min="8693" max="8694" width="23.85546875" style="4" bestFit="1" customWidth="1"/>
    <col min="8695" max="8696" width="5.7109375" style="4" customWidth="1"/>
    <col min="8697" max="8698" width="9.140625" style="4"/>
    <col min="8699" max="8699" width="7.5703125" style="4" customWidth="1"/>
    <col min="8700" max="8700" width="9.140625" style="4"/>
    <col min="8701" max="8701" width="8" style="4" customWidth="1"/>
    <col min="8702" max="8704" width="7.5703125" style="4" customWidth="1"/>
    <col min="8705" max="8712" width="9.140625" style="4"/>
    <col min="8713" max="8713" width="12.85546875" style="4" bestFit="1" customWidth="1"/>
    <col min="8714" max="8947" width="9.140625" style="4"/>
    <col min="8948" max="8948" width="47.28515625" style="4" customWidth="1"/>
    <col min="8949" max="8950" width="23.85546875" style="4" bestFit="1" customWidth="1"/>
    <col min="8951" max="8952" width="5.7109375" style="4" customWidth="1"/>
    <col min="8953" max="8954" width="9.140625" style="4"/>
    <col min="8955" max="8955" width="7.5703125" style="4" customWidth="1"/>
    <col min="8956" max="8956" width="9.140625" style="4"/>
    <col min="8957" max="8957" width="8" style="4" customWidth="1"/>
    <col min="8958" max="8960" width="7.5703125" style="4" customWidth="1"/>
    <col min="8961" max="8968" width="9.140625" style="4"/>
    <col min="8969" max="8969" width="12.85546875" style="4" bestFit="1" customWidth="1"/>
    <col min="8970" max="9203" width="9.140625" style="4"/>
    <col min="9204" max="9204" width="47.28515625" style="4" customWidth="1"/>
    <col min="9205" max="9206" width="23.85546875" style="4" bestFit="1" customWidth="1"/>
    <col min="9207" max="9208" width="5.7109375" style="4" customWidth="1"/>
    <col min="9209" max="9210" width="9.140625" style="4"/>
    <col min="9211" max="9211" width="7.5703125" style="4" customWidth="1"/>
    <col min="9212" max="9212" width="9.140625" style="4"/>
    <col min="9213" max="9213" width="8" style="4" customWidth="1"/>
    <col min="9214" max="9216" width="7.5703125" style="4" customWidth="1"/>
    <col min="9217" max="9224" width="9.140625" style="4"/>
    <col min="9225" max="9225" width="12.85546875" style="4" bestFit="1" customWidth="1"/>
    <col min="9226" max="9459" width="9.140625" style="4"/>
    <col min="9460" max="9460" width="47.28515625" style="4" customWidth="1"/>
    <col min="9461" max="9462" width="23.85546875" style="4" bestFit="1" customWidth="1"/>
    <col min="9463" max="9464" width="5.7109375" style="4" customWidth="1"/>
    <col min="9465" max="9466" width="9.140625" style="4"/>
    <col min="9467" max="9467" width="7.5703125" style="4" customWidth="1"/>
    <col min="9468" max="9468" width="9.140625" style="4"/>
    <col min="9469" max="9469" width="8" style="4" customWidth="1"/>
    <col min="9470" max="9472" width="7.5703125" style="4" customWidth="1"/>
    <col min="9473" max="9480" width="9.140625" style="4"/>
    <col min="9481" max="9481" width="12.85546875" style="4" bestFit="1" customWidth="1"/>
    <col min="9482" max="9715" width="9.140625" style="4"/>
    <col min="9716" max="9716" width="47.28515625" style="4" customWidth="1"/>
    <col min="9717" max="9718" width="23.85546875" style="4" bestFit="1" customWidth="1"/>
    <col min="9719" max="9720" width="5.7109375" style="4" customWidth="1"/>
    <col min="9721" max="9722" width="9.140625" style="4"/>
    <col min="9723" max="9723" width="7.5703125" style="4" customWidth="1"/>
    <col min="9724" max="9724" width="9.140625" style="4"/>
    <col min="9725" max="9725" width="8" style="4" customWidth="1"/>
    <col min="9726" max="9728" width="7.5703125" style="4" customWidth="1"/>
    <col min="9729" max="9736" width="9.140625" style="4"/>
    <col min="9737" max="9737" width="12.85546875" style="4" bestFit="1" customWidth="1"/>
    <col min="9738" max="9971" width="9.140625" style="4"/>
    <col min="9972" max="9972" width="47.28515625" style="4" customWidth="1"/>
    <col min="9973" max="9974" width="23.85546875" style="4" bestFit="1" customWidth="1"/>
    <col min="9975" max="9976" width="5.7109375" style="4" customWidth="1"/>
    <col min="9977" max="9978" width="9.140625" style="4"/>
    <col min="9979" max="9979" width="7.5703125" style="4" customWidth="1"/>
    <col min="9980" max="9980" width="9.140625" style="4"/>
    <col min="9981" max="9981" width="8" style="4" customWidth="1"/>
    <col min="9982" max="9984" width="7.5703125" style="4" customWidth="1"/>
    <col min="9985" max="9992" width="9.140625" style="4"/>
    <col min="9993" max="9993" width="12.85546875" style="4" bestFit="1" customWidth="1"/>
    <col min="9994" max="10227" width="9.140625" style="4"/>
    <col min="10228" max="10228" width="47.28515625" style="4" customWidth="1"/>
    <col min="10229" max="10230" width="23.85546875" style="4" bestFit="1" customWidth="1"/>
    <col min="10231" max="10232" width="5.7109375" style="4" customWidth="1"/>
    <col min="10233" max="10234" width="9.140625" style="4"/>
    <col min="10235" max="10235" width="7.5703125" style="4" customWidth="1"/>
    <col min="10236" max="10236" width="9.140625" style="4"/>
    <col min="10237" max="10237" width="8" style="4" customWidth="1"/>
    <col min="10238" max="10240" width="7.5703125" style="4" customWidth="1"/>
    <col min="10241" max="10248" width="9.140625" style="4"/>
    <col min="10249" max="10249" width="12.85546875" style="4" bestFit="1" customWidth="1"/>
    <col min="10250" max="10483" width="9.140625" style="4"/>
    <col min="10484" max="10484" width="47.28515625" style="4" customWidth="1"/>
    <col min="10485" max="10486" width="23.85546875" style="4" bestFit="1" customWidth="1"/>
    <col min="10487" max="10488" width="5.7109375" style="4" customWidth="1"/>
    <col min="10489" max="10490" width="9.140625" style="4"/>
    <col min="10491" max="10491" width="7.5703125" style="4" customWidth="1"/>
    <col min="10492" max="10492" width="9.140625" style="4"/>
    <col min="10493" max="10493" width="8" style="4" customWidth="1"/>
    <col min="10494" max="10496" width="7.5703125" style="4" customWidth="1"/>
    <col min="10497" max="10504" width="9.140625" style="4"/>
    <col min="10505" max="10505" width="12.85546875" style="4" bestFit="1" customWidth="1"/>
    <col min="10506" max="10739" width="9.140625" style="4"/>
    <col min="10740" max="10740" width="47.28515625" style="4" customWidth="1"/>
    <col min="10741" max="10742" width="23.85546875" style="4" bestFit="1" customWidth="1"/>
    <col min="10743" max="10744" width="5.7109375" style="4" customWidth="1"/>
    <col min="10745" max="10746" width="9.140625" style="4"/>
    <col min="10747" max="10747" width="7.5703125" style="4" customWidth="1"/>
    <col min="10748" max="10748" width="9.140625" style="4"/>
    <col min="10749" max="10749" width="8" style="4" customWidth="1"/>
    <col min="10750" max="10752" width="7.5703125" style="4" customWidth="1"/>
    <col min="10753" max="10760" width="9.140625" style="4"/>
    <col min="10761" max="10761" width="12.85546875" style="4" bestFit="1" customWidth="1"/>
    <col min="10762" max="10995" width="9.140625" style="4"/>
    <col min="10996" max="10996" width="47.28515625" style="4" customWidth="1"/>
    <col min="10997" max="10998" width="23.85546875" style="4" bestFit="1" customWidth="1"/>
    <col min="10999" max="11000" width="5.7109375" style="4" customWidth="1"/>
    <col min="11001" max="11002" width="9.140625" style="4"/>
    <col min="11003" max="11003" width="7.5703125" style="4" customWidth="1"/>
    <col min="11004" max="11004" width="9.140625" style="4"/>
    <col min="11005" max="11005" width="8" style="4" customWidth="1"/>
    <col min="11006" max="11008" width="7.5703125" style="4" customWidth="1"/>
    <col min="11009" max="11016" width="9.140625" style="4"/>
    <col min="11017" max="11017" width="12.85546875" style="4" bestFit="1" customWidth="1"/>
    <col min="11018" max="11251" width="9.140625" style="4"/>
    <col min="11252" max="11252" width="47.28515625" style="4" customWidth="1"/>
    <col min="11253" max="11254" width="23.85546875" style="4" bestFit="1" customWidth="1"/>
    <col min="11255" max="11256" width="5.7109375" style="4" customWidth="1"/>
    <col min="11257" max="11258" width="9.140625" style="4"/>
    <col min="11259" max="11259" width="7.5703125" style="4" customWidth="1"/>
    <col min="11260" max="11260" width="9.140625" style="4"/>
    <col min="11261" max="11261" width="8" style="4" customWidth="1"/>
    <col min="11262" max="11264" width="7.5703125" style="4" customWidth="1"/>
    <col min="11265" max="11272" width="9.140625" style="4"/>
    <col min="11273" max="11273" width="12.85546875" style="4" bestFit="1" customWidth="1"/>
    <col min="11274" max="11507" width="9.140625" style="4"/>
    <col min="11508" max="11508" width="47.28515625" style="4" customWidth="1"/>
    <col min="11509" max="11510" width="23.85546875" style="4" bestFit="1" customWidth="1"/>
    <col min="11511" max="11512" width="5.7109375" style="4" customWidth="1"/>
    <col min="11513" max="11514" width="9.140625" style="4"/>
    <col min="11515" max="11515" width="7.5703125" style="4" customWidth="1"/>
    <col min="11516" max="11516" width="9.140625" style="4"/>
    <col min="11517" max="11517" width="8" style="4" customWidth="1"/>
    <col min="11518" max="11520" width="7.5703125" style="4" customWidth="1"/>
    <col min="11521" max="11528" width="9.140625" style="4"/>
    <col min="11529" max="11529" width="12.85546875" style="4" bestFit="1" customWidth="1"/>
    <col min="11530" max="11763" width="9.140625" style="4"/>
    <col min="11764" max="11764" width="47.28515625" style="4" customWidth="1"/>
    <col min="11765" max="11766" width="23.85546875" style="4" bestFit="1" customWidth="1"/>
    <col min="11767" max="11768" width="5.7109375" style="4" customWidth="1"/>
    <col min="11769" max="11770" width="9.140625" style="4"/>
    <col min="11771" max="11771" width="7.5703125" style="4" customWidth="1"/>
    <col min="11772" max="11772" width="9.140625" style="4"/>
    <col min="11773" max="11773" width="8" style="4" customWidth="1"/>
    <col min="11774" max="11776" width="7.5703125" style="4" customWidth="1"/>
    <col min="11777" max="11784" width="9.140625" style="4"/>
    <col min="11785" max="11785" width="12.85546875" style="4" bestFit="1" customWidth="1"/>
    <col min="11786" max="12019" width="9.140625" style="4"/>
    <col min="12020" max="12020" width="47.28515625" style="4" customWidth="1"/>
    <col min="12021" max="12022" width="23.85546875" style="4" bestFit="1" customWidth="1"/>
    <col min="12023" max="12024" width="5.7109375" style="4" customWidth="1"/>
    <col min="12025" max="12026" width="9.140625" style="4"/>
    <col min="12027" max="12027" width="7.5703125" style="4" customWidth="1"/>
    <col min="12028" max="12028" width="9.140625" style="4"/>
    <col min="12029" max="12029" width="8" style="4" customWidth="1"/>
    <col min="12030" max="12032" width="7.5703125" style="4" customWidth="1"/>
    <col min="12033" max="12040" width="9.140625" style="4"/>
    <col min="12041" max="12041" width="12.85546875" style="4" bestFit="1" customWidth="1"/>
    <col min="12042" max="12275" width="9.140625" style="4"/>
    <col min="12276" max="12276" width="47.28515625" style="4" customWidth="1"/>
    <col min="12277" max="12278" width="23.85546875" style="4" bestFit="1" customWidth="1"/>
    <col min="12279" max="12280" width="5.7109375" style="4" customWidth="1"/>
    <col min="12281" max="12282" width="9.140625" style="4"/>
    <col min="12283" max="12283" width="7.5703125" style="4" customWidth="1"/>
    <col min="12284" max="12284" width="9.140625" style="4"/>
    <col min="12285" max="12285" width="8" style="4" customWidth="1"/>
    <col min="12286" max="12288" width="7.5703125" style="4" customWidth="1"/>
    <col min="12289" max="12296" width="9.140625" style="4"/>
    <col min="12297" max="12297" width="12.85546875" style="4" bestFit="1" customWidth="1"/>
    <col min="12298" max="12531" width="9.140625" style="4"/>
    <col min="12532" max="12532" width="47.28515625" style="4" customWidth="1"/>
    <col min="12533" max="12534" width="23.85546875" style="4" bestFit="1" customWidth="1"/>
    <col min="12535" max="12536" width="5.7109375" style="4" customWidth="1"/>
    <col min="12537" max="12538" width="9.140625" style="4"/>
    <col min="12539" max="12539" width="7.5703125" style="4" customWidth="1"/>
    <col min="12540" max="12540" width="9.140625" style="4"/>
    <col min="12541" max="12541" width="8" style="4" customWidth="1"/>
    <col min="12542" max="12544" width="7.5703125" style="4" customWidth="1"/>
    <col min="12545" max="12552" width="9.140625" style="4"/>
    <col min="12553" max="12553" width="12.85546875" style="4" bestFit="1" customWidth="1"/>
    <col min="12554" max="12787" width="9.140625" style="4"/>
    <col min="12788" max="12788" width="47.28515625" style="4" customWidth="1"/>
    <col min="12789" max="12790" width="23.85546875" style="4" bestFit="1" customWidth="1"/>
    <col min="12791" max="12792" width="5.7109375" style="4" customWidth="1"/>
    <col min="12793" max="12794" width="9.140625" style="4"/>
    <col min="12795" max="12795" width="7.5703125" style="4" customWidth="1"/>
    <col min="12796" max="12796" width="9.140625" style="4"/>
    <col min="12797" max="12797" width="8" style="4" customWidth="1"/>
    <col min="12798" max="12800" width="7.5703125" style="4" customWidth="1"/>
    <col min="12801" max="12808" width="9.140625" style="4"/>
    <col min="12809" max="12809" width="12.85546875" style="4" bestFit="1" customWidth="1"/>
    <col min="12810" max="13043" width="9.140625" style="4"/>
    <col min="13044" max="13044" width="47.28515625" style="4" customWidth="1"/>
    <col min="13045" max="13046" width="23.85546875" style="4" bestFit="1" customWidth="1"/>
    <col min="13047" max="13048" width="5.7109375" style="4" customWidth="1"/>
    <col min="13049" max="13050" width="9.140625" style="4"/>
    <col min="13051" max="13051" width="7.5703125" style="4" customWidth="1"/>
    <col min="13052" max="13052" width="9.140625" style="4"/>
    <col min="13053" max="13053" width="8" style="4" customWidth="1"/>
    <col min="13054" max="13056" width="7.5703125" style="4" customWidth="1"/>
    <col min="13057" max="13064" width="9.140625" style="4"/>
    <col min="13065" max="13065" width="12.85546875" style="4" bestFit="1" customWidth="1"/>
    <col min="13066" max="13299" width="9.140625" style="4"/>
    <col min="13300" max="13300" width="47.28515625" style="4" customWidth="1"/>
    <col min="13301" max="13302" width="23.85546875" style="4" bestFit="1" customWidth="1"/>
    <col min="13303" max="13304" width="5.7109375" style="4" customWidth="1"/>
    <col min="13305" max="13306" width="9.140625" style="4"/>
    <col min="13307" max="13307" width="7.5703125" style="4" customWidth="1"/>
    <col min="13308" max="13308" width="9.140625" style="4"/>
    <col min="13309" max="13309" width="8" style="4" customWidth="1"/>
    <col min="13310" max="13312" width="7.5703125" style="4" customWidth="1"/>
    <col min="13313" max="13320" width="9.140625" style="4"/>
    <col min="13321" max="13321" width="12.85546875" style="4" bestFit="1" customWidth="1"/>
    <col min="13322" max="13555" width="9.140625" style="4"/>
    <col min="13556" max="13556" width="47.28515625" style="4" customWidth="1"/>
    <col min="13557" max="13558" width="23.85546875" style="4" bestFit="1" customWidth="1"/>
    <col min="13559" max="13560" width="5.7109375" style="4" customWidth="1"/>
    <col min="13561" max="13562" width="9.140625" style="4"/>
    <col min="13563" max="13563" width="7.5703125" style="4" customWidth="1"/>
    <col min="13564" max="13564" width="9.140625" style="4"/>
    <col min="13565" max="13565" width="8" style="4" customWidth="1"/>
    <col min="13566" max="13568" width="7.5703125" style="4" customWidth="1"/>
    <col min="13569" max="13576" width="9.140625" style="4"/>
    <col min="13577" max="13577" width="12.85546875" style="4" bestFit="1" customWidth="1"/>
    <col min="13578" max="13811" width="9.140625" style="4"/>
    <col min="13812" max="13812" width="47.28515625" style="4" customWidth="1"/>
    <col min="13813" max="13814" width="23.85546875" style="4" bestFit="1" customWidth="1"/>
    <col min="13815" max="13816" width="5.7109375" style="4" customWidth="1"/>
    <col min="13817" max="13818" width="9.140625" style="4"/>
    <col min="13819" max="13819" width="7.5703125" style="4" customWidth="1"/>
    <col min="13820" max="13820" width="9.140625" style="4"/>
    <col min="13821" max="13821" width="8" style="4" customWidth="1"/>
    <col min="13822" max="13824" width="7.5703125" style="4" customWidth="1"/>
    <col min="13825" max="13832" width="9.140625" style="4"/>
    <col min="13833" max="13833" width="12.85546875" style="4" bestFit="1" customWidth="1"/>
    <col min="13834" max="14067" width="9.140625" style="4"/>
    <col min="14068" max="14068" width="47.28515625" style="4" customWidth="1"/>
    <col min="14069" max="14070" width="23.85546875" style="4" bestFit="1" customWidth="1"/>
    <col min="14071" max="14072" width="5.7109375" style="4" customWidth="1"/>
    <col min="14073" max="14074" width="9.140625" style="4"/>
    <col min="14075" max="14075" width="7.5703125" style="4" customWidth="1"/>
    <col min="14076" max="14076" width="9.140625" style="4"/>
    <col min="14077" max="14077" width="8" style="4" customWidth="1"/>
    <col min="14078" max="14080" width="7.5703125" style="4" customWidth="1"/>
    <col min="14081" max="14088" width="9.140625" style="4"/>
    <col min="14089" max="14089" width="12.85546875" style="4" bestFit="1" customWidth="1"/>
    <col min="14090" max="14323" width="9.140625" style="4"/>
    <col min="14324" max="14324" width="47.28515625" style="4" customWidth="1"/>
    <col min="14325" max="14326" width="23.85546875" style="4" bestFit="1" customWidth="1"/>
    <col min="14327" max="14328" width="5.7109375" style="4" customWidth="1"/>
    <col min="14329" max="14330" width="9.140625" style="4"/>
    <col min="14331" max="14331" width="7.5703125" style="4" customWidth="1"/>
    <col min="14332" max="14332" width="9.140625" style="4"/>
    <col min="14333" max="14333" width="8" style="4" customWidth="1"/>
    <col min="14334" max="14336" width="7.5703125" style="4" customWidth="1"/>
    <col min="14337" max="14344" width="9.140625" style="4"/>
    <col min="14345" max="14345" width="12.85546875" style="4" bestFit="1" customWidth="1"/>
    <col min="14346" max="14579" width="9.140625" style="4"/>
    <col min="14580" max="14580" width="47.28515625" style="4" customWidth="1"/>
    <col min="14581" max="14582" width="23.85546875" style="4" bestFit="1" customWidth="1"/>
    <col min="14583" max="14584" width="5.7109375" style="4" customWidth="1"/>
    <col min="14585" max="14586" width="9.140625" style="4"/>
    <col min="14587" max="14587" width="7.5703125" style="4" customWidth="1"/>
    <col min="14588" max="14588" width="9.140625" style="4"/>
    <col min="14589" max="14589" width="8" style="4" customWidth="1"/>
    <col min="14590" max="14592" width="7.5703125" style="4" customWidth="1"/>
    <col min="14593" max="14600" width="9.140625" style="4"/>
    <col min="14601" max="14601" width="12.85546875" style="4" bestFit="1" customWidth="1"/>
    <col min="14602" max="14835" width="9.140625" style="4"/>
    <col min="14836" max="14836" width="47.28515625" style="4" customWidth="1"/>
    <col min="14837" max="14838" width="23.85546875" style="4" bestFit="1" customWidth="1"/>
    <col min="14839" max="14840" width="5.7109375" style="4" customWidth="1"/>
    <col min="14841" max="14842" width="9.140625" style="4"/>
    <col min="14843" max="14843" width="7.5703125" style="4" customWidth="1"/>
    <col min="14844" max="14844" width="9.140625" style="4"/>
    <col min="14845" max="14845" width="8" style="4" customWidth="1"/>
    <col min="14846" max="14848" width="7.5703125" style="4" customWidth="1"/>
    <col min="14849" max="14856" width="9.140625" style="4"/>
    <col min="14857" max="14857" width="12.85546875" style="4" bestFit="1" customWidth="1"/>
    <col min="14858" max="15091" width="9.140625" style="4"/>
    <col min="15092" max="15092" width="47.28515625" style="4" customWidth="1"/>
    <col min="15093" max="15094" width="23.85546875" style="4" bestFit="1" customWidth="1"/>
    <col min="15095" max="15096" width="5.7109375" style="4" customWidth="1"/>
    <col min="15097" max="15098" width="9.140625" style="4"/>
    <col min="15099" max="15099" width="7.5703125" style="4" customWidth="1"/>
    <col min="15100" max="15100" width="9.140625" style="4"/>
    <col min="15101" max="15101" width="8" style="4" customWidth="1"/>
    <col min="15102" max="15104" width="7.5703125" style="4" customWidth="1"/>
    <col min="15105" max="15112" width="9.140625" style="4"/>
    <col min="15113" max="15113" width="12.85546875" style="4" bestFit="1" customWidth="1"/>
    <col min="15114" max="15347" width="9.140625" style="4"/>
    <col min="15348" max="15348" width="47.28515625" style="4" customWidth="1"/>
    <col min="15349" max="15350" width="23.85546875" style="4" bestFit="1" customWidth="1"/>
    <col min="15351" max="15352" width="5.7109375" style="4" customWidth="1"/>
    <col min="15353" max="15354" width="9.140625" style="4"/>
    <col min="15355" max="15355" width="7.5703125" style="4" customWidth="1"/>
    <col min="15356" max="15356" width="9.140625" style="4"/>
    <col min="15357" max="15357" width="8" style="4" customWidth="1"/>
    <col min="15358" max="15360" width="7.5703125" style="4" customWidth="1"/>
    <col min="15361" max="15368" width="9.140625" style="4"/>
    <col min="15369" max="15369" width="12.85546875" style="4" bestFit="1" customWidth="1"/>
    <col min="15370" max="15603" width="9.140625" style="4"/>
    <col min="15604" max="15604" width="47.28515625" style="4" customWidth="1"/>
    <col min="15605" max="15606" width="23.85546875" style="4" bestFit="1" customWidth="1"/>
    <col min="15607" max="15608" width="5.7109375" style="4" customWidth="1"/>
    <col min="15609" max="15610" width="9.140625" style="4"/>
    <col min="15611" max="15611" width="7.5703125" style="4" customWidth="1"/>
    <col min="15612" max="15612" width="9.140625" style="4"/>
    <col min="15613" max="15613" width="8" style="4" customWidth="1"/>
    <col min="15614" max="15616" width="7.5703125" style="4" customWidth="1"/>
    <col min="15617" max="15624" width="9.140625" style="4"/>
    <col min="15625" max="15625" width="12.85546875" style="4" bestFit="1" customWidth="1"/>
    <col min="15626" max="15859" width="9.140625" style="4"/>
    <col min="15860" max="15860" width="47.28515625" style="4" customWidth="1"/>
    <col min="15861" max="15862" width="23.85546875" style="4" bestFit="1" customWidth="1"/>
    <col min="15863" max="15864" width="5.7109375" style="4" customWidth="1"/>
    <col min="15865" max="15866" width="9.140625" style="4"/>
    <col min="15867" max="15867" width="7.5703125" style="4" customWidth="1"/>
    <col min="15868" max="15868" width="9.140625" style="4"/>
    <col min="15869" max="15869" width="8" style="4" customWidth="1"/>
    <col min="15870" max="15872" width="7.5703125" style="4" customWidth="1"/>
    <col min="15873" max="15880" width="9.140625" style="4"/>
    <col min="15881" max="15881" width="12.85546875" style="4" bestFit="1" customWidth="1"/>
    <col min="15882" max="16115" width="9.140625" style="4"/>
    <col min="16116" max="16116" width="47.28515625" style="4" customWidth="1"/>
    <col min="16117" max="16118" width="23.85546875" style="4" bestFit="1" customWidth="1"/>
    <col min="16119" max="16120" width="5.7109375" style="4" customWidth="1"/>
    <col min="16121" max="16122" width="9.140625" style="4"/>
    <col min="16123" max="16123" width="7.5703125" style="4" customWidth="1"/>
    <col min="16124" max="16124" width="9.140625" style="4"/>
    <col min="16125" max="16125" width="8" style="4" customWidth="1"/>
    <col min="16126" max="16128" width="7.5703125" style="4" customWidth="1"/>
    <col min="16129" max="16136" width="9.140625" style="4"/>
    <col min="16137" max="16137" width="12.85546875" style="4" bestFit="1" customWidth="1"/>
    <col min="16138" max="16384" width="9.140625" style="4"/>
  </cols>
  <sheetData>
    <row r="1" spans="1:50">
      <c r="A1" s="27" t="s">
        <v>108</v>
      </c>
    </row>
    <row r="2" spans="1:50" ht="12.75" customHeight="1">
      <c r="A2" s="27"/>
      <c r="K2" s="34"/>
      <c r="O2" s="34"/>
      <c r="T2" s="34"/>
      <c r="Y2" s="34"/>
      <c r="AD2" s="34"/>
      <c r="AE2" s="35"/>
      <c r="AI2" s="34"/>
      <c r="AJ2" s="34"/>
      <c r="AK2" s="34"/>
      <c r="AL2" s="35"/>
      <c r="AO2" s="34"/>
    </row>
    <row r="3" spans="1:50">
      <c r="A3" s="4" t="s">
        <v>78</v>
      </c>
      <c r="K3" s="34"/>
      <c r="O3" s="34"/>
      <c r="T3" s="34"/>
      <c r="Y3" s="34"/>
      <c r="AD3" s="34"/>
      <c r="AE3" s="35"/>
      <c r="AI3" s="34"/>
      <c r="AJ3" s="34"/>
      <c r="AK3" s="34"/>
      <c r="AL3" s="35"/>
      <c r="AO3" s="34"/>
    </row>
    <row r="4" spans="1:50">
      <c r="A4" s="4" t="s">
        <v>79</v>
      </c>
      <c r="K4" s="34"/>
      <c r="N4" s="36" t="s">
        <v>109</v>
      </c>
      <c r="O4" s="37">
        <v>3.3000000000000002E-2</v>
      </c>
      <c r="S4" s="36" t="s">
        <v>109</v>
      </c>
      <c r="T4" s="37">
        <v>3.3000000000000002E-2</v>
      </c>
      <c r="X4" s="36" t="s">
        <v>109</v>
      </c>
      <c r="Y4" s="37">
        <v>3.3000000000000002E-2</v>
      </c>
      <c r="AC4" s="36" t="s">
        <v>109</v>
      </c>
      <c r="AD4" s="37">
        <v>3.3000000000000002E-2</v>
      </c>
      <c r="AE4" s="35"/>
      <c r="AH4" s="36" t="s">
        <v>109</v>
      </c>
      <c r="AI4" s="37">
        <v>3.3000000000000002E-2</v>
      </c>
      <c r="AJ4" s="455"/>
      <c r="AK4" s="455"/>
      <c r="AL4" s="35"/>
      <c r="AO4" s="34"/>
    </row>
    <row r="5" spans="1:50">
      <c r="K5" s="34"/>
      <c r="N5" s="36" t="s">
        <v>110</v>
      </c>
      <c r="O5" s="37">
        <v>2.6100000000000002E-2</v>
      </c>
      <c r="S5" s="36" t="s">
        <v>110</v>
      </c>
      <c r="T5" s="37">
        <v>2.6100000000000002E-2</v>
      </c>
      <c r="X5" s="36" t="s">
        <v>110</v>
      </c>
      <c r="Y5" s="37">
        <v>2.6100000000000002E-2</v>
      </c>
      <c r="AC5" s="36" t="s">
        <v>110</v>
      </c>
      <c r="AD5" s="37">
        <v>2.6100000000000002E-2</v>
      </c>
      <c r="AE5" s="35"/>
      <c r="AH5" s="36" t="s">
        <v>110</v>
      </c>
      <c r="AI5" s="37">
        <v>2.6100000000000002E-2</v>
      </c>
      <c r="AJ5" s="455"/>
      <c r="AK5" s="455"/>
      <c r="AL5" s="35"/>
      <c r="AO5" s="34"/>
    </row>
    <row r="6" spans="1:50" ht="15.75" customHeight="1" thickBot="1">
      <c r="A6" s="27"/>
      <c r="B6" s="38"/>
      <c r="C6" s="38"/>
      <c r="D6" s="38"/>
      <c r="E6" s="38"/>
      <c r="F6" s="38"/>
      <c r="G6" s="38"/>
      <c r="H6" s="38"/>
      <c r="I6" s="502" t="s">
        <v>82</v>
      </c>
      <c r="J6" s="503"/>
      <c r="K6" s="504"/>
      <c r="L6" s="505" t="s">
        <v>111</v>
      </c>
      <c r="M6" s="506"/>
      <c r="N6" s="509" t="s">
        <v>83</v>
      </c>
      <c r="O6" s="507"/>
      <c r="P6" s="508"/>
      <c r="Q6" s="510" t="s">
        <v>111</v>
      </c>
      <c r="R6" s="511"/>
      <c r="S6" s="509" t="s">
        <v>84</v>
      </c>
      <c r="T6" s="507"/>
      <c r="U6" s="508"/>
      <c r="V6" s="510" t="s">
        <v>111</v>
      </c>
      <c r="W6" s="511"/>
      <c r="X6" s="509" t="s">
        <v>85</v>
      </c>
      <c r="Y6" s="507"/>
      <c r="Z6" s="508"/>
      <c r="AA6" s="505" t="s">
        <v>111</v>
      </c>
      <c r="AB6" s="506"/>
      <c r="AC6" s="509" t="s">
        <v>86</v>
      </c>
      <c r="AD6" s="507"/>
      <c r="AE6" s="508"/>
      <c r="AF6" s="505" t="s">
        <v>111</v>
      </c>
      <c r="AG6" s="506"/>
      <c r="AH6" s="509" t="s">
        <v>87</v>
      </c>
      <c r="AI6" s="507"/>
      <c r="AJ6" s="507"/>
      <c r="AK6" s="507"/>
      <c r="AL6" s="508"/>
      <c r="AM6" s="505" t="s">
        <v>111</v>
      </c>
      <c r="AN6" s="506"/>
      <c r="AO6" s="507" t="s">
        <v>112</v>
      </c>
      <c r="AP6" s="508"/>
    </row>
    <row r="7" spans="1:50" ht="30.75">
      <c r="A7" s="39" t="s">
        <v>113</v>
      </c>
      <c r="B7" s="40" t="s">
        <v>114</v>
      </c>
      <c r="C7" s="41" t="s">
        <v>115</v>
      </c>
      <c r="D7" s="41" t="s">
        <v>116</v>
      </c>
      <c r="E7" s="409" t="s">
        <v>117</v>
      </c>
      <c r="F7" s="206" t="s">
        <v>118</v>
      </c>
      <c r="G7" s="42" t="s">
        <v>119</v>
      </c>
      <c r="H7" s="43" t="s">
        <v>120</v>
      </c>
      <c r="I7" s="44" t="s">
        <v>121</v>
      </c>
      <c r="J7" s="45" t="s">
        <v>122</v>
      </c>
      <c r="K7" s="46" t="s">
        <v>123</v>
      </c>
      <c r="L7" s="47" t="s">
        <v>124</v>
      </c>
      <c r="M7" s="47" t="s">
        <v>125</v>
      </c>
      <c r="N7" s="48" t="s">
        <v>126</v>
      </c>
      <c r="O7" s="49" t="s">
        <v>127</v>
      </c>
      <c r="P7" s="50" t="s">
        <v>128</v>
      </c>
      <c r="Q7" s="51" t="s">
        <v>129</v>
      </c>
      <c r="R7" s="51" t="s">
        <v>130</v>
      </c>
      <c r="S7" s="48" t="s">
        <v>131</v>
      </c>
      <c r="T7" s="49" t="s">
        <v>132</v>
      </c>
      <c r="U7" s="50" t="s">
        <v>133</v>
      </c>
      <c r="V7" s="51" t="s">
        <v>134</v>
      </c>
      <c r="W7" s="51" t="s">
        <v>135</v>
      </c>
      <c r="X7" s="48" t="s">
        <v>136</v>
      </c>
      <c r="Y7" s="49" t="s">
        <v>137</v>
      </c>
      <c r="Z7" s="50" t="s">
        <v>138</v>
      </c>
      <c r="AA7" s="47" t="s">
        <v>139</v>
      </c>
      <c r="AB7" s="47" t="s">
        <v>140</v>
      </c>
      <c r="AC7" s="48" t="s">
        <v>141</v>
      </c>
      <c r="AD7" s="49" t="s">
        <v>142</v>
      </c>
      <c r="AE7" s="50" t="s">
        <v>143</v>
      </c>
      <c r="AF7" s="52" t="s">
        <v>144</v>
      </c>
      <c r="AG7" s="53" t="s">
        <v>145</v>
      </c>
      <c r="AH7" s="48" t="s">
        <v>146</v>
      </c>
      <c r="AI7" s="49" t="s">
        <v>147</v>
      </c>
      <c r="AJ7" s="456" t="s">
        <v>148</v>
      </c>
      <c r="AK7" s="456" t="s">
        <v>149</v>
      </c>
      <c r="AL7" s="50" t="s">
        <v>150</v>
      </c>
      <c r="AM7" s="52" t="s">
        <v>151</v>
      </c>
      <c r="AN7" s="53" t="s">
        <v>152</v>
      </c>
      <c r="AO7" s="54" t="s">
        <v>153</v>
      </c>
      <c r="AP7" s="55" t="s">
        <v>154</v>
      </c>
      <c r="AQ7" s="56" t="s">
        <v>155</v>
      </c>
      <c r="AR7" s="28" t="s">
        <v>156</v>
      </c>
      <c r="AS7" s="28" t="s">
        <v>157</v>
      </c>
      <c r="AT7" s="28" t="s">
        <v>158</v>
      </c>
      <c r="AU7" s="28" t="s">
        <v>159</v>
      </c>
      <c r="AV7" s="28" t="s">
        <v>160</v>
      </c>
      <c r="AW7" s="28" t="s">
        <v>161</v>
      </c>
      <c r="AX7" s="28" t="s">
        <v>162</v>
      </c>
    </row>
    <row r="8" spans="1:50">
      <c r="A8" s="57" t="s">
        <v>163</v>
      </c>
      <c r="B8" s="58"/>
      <c r="C8" s="58"/>
      <c r="D8" s="58"/>
      <c r="E8" s="58"/>
      <c r="F8" s="58"/>
      <c r="G8" s="58"/>
      <c r="H8" s="59" t="str">
        <f ca="1">IFERROR(INDEX(Labor_Categories[Minimum Direct Labor Rates],MATCH(Cost_Elements[[#This Row],[Government Labor Category]],Labor_Categories[Labor Categories],0)),"")</f>
        <v/>
      </c>
      <c r="I8" s="60"/>
      <c r="J8" s="61"/>
      <c r="K8" s="62"/>
      <c r="L8" s="63"/>
      <c r="M8" s="63"/>
      <c r="N8" s="60"/>
      <c r="O8" s="61"/>
      <c r="P8" s="62"/>
      <c r="Q8" s="63"/>
      <c r="R8" s="63"/>
      <c r="S8" s="60"/>
      <c r="T8" s="61"/>
      <c r="U8" s="62"/>
      <c r="V8" s="63"/>
      <c r="W8" s="63"/>
      <c r="X8" s="60"/>
      <c r="Y8" s="61"/>
      <c r="Z8" s="62"/>
      <c r="AA8" s="63"/>
      <c r="AB8" s="63"/>
      <c r="AC8" s="60"/>
      <c r="AD8" s="61"/>
      <c r="AE8" s="62"/>
      <c r="AF8" s="64"/>
      <c r="AG8" s="65"/>
      <c r="AH8" s="60"/>
      <c r="AI8" s="61"/>
      <c r="AJ8" s="457"/>
      <c r="AK8" s="457"/>
      <c r="AL8" s="62"/>
      <c r="AM8" s="64"/>
      <c r="AN8" s="65"/>
      <c r="AO8" s="66"/>
      <c r="AP8" s="67"/>
      <c r="AQ8" s="68">
        <f ca="1">ROW(Cost_Elements[[#This Row],[Amount | Total]])</f>
        <v>8</v>
      </c>
    </row>
    <row r="9" spans="1:50">
      <c r="A9" s="239" t="s">
        <v>164</v>
      </c>
      <c r="B9" s="69"/>
      <c r="C9" s="69"/>
      <c r="D9" s="61"/>
      <c r="E9" s="61"/>
      <c r="F9" s="61"/>
      <c r="G9" s="61"/>
      <c r="H9" s="59" t="str">
        <f ca="1">IFERROR(INDEX(Labor_Categories[Minimum Direct Labor Rates],MATCH(Cost_Elements[[#This Row],[Government Labor Category]],Labor_Categories[Labor Categories],0)),"")</f>
        <v/>
      </c>
      <c r="I9" s="11"/>
      <c r="J9" s="69"/>
      <c r="K9" s="62"/>
      <c r="L9" s="63"/>
      <c r="M9" s="63"/>
      <c r="N9" s="11"/>
      <c r="O9" s="69"/>
      <c r="P9" s="62"/>
      <c r="Q9" s="63"/>
      <c r="R9" s="63"/>
      <c r="S9" s="11"/>
      <c r="T9" s="69"/>
      <c r="U9" s="62"/>
      <c r="V9" s="63"/>
      <c r="W9" s="63"/>
      <c r="X9" s="11"/>
      <c r="Y9" s="69"/>
      <c r="Z9" s="62"/>
      <c r="AA9" s="63"/>
      <c r="AB9" s="63"/>
      <c r="AC9" s="11"/>
      <c r="AD9" s="69"/>
      <c r="AE9" s="62"/>
      <c r="AF9" s="64"/>
      <c r="AG9" s="65"/>
      <c r="AH9" s="11"/>
      <c r="AI9" s="69"/>
      <c r="AJ9" s="457"/>
      <c r="AK9" s="457"/>
      <c r="AL9" s="62"/>
      <c r="AM9" s="64"/>
      <c r="AN9" s="65"/>
      <c r="AO9" s="66"/>
      <c r="AP9" s="67"/>
      <c r="AQ9" s="68">
        <f ca="1">ROW(Cost_Elements[[#This Row],[Amount | Total]])</f>
        <v>9</v>
      </c>
    </row>
    <row r="10" spans="1:50">
      <c r="A10" s="240" t="s">
        <v>165</v>
      </c>
      <c r="B10" s="275"/>
      <c r="C10" s="276"/>
      <c r="D10" s="71"/>
      <c r="E10" s="71"/>
      <c r="F10" s="71"/>
      <c r="G10" s="71"/>
      <c r="H10" s="72" t="str">
        <f ca="1">IFERROR(INDEX(Labor_Categories[Minimum Direct Labor Rates],MATCH(Cost_Elements[[#This Row],[Government Labor Category]],Labor_Categories[Labor Categories],0)),"")</f>
        <v/>
      </c>
      <c r="I10" s="73"/>
      <c r="J10" s="74"/>
      <c r="K10" s="75">
        <f ca="1">IFERROR(IF(Cost_Elements[[#This Row],[Row]]&gt;='Do Not Use or Delete'!$L$2, IF(Cost_Elements[[#This Row],[Row]]&lt;='Do Not Use or Delete'!$M$2,I10*J10,0),0)+IF(Cost_Elements[[#This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 s="63"/>
      <c r="M10" s="63"/>
      <c r="N10" s="76">
        <f ca="1">IF(PRODUCT(Cost_Elements[[#This Row],[BLS or SCLS]]="BLS"),(Cost_Elements[[#This Row],[Rate | 1]]*$O$4)+Cost_Elements[[#This Row],[Rate | 1]],(Cost_Elements[[#This Row],[Rate | 1]]*$O$5)+Cost_Elements[[#This Row],[Rate | 1]])</f>
        <v>0</v>
      </c>
      <c r="O10" s="74"/>
      <c r="P10" s="75">
        <f ca="1">IFERROR(IF(Cost_Elements[[#This Row],[Row]]&gt;='Do Not Use or Delete'!$L$2, IF(Cost_Elements[[#This Row],[Row]]&lt;='Do Not Use or Delete'!$M$2,N10*O10,0),0)+IF(Cost_Elements[[#This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 s="63"/>
      <c r="R10" s="63"/>
      <c r="S10" s="76">
        <f ca="1">IF(PRODUCT(Cost_Elements[[#This Row],[BLS or SCLS]]="BLS"),(Cost_Elements[[#This Row],[Rate | 2]]*$T$4)+Cost_Elements[[#This Row],[Rate | 2]],(Cost_Elements[[#This Row],[Rate | 2]]*$T$5)+Cost_Elements[[#This Row],[Rate | 2]])</f>
        <v>0</v>
      </c>
      <c r="T10" s="74"/>
      <c r="U10" s="75">
        <f ca="1">IFERROR(IF(Cost_Elements[[#This Row],[Row]]&gt;='Do Not Use or Delete'!$L$2, IF(Cost_Elements[[#This Row],[Row]]&lt;='Do Not Use or Delete'!$M$2,S10*T10,0),0)+IF(Cost_Elements[[#This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 s="63"/>
      <c r="W10" s="63"/>
      <c r="X10" s="76">
        <f ca="1">IF(PRODUCT(Cost_Elements[[#This Row],[BLS or SCLS]]="BLS"),(Cost_Elements[[#This Row],[Rate | 3]]*$Y$4)+Cost_Elements[[#This Row],[Rate | 3]],(Cost_Elements[[#This Row],[Rate | 3]]*$Y$5)+Cost_Elements[[#This Row],[Rate | 3]])</f>
        <v>0</v>
      </c>
      <c r="Y10" s="74"/>
      <c r="Z10" s="75">
        <f ca="1">IFERROR(IF(Cost_Elements[[#This Row],[Row]]&gt;='Do Not Use or Delete'!$L$2, IF(Cost_Elements[[#This Row],[Row]]&lt;='Do Not Use or Delete'!$M$2,X10*Y10,0),0)+IF(Cost_Elements[[#This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 s="63"/>
      <c r="AB10" s="63"/>
      <c r="AC10" s="76">
        <f ca="1">IF(PRODUCT(Cost_Elements[[#This Row],[BLS or SCLS]]="BLS"),(Cost_Elements[[#This Row],[Rate | 4]]*$AD$4)+Cost_Elements[[#This Row],[Rate | 4]],(Cost_Elements[[#This Row],[Rate | 4]]*$AD$5)+Cost_Elements[[#This Row],[Rate | 4]])</f>
        <v>0</v>
      </c>
      <c r="AD10" s="74"/>
      <c r="AE10" s="75">
        <f ca="1">IFERROR(IF(Cost_Elements[[#This Row],[Row]]&gt;='Do Not Use or Delete'!$L$2, IF(Cost_Elements[[#This Row],[Row]]&lt;='Do Not Use or Delete'!$M$2,AC10*AD10,0),0)+IF(Cost_Elements[[#This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 s="64"/>
      <c r="AG10" s="65"/>
      <c r="AH10" s="76">
        <f ca="1">IF(PRODUCT(Cost_Elements[[#This Row],[BLS or SCLS]]="BLS"),(Cost_Elements[[#This Row],[Rate | 5]]*$AI$4)+Cost_Elements[[#This Row],[Rate | 5]],(Cost_Elements[[#This Row],[Rate | 5]]*$AI$5)+Cost_Elements[[#This Row],[Rate | 5]])</f>
        <v>0</v>
      </c>
      <c r="AI10" s="74"/>
      <c r="AJ10" s="458"/>
      <c r="AK10" s="458"/>
      <c r="AL10" s="75">
        <f ca="1">IFERROR(IF(Cost_Elements[[#This Row],[Row]]&gt;='Do Not Use or Delete'!$L$2, IF(Cost_Elements[[#This Row],[Row]]&lt;='Do Not Use or Delete'!$M$2,AH10*AI10,0),0)+IF(Cost_Elements[[#This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 s="64"/>
      <c r="AN10" s="65"/>
      <c r="AO10" s="77">
        <f>J10+O10+T10+Y10+AD10+AI10</f>
        <v>0</v>
      </c>
      <c r="AP10" s="78">
        <f ca="1">K10+P10+U10+Z10+AE10+AL10</f>
        <v>0</v>
      </c>
      <c r="AQ10" s="68">
        <f ca="1">ROW(Cost_Elements[[#This Row],[Amount | Total]])</f>
        <v>10</v>
      </c>
    </row>
    <row r="11" spans="1:50">
      <c r="A11" s="240" t="s">
        <v>165</v>
      </c>
      <c r="B11" s="275"/>
      <c r="C11" s="276"/>
      <c r="D11" s="71"/>
      <c r="E11" s="71"/>
      <c r="F11" s="71"/>
      <c r="G11" s="71"/>
      <c r="H11" s="72" t="str">
        <f ca="1">IFERROR(INDEX(Labor_Categories[Minimum Direct Labor Rates],MATCH(Cost_Elements[[#This Row],[Government Labor Category]],Labor_Categories[Labor Categories],0)),"")</f>
        <v/>
      </c>
      <c r="I11" s="73"/>
      <c r="J11" s="74"/>
      <c r="K11" s="75">
        <f ca="1">IFERROR(IF(Cost_Elements[[#This Row],[Row]]&gt;='Do Not Use or Delete'!$L$2, IF(Cost_Elements[[#This Row],[Row]]&lt;='Do Not Use or Delete'!$M$2,I11*J11,0),0)+IF(Cost_Elements[[#This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 s="63"/>
      <c r="M11" s="63"/>
      <c r="N11" s="76">
        <f ca="1">IF(PRODUCT(Cost_Elements[[#This Row],[BLS or SCLS]]="BLS"),(Cost_Elements[[#This Row],[Rate | 1]]*$O$4)+Cost_Elements[[#This Row],[Rate | 1]],(Cost_Elements[[#This Row],[Rate | 1]]*$O$5)+Cost_Elements[[#This Row],[Rate | 1]])</f>
        <v>0</v>
      </c>
      <c r="O11" s="74"/>
      <c r="P11" s="75">
        <f ca="1">IFERROR(IF(Cost_Elements[[#This Row],[Row]]&gt;='Do Not Use or Delete'!$L$2, IF(Cost_Elements[[#This Row],[Row]]&lt;='Do Not Use or Delete'!$M$2,N11*O11,0),0)+IF(Cost_Elements[[#This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 s="63"/>
      <c r="R11" s="63"/>
      <c r="S11" s="76">
        <f ca="1">IF(PRODUCT(Cost_Elements[[#This Row],[BLS or SCLS]]="BLS"),(Cost_Elements[[#This Row],[Rate | 2]]*$T$4)+Cost_Elements[[#This Row],[Rate | 2]],(Cost_Elements[[#This Row],[Rate | 2]]*$T$5)+Cost_Elements[[#This Row],[Rate | 2]])</f>
        <v>0</v>
      </c>
      <c r="T11" s="74"/>
      <c r="U11" s="75">
        <f ca="1">IFERROR(IF(Cost_Elements[[#This Row],[Row]]&gt;='Do Not Use or Delete'!$L$2, IF(Cost_Elements[[#This Row],[Row]]&lt;='Do Not Use or Delete'!$M$2,S11*T11,0),0)+IF(Cost_Elements[[#This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 s="63"/>
      <c r="W11" s="63"/>
      <c r="X11" s="76">
        <f ca="1">IF(PRODUCT(Cost_Elements[[#This Row],[BLS or SCLS]]="BLS"),(Cost_Elements[[#This Row],[Rate | 3]]*$Y$4)+Cost_Elements[[#This Row],[Rate | 3]],(Cost_Elements[[#This Row],[Rate | 3]]*$Y$5)+Cost_Elements[[#This Row],[Rate | 3]])</f>
        <v>0</v>
      </c>
      <c r="Y11" s="74"/>
      <c r="Z11" s="75">
        <f ca="1">IFERROR(IF(Cost_Elements[[#This Row],[Row]]&gt;='Do Not Use or Delete'!$L$2, IF(Cost_Elements[[#This Row],[Row]]&lt;='Do Not Use or Delete'!$M$2,X11*Y11,0),0)+IF(Cost_Elements[[#This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 s="63"/>
      <c r="AB11" s="63"/>
      <c r="AC11" s="76">
        <f ca="1">IF(PRODUCT(Cost_Elements[[#This Row],[BLS or SCLS]]="BLS"),(Cost_Elements[[#This Row],[Rate | 4]]*$AD$4)+Cost_Elements[[#This Row],[Rate | 4]],(Cost_Elements[[#This Row],[Rate | 4]]*$AD$5)+Cost_Elements[[#This Row],[Rate | 4]])</f>
        <v>0</v>
      </c>
      <c r="AD11" s="74"/>
      <c r="AE11" s="75">
        <f ca="1">IFERROR(IF(Cost_Elements[[#This Row],[Row]]&gt;='Do Not Use or Delete'!$L$2, IF(Cost_Elements[[#This Row],[Row]]&lt;='Do Not Use or Delete'!$M$2,AC11*AD11,0),0)+IF(Cost_Elements[[#This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 s="64"/>
      <c r="AG11" s="65"/>
      <c r="AH11" s="76">
        <f ca="1">IF(PRODUCT(Cost_Elements[[#This Row],[BLS or SCLS]]="BLS"),(Cost_Elements[[#This Row],[Rate | 5]]*$AI$4)+Cost_Elements[[#This Row],[Rate | 5]],(Cost_Elements[[#This Row],[Rate | 5]]*$AI$5)+Cost_Elements[[#This Row],[Rate | 5]])</f>
        <v>0</v>
      </c>
      <c r="AI11" s="74"/>
      <c r="AJ11" s="458"/>
      <c r="AK11" s="458"/>
      <c r="AL11" s="75">
        <f ca="1">IFERROR(IF(Cost_Elements[[#This Row],[Row]]&gt;='Do Not Use or Delete'!$L$2, IF(Cost_Elements[[#This Row],[Row]]&lt;='Do Not Use or Delete'!$M$2,AH11*AI11,0),0)+IF(Cost_Elements[[#This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 s="64"/>
      <c r="AN11" s="65"/>
      <c r="AO11" s="77">
        <f>J11+O11+T11+Y11+AD11+AI11</f>
        <v>0</v>
      </c>
      <c r="AP11" s="78">
        <f ca="1">K11+P11+U11+Z11+AE11+AL11</f>
        <v>0</v>
      </c>
      <c r="AQ11" s="68">
        <f ca="1">ROW(Cost_Elements[[#This Row],[Amount | Total]])</f>
        <v>11</v>
      </c>
    </row>
    <row r="12" spans="1:50">
      <c r="A12" s="240" t="s">
        <v>165</v>
      </c>
      <c r="B12" s="275"/>
      <c r="C12" s="276"/>
      <c r="D12" s="71"/>
      <c r="E12" s="71"/>
      <c r="F12" s="71"/>
      <c r="G12" s="71"/>
      <c r="H12" s="72" t="str">
        <f ca="1">IFERROR(INDEX(Labor_Categories[Minimum Direct Labor Rates],MATCH(Cost_Elements[[#This Row],[Government Labor Category]],Labor_Categories[Labor Categories],0)),"")</f>
        <v/>
      </c>
      <c r="I12" s="73"/>
      <c r="J12" s="74"/>
      <c r="K12" s="75">
        <f ca="1">IFERROR(IF(Cost_Elements[[#This Row],[Row]]&gt;='Do Not Use or Delete'!$L$2, IF(Cost_Elements[[#This Row],[Row]]&lt;='Do Not Use or Delete'!$M$2,I12*J12,0),0)+IF(Cost_Elements[[#This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 s="63"/>
      <c r="M12" s="63"/>
      <c r="N12" s="76">
        <f ca="1">IF(PRODUCT(Cost_Elements[[#This Row],[BLS or SCLS]]="BLS"),(Cost_Elements[[#This Row],[Rate | 1]]*$O$4)+Cost_Elements[[#This Row],[Rate | 1]],(Cost_Elements[[#This Row],[Rate | 1]]*$O$5)+Cost_Elements[[#This Row],[Rate | 1]])</f>
        <v>0</v>
      </c>
      <c r="O12" s="74"/>
      <c r="P12" s="75">
        <f ca="1">IFERROR(IF(Cost_Elements[[#This Row],[Row]]&gt;='Do Not Use or Delete'!$L$2, IF(Cost_Elements[[#This Row],[Row]]&lt;='Do Not Use or Delete'!$M$2,N12*O12,0),0)+IF(Cost_Elements[[#This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 s="63"/>
      <c r="R12" s="63"/>
      <c r="S12" s="76">
        <f ca="1">IF(PRODUCT(Cost_Elements[[#This Row],[BLS or SCLS]]="BLS"),(Cost_Elements[[#This Row],[Rate | 2]]*$T$4)+Cost_Elements[[#This Row],[Rate | 2]],(Cost_Elements[[#This Row],[Rate | 2]]*$T$5)+Cost_Elements[[#This Row],[Rate | 2]])</f>
        <v>0</v>
      </c>
      <c r="T12" s="74"/>
      <c r="U12" s="75">
        <f ca="1">IFERROR(IF(Cost_Elements[[#This Row],[Row]]&gt;='Do Not Use or Delete'!$L$2, IF(Cost_Elements[[#This Row],[Row]]&lt;='Do Not Use or Delete'!$M$2,S12*T12,0),0)+IF(Cost_Elements[[#This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 s="63"/>
      <c r="W12" s="63"/>
      <c r="X12" s="76">
        <f ca="1">IF(PRODUCT(Cost_Elements[[#This Row],[BLS or SCLS]]="BLS"),(Cost_Elements[[#This Row],[Rate | 3]]*$Y$4)+Cost_Elements[[#This Row],[Rate | 3]],(Cost_Elements[[#This Row],[Rate | 3]]*$Y$5)+Cost_Elements[[#This Row],[Rate | 3]])</f>
        <v>0</v>
      </c>
      <c r="Y12" s="74"/>
      <c r="Z12" s="75">
        <f ca="1">IFERROR(IF(Cost_Elements[[#This Row],[Row]]&gt;='Do Not Use or Delete'!$L$2, IF(Cost_Elements[[#This Row],[Row]]&lt;='Do Not Use or Delete'!$M$2,X12*Y12,0),0)+IF(Cost_Elements[[#This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 s="63"/>
      <c r="AB12" s="63"/>
      <c r="AC12" s="76">
        <f ca="1">IF(PRODUCT(Cost_Elements[[#This Row],[BLS or SCLS]]="BLS"),(Cost_Elements[[#This Row],[Rate | 4]]*$AD$4)+Cost_Elements[[#This Row],[Rate | 4]],(Cost_Elements[[#This Row],[Rate | 4]]*$AD$5)+Cost_Elements[[#This Row],[Rate | 4]])</f>
        <v>0</v>
      </c>
      <c r="AD12" s="74"/>
      <c r="AE12" s="75">
        <f ca="1">IFERROR(IF(Cost_Elements[[#This Row],[Row]]&gt;='Do Not Use or Delete'!$L$2, IF(Cost_Elements[[#This Row],[Row]]&lt;='Do Not Use or Delete'!$M$2,AC12*AD12,0),0)+IF(Cost_Elements[[#This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 s="64"/>
      <c r="AG12" s="65"/>
      <c r="AH12" s="76">
        <f ca="1">IF(PRODUCT(Cost_Elements[[#This Row],[BLS or SCLS]]="BLS"),(Cost_Elements[[#This Row],[Rate | 5]]*$AI$4)+Cost_Elements[[#This Row],[Rate | 5]],(Cost_Elements[[#This Row],[Rate | 5]]*$AI$5)+Cost_Elements[[#This Row],[Rate | 5]])</f>
        <v>0</v>
      </c>
      <c r="AI12" s="74"/>
      <c r="AJ12" s="458"/>
      <c r="AK12" s="458"/>
      <c r="AL12" s="75">
        <f ca="1">IFERROR(IF(Cost_Elements[[#This Row],[Row]]&gt;='Do Not Use or Delete'!$L$2, IF(Cost_Elements[[#This Row],[Row]]&lt;='Do Not Use or Delete'!$M$2,AH12*AI12,0),0)+IF(Cost_Elements[[#This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 s="64"/>
      <c r="AN12" s="65"/>
      <c r="AO12" s="77">
        <f t="shared" ref="AO12:AO74" si="0">J12+O12+T12+Y12+AD12+AI12</f>
        <v>0</v>
      </c>
      <c r="AP12" s="78">
        <f t="shared" ref="AP12:AP74" ca="1" si="1">K12+P12+U12+Z12+AE12+AL12</f>
        <v>0</v>
      </c>
      <c r="AQ12" s="68">
        <f ca="1">ROW(Cost_Elements[[#This Row],[Amount | Total]])</f>
        <v>12</v>
      </c>
    </row>
    <row r="13" spans="1:50">
      <c r="A13" s="240" t="s">
        <v>165</v>
      </c>
      <c r="B13" s="275"/>
      <c r="C13" s="276"/>
      <c r="D13" s="71"/>
      <c r="E13" s="71"/>
      <c r="F13" s="71"/>
      <c r="G13" s="71"/>
      <c r="H13" s="72" t="str">
        <f ca="1">IFERROR(INDEX(Labor_Categories[Minimum Direct Labor Rates],MATCH(Cost_Elements[[#This Row],[Government Labor Category]],Labor_Categories[Labor Categories],0)),"")</f>
        <v/>
      </c>
      <c r="I13" s="73"/>
      <c r="J13" s="74"/>
      <c r="K13" s="75">
        <f ca="1">IFERROR(IF(Cost_Elements[[#This Row],[Row]]&gt;='Do Not Use or Delete'!$L$2, IF(Cost_Elements[[#This Row],[Row]]&lt;='Do Not Use or Delete'!$M$2,I13*J13,0),0)+IF(Cost_Elements[[#This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 s="63"/>
      <c r="M13" s="63"/>
      <c r="N13" s="76">
        <f ca="1">IF(PRODUCT(Cost_Elements[[#This Row],[BLS or SCLS]]="BLS"),(Cost_Elements[[#This Row],[Rate | 1]]*$O$4)+Cost_Elements[[#This Row],[Rate | 1]],(Cost_Elements[[#This Row],[Rate | 1]]*$O$5)+Cost_Elements[[#This Row],[Rate | 1]])</f>
        <v>0</v>
      </c>
      <c r="O13" s="74"/>
      <c r="P13" s="75">
        <f ca="1">IFERROR(IF(Cost_Elements[[#This Row],[Row]]&gt;='Do Not Use or Delete'!$L$2, IF(Cost_Elements[[#This Row],[Row]]&lt;='Do Not Use or Delete'!$M$2,N13*O13,0),0)+IF(Cost_Elements[[#This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 s="63"/>
      <c r="R13" s="63"/>
      <c r="S13" s="76">
        <f ca="1">IF(PRODUCT(Cost_Elements[[#This Row],[BLS or SCLS]]="BLS"),(Cost_Elements[[#This Row],[Rate | 2]]*$T$4)+Cost_Elements[[#This Row],[Rate | 2]],(Cost_Elements[[#This Row],[Rate | 2]]*$T$5)+Cost_Elements[[#This Row],[Rate | 2]])</f>
        <v>0</v>
      </c>
      <c r="T13" s="74"/>
      <c r="U13" s="75">
        <f ca="1">IFERROR(IF(Cost_Elements[[#This Row],[Row]]&gt;='Do Not Use or Delete'!$L$2, IF(Cost_Elements[[#This Row],[Row]]&lt;='Do Not Use or Delete'!$M$2,S13*T13,0),0)+IF(Cost_Elements[[#This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 s="63"/>
      <c r="W13" s="63"/>
      <c r="X13" s="76">
        <f ca="1">IF(PRODUCT(Cost_Elements[[#This Row],[BLS or SCLS]]="BLS"),(Cost_Elements[[#This Row],[Rate | 3]]*$Y$4)+Cost_Elements[[#This Row],[Rate | 3]],(Cost_Elements[[#This Row],[Rate | 3]]*$Y$5)+Cost_Elements[[#This Row],[Rate | 3]])</f>
        <v>0</v>
      </c>
      <c r="Y13" s="74"/>
      <c r="Z13" s="75">
        <f ca="1">IFERROR(IF(Cost_Elements[[#This Row],[Row]]&gt;='Do Not Use or Delete'!$L$2, IF(Cost_Elements[[#This Row],[Row]]&lt;='Do Not Use or Delete'!$M$2,X13*Y13,0),0)+IF(Cost_Elements[[#This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 s="63"/>
      <c r="AB13" s="63"/>
      <c r="AC13" s="76">
        <f ca="1">IF(PRODUCT(Cost_Elements[[#This Row],[BLS or SCLS]]="BLS"),(Cost_Elements[[#This Row],[Rate | 4]]*$AD$4)+Cost_Elements[[#This Row],[Rate | 4]],(Cost_Elements[[#This Row],[Rate | 4]]*$AD$5)+Cost_Elements[[#This Row],[Rate | 4]])</f>
        <v>0</v>
      </c>
      <c r="AD13" s="74"/>
      <c r="AE13" s="75">
        <f ca="1">IFERROR(IF(Cost_Elements[[#This Row],[Row]]&gt;='Do Not Use or Delete'!$L$2, IF(Cost_Elements[[#This Row],[Row]]&lt;='Do Not Use or Delete'!$M$2,AC13*AD13,0),0)+IF(Cost_Elements[[#This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 s="64"/>
      <c r="AG13" s="65"/>
      <c r="AH13" s="76">
        <f ca="1">IF(PRODUCT(Cost_Elements[[#This Row],[BLS or SCLS]]="BLS"),(Cost_Elements[[#This Row],[Rate | 5]]*$AI$4)+Cost_Elements[[#This Row],[Rate | 5]],(Cost_Elements[[#This Row],[Rate | 5]]*$AI$5)+Cost_Elements[[#This Row],[Rate | 5]])</f>
        <v>0</v>
      </c>
      <c r="AI13" s="74"/>
      <c r="AJ13" s="458"/>
      <c r="AK13" s="458"/>
      <c r="AL13" s="75">
        <f ca="1">IFERROR(IF(Cost_Elements[[#This Row],[Row]]&gt;='Do Not Use or Delete'!$L$2, IF(Cost_Elements[[#This Row],[Row]]&lt;='Do Not Use or Delete'!$M$2,AH13*AI13,0),0)+IF(Cost_Elements[[#This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 s="64"/>
      <c r="AN13" s="65"/>
      <c r="AO13" s="77">
        <f t="shared" si="0"/>
        <v>0</v>
      </c>
      <c r="AP13" s="78">
        <f t="shared" ca="1" si="1"/>
        <v>0</v>
      </c>
      <c r="AQ13" s="68">
        <f ca="1">ROW(Cost_Elements[[#This Row],[Amount | Total]])</f>
        <v>13</v>
      </c>
    </row>
    <row r="14" spans="1:50">
      <c r="A14" s="240" t="s">
        <v>165</v>
      </c>
      <c r="B14" s="275"/>
      <c r="C14" s="276"/>
      <c r="D14" s="71"/>
      <c r="E14" s="71"/>
      <c r="F14" s="71"/>
      <c r="G14" s="71"/>
      <c r="H14" s="72" t="str">
        <f ca="1">IFERROR(INDEX(Labor_Categories[Minimum Direct Labor Rates],MATCH(Cost_Elements[[#This Row],[Government Labor Category]],Labor_Categories[Labor Categories],0)),"")</f>
        <v/>
      </c>
      <c r="I14" s="73"/>
      <c r="J14" s="74"/>
      <c r="K14" s="75">
        <f ca="1">IFERROR(IF(Cost_Elements[[#This Row],[Row]]&gt;='Do Not Use or Delete'!$L$2, IF(Cost_Elements[[#This Row],[Row]]&lt;='Do Not Use or Delete'!$M$2,I14*J14,0),0)+IF(Cost_Elements[[#This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 s="63"/>
      <c r="M14" s="63"/>
      <c r="N14" s="76">
        <f ca="1">IF(PRODUCT(Cost_Elements[[#This Row],[BLS or SCLS]]="BLS"),(Cost_Elements[[#This Row],[Rate | 1]]*$O$4)+Cost_Elements[[#This Row],[Rate | 1]],(Cost_Elements[[#This Row],[Rate | 1]]*$O$5)+Cost_Elements[[#This Row],[Rate | 1]])</f>
        <v>0</v>
      </c>
      <c r="O14" s="74"/>
      <c r="P14" s="75">
        <f ca="1">IFERROR(IF(Cost_Elements[[#This Row],[Row]]&gt;='Do Not Use or Delete'!$L$2, IF(Cost_Elements[[#This Row],[Row]]&lt;='Do Not Use or Delete'!$M$2,N14*O14,0),0)+IF(Cost_Elements[[#This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 s="63"/>
      <c r="R14" s="63"/>
      <c r="S14" s="76">
        <f ca="1">IF(PRODUCT(Cost_Elements[[#This Row],[BLS or SCLS]]="BLS"),(Cost_Elements[[#This Row],[Rate | 2]]*$T$4)+Cost_Elements[[#This Row],[Rate | 2]],(Cost_Elements[[#This Row],[Rate | 2]]*$T$5)+Cost_Elements[[#This Row],[Rate | 2]])</f>
        <v>0</v>
      </c>
      <c r="T14" s="74"/>
      <c r="U14" s="75">
        <f ca="1">IFERROR(IF(Cost_Elements[[#This Row],[Row]]&gt;='Do Not Use or Delete'!$L$2, IF(Cost_Elements[[#This Row],[Row]]&lt;='Do Not Use or Delete'!$M$2,S14*T14,0),0)+IF(Cost_Elements[[#This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 s="63"/>
      <c r="W14" s="63"/>
      <c r="X14" s="76">
        <f ca="1">IF(PRODUCT(Cost_Elements[[#This Row],[BLS or SCLS]]="BLS"),(Cost_Elements[[#This Row],[Rate | 3]]*$Y$4)+Cost_Elements[[#This Row],[Rate | 3]],(Cost_Elements[[#This Row],[Rate | 3]]*$Y$5)+Cost_Elements[[#This Row],[Rate | 3]])</f>
        <v>0</v>
      </c>
      <c r="Y14" s="74"/>
      <c r="Z14" s="75">
        <f ca="1">IFERROR(IF(Cost_Elements[[#This Row],[Row]]&gt;='Do Not Use or Delete'!$L$2, IF(Cost_Elements[[#This Row],[Row]]&lt;='Do Not Use or Delete'!$M$2,X14*Y14,0),0)+IF(Cost_Elements[[#This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 s="63"/>
      <c r="AB14" s="63"/>
      <c r="AC14" s="76">
        <f ca="1">IF(PRODUCT(Cost_Elements[[#This Row],[BLS or SCLS]]="BLS"),(Cost_Elements[[#This Row],[Rate | 4]]*$AD$4)+Cost_Elements[[#This Row],[Rate | 4]],(Cost_Elements[[#This Row],[Rate | 4]]*$AD$5)+Cost_Elements[[#This Row],[Rate | 4]])</f>
        <v>0</v>
      </c>
      <c r="AD14" s="74"/>
      <c r="AE14" s="75">
        <f ca="1">IFERROR(IF(Cost_Elements[[#This Row],[Row]]&gt;='Do Not Use or Delete'!$L$2, IF(Cost_Elements[[#This Row],[Row]]&lt;='Do Not Use or Delete'!$M$2,AC14*AD14,0),0)+IF(Cost_Elements[[#This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 s="64"/>
      <c r="AG14" s="65"/>
      <c r="AH14" s="76">
        <f ca="1">IF(PRODUCT(Cost_Elements[[#This Row],[BLS or SCLS]]="BLS"),(Cost_Elements[[#This Row],[Rate | 5]]*$AI$4)+Cost_Elements[[#This Row],[Rate | 5]],(Cost_Elements[[#This Row],[Rate | 5]]*$AI$5)+Cost_Elements[[#This Row],[Rate | 5]])</f>
        <v>0</v>
      </c>
      <c r="AI14" s="74"/>
      <c r="AJ14" s="458"/>
      <c r="AK14" s="458"/>
      <c r="AL14" s="75">
        <f ca="1">IFERROR(IF(Cost_Elements[[#This Row],[Row]]&gt;='Do Not Use or Delete'!$L$2, IF(Cost_Elements[[#This Row],[Row]]&lt;='Do Not Use or Delete'!$M$2,AH14*AI14,0),0)+IF(Cost_Elements[[#This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 s="64"/>
      <c r="AN14" s="65"/>
      <c r="AO14" s="77">
        <f t="shared" si="0"/>
        <v>0</v>
      </c>
      <c r="AP14" s="78">
        <f t="shared" ca="1" si="1"/>
        <v>0</v>
      </c>
      <c r="AQ14" s="68">
        <f ca="1">ROW(Cost_Elements[[#This Row],[Amount | Total]])</f>
        <v>14</v>
      </c>
    </row>
    <row r="15" spans="1:50">
      <c r="A15" s="240" t="s">
        <v>165</v>
      </c>
      <c r="B15" s="275"/>
      <c r="C15" s="276"/>
      <c r="D15" s="71"/>
      <c r="E15" s="71"/>
      <c r="F15" s="71"/>
      <c r="G15" s="71"/>
      <c r="H15" s="72" t="str">
        <f ca="1">IFERROR(INDEX(Labor_Categories[Minimum Direct Labor Rates],MATCH(Cost_Elements[[#This Row],[Government Labor Category]],Labor_Categories[Labor Categories],0)),"")</f>
        <v/>
      </c>
      <c r="I15" s="73"/>
      <c r="J15" s="74"/>
      <c r="K15" s="75">
        <f ca="1">IFERROR(IF(Cost_Elements[[#This Row],[Row]]&gt;='Do Not Use or Delete'!$L$2, IF(Cost_Elements[[#This Row],[Row]]&lt;='Do Not Use or Delete'!$M$2,I15*J15,0),0)+IF(Cost_Elements[[#This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 s="63"/>
      <c r="M15" s="63"/>
      <c r="N15" s="76">
        <f ca="1">IF(PRODUCT(Cost_Elements[[#This Row],[BLS or SCLS]]="BLS"),(Cost_Elements[[#This Row],[Rate | 1]]*$O$4)+Cost_Elements[[#This Row],[Rate | 1]],(Cost_Elements[[#This Row],[Rate | 1]]*$O$5)+Cost_Elements[[#This Row],[Rate | 1]])</f>
        <v>0</v>
      </c>
      <c r="O15" s="74"/>
      <c r="P15" s="75">
        <f ca="1">IFERROR(IF(Cost_Elements[[#This Row],[Row]]&gt;='Do Not Use or Delete'!$L$2, IF(Cost_Elements[[#This Row],[Row]]&lt;='Do Not Use or Delete'!$M$2,N15*O15,0),0)+IF(Cost_Elements[[#This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 s="63"/>
      <c r="R15" s="63"/>
      <c r="S15" s="76">
        <f ca="1">IF(PRODUCT(Cost_Elements[[#This Row],[BLS or SCLS]]="BLS"),(Cost_Elements[[#This Row],[Rate | 2]]*$T$4)+Cost_Elements[[#This Row],[Rate | 2]],(Cost_Elements[[#This Row],[Rate | 2]]*$T$5)+Cost_Elements[[#This Row],[Rate | 2]])</f>
        <v>0</v>
      </c>
      <c r="T15" s="74"/>
      <c r="U15" s="75">
        <f ca="1">IFERROR(IF(Cost_Elements[[#This Row],[Row]]&gt;='Do Not Use or Delete'!$L$2, IF(Cost_Elements[[#This Row],[Row]]&lt;='Do Not Use or Delete'!$M$2,S15*T15,0),0)+IF(Cost_Elements[[#This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 s="63"/>
      <c r="W15" s="63"/>
      <c r="X15" s="76">
        <f ca="1">IF(PRODUCT(Cost_Elements[[#This Row],[BLS or SCLS]]="BLS"),(Cost_Elements[[#This Row],[Rate | 3]]*$Y$4)+Cost_Elements[[#This Row],[Rate | 3]],(Cost_Elements[[#This Row],[Rate | 3]]*$Y$5)+Cost_Elements[[#This Row],[Rate | 3]])</f>
        <v>0</v>
      </c>
      <c r="Y15" s="74"/>
      <c r="Z15" s="75">
        <f ca="1">IFERROR(IF(Cost_Elements[[#This Row],[Row]]&gt;='Do Not Use or Delete'!$L$2, IF(Cost_Elements[[#This Row],[Row]]&lt;='Do Not Use or Delete'!$M$2,X15*Y15,0),0)+IF(Cost_Elements[[#This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 s="63"/>
      <c r="AB15" s="63"/>
      <c r="AC15" s="76">
        <f ca="1">IF(PRODUCT(Cost_Elements[[#This Row],[BLS or SCLS]]="BLS"),(Cost_Elements[[#This Row],[Rate | 4]]*$AD$4)+Cost_Elements[[#This Row],[Rate | 4]],(Cost_Elements[[#This Row],[Rate | 4]]*$AD$5)+Cost_Elements[[#This Row],[Rate | 4]])</f>
        <v>0</v>
      </c>
      <c r="AD15" s="74"/>
      <c r="AE15" s="75">
        <f ca="1">IFERROR(IF(Cost_Elements[[#This Row],[Row]]&gt;='Do Not Use or Delete'!$L$2, IF(Cost_Elements[[#This Row],[Row]]&lt;='Do Not Use or Delete'!$M$2,AC15*AD15,0),0)+IF(Cost_Elements[[#This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 s="64"/>
      <c r="AG15" s="65"/>
      <c r="AH15" s="76">
        <f ca="1">IF(PRODUCT(Cost_Elements[[#This Row],[BLS or SCLS]]="BLS"),(Cost_Elements[[#This Row],[Rate | 5]]*$AI$4)+Cost_Elements[[#This Row],[Rate | 5]],(Cost_Elements[[#This Row],[Rate | 5]]*$AI$5)+Cost_Elements[[#This Row],[Rate | 5]])</f>
        <v>0</v>
      </c>
      <c r="AI15" s="74"/>
      <c r="AJ15" s="458"/>
      <c r="AK15" s="458"/>
      <c r="AL15" s="75">
        <f ca="1">IFERROR(IF(Cost_Elements[[#This Row],[Row]]&gt;='Do Not Use or Delete'!$L$2, IF(Cost_Elements[[#This Row],[Row]]&lt;='Do Not Use or Delete'!$M$2,AH15*AI15,0),0)+IF(Cost_Elements[[#This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 s="64"/>
      <c r="AN15" s="65"/>
      <c r="AO15" s="77">
        <f t="shared" si="0"/>
        <v>0</v>
      </c>
      <c r="AP15" s="78">
        <f t="shared" ca="1" si="1"/>
        <v>0</v>
      </c>
      <c r="AQ15" s="68">
        <f ca="1">ROW(Cost_Elements[[#This Row],[Amount | Total]])</f>
        <v>15</v>
      </c>
    </row>
    <row r="16" spans="1:50">
      <c r="A16" s="240" t="s">
        <v>165</v>
      </c>
      <c r="B16" s="275"/>
      <c r="C16" s="276"/>
      <c r="D16" s="71"/>
      <c r="E16" s="71"/>
      <c r="F16" s="71"/>
      <c r="G16" s="71"/>
      <c r="H16" s="72" t="str">
        <f ca="1">IFERROR(INDEX(Labor_Categories[Minimum Direct Labor Rates],MATCH(Cost_Elements[[#This Row],[Government Labor Category]],Labor_Categories[Labor Categories],0)),"")</f>
        <v/>
      </c>
      <c r="I16" s="73"/>
      <c r="J16" s="74"/>
      <c r="K16" s="75">
        <f ca="1">IFERROR(IF(Cost_Elements[[#This Row],[Row]]&gt;='Do Not Use or Delete'!$L$2, IF(Cost_Elements[[#This Row],[Row]]&lt;='Do Not Use or Delete'!$M$2,I16*J16,0),0)+IF(Cost_Elements[[#This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 s="63"/>
      <c r="M16" s="63"/>
      <c r="N16" s="76">
        <f ca="1">IF(PRODUCT(Cost_Elements[[#This Row],[BLS or SCLS]]="BLS"),(Cost_Elements[[#This Row],[Rate | 1]]*$O$4)+Cost_Elements[[#This Row],[Rate | 1]],(Cost_Elements[[#This Row],[Rate | 1]]*$O$5)+Cost_Elements[[#This Row],[Rate | 1]])</f>
        <v>0</v>
      </c>
      <c r="O16" s="74"/>
      <c r="P16" s="75">
        <f ca="1">IFERROR(IF(Cost_Elements[[#This Row],[Row]]&gt;='Do Not Use or Delete'!$L$2, IF(Cost_Elements[[#This Row],[Row]]&lt;='Do Not Use or Delete'!$M$2,N16*O16,0),0)+IF(Cost_Elements[[#This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 s="63"/>
      <c r="R16" s="63"/>
      <c r="S16" s="76">
        <f ca="1">IF(PRODUCT(Cost_Elements[[#This Row],[BLS or SCLS]]="BLS"),(Cost_Elements[[#This Row],[Rate | 2]]*$T$4)+Cost_Elements[[#This Row],[Rate | 2]],(Cost_Elements[[#This Row],[Rate | 2]]*$T$5)+Cost_Elements[[#This Row],[Rate | 2]])</f>
        <v>0</v>
      </c>
      <c r="T16" s="74"/>
      <c r="U16" s="75">
        <f ca="1">IFERROR(IF(Cost_Elements[[#This Row],[Row]]&gt;='Do Not Use or Delete'!$L$2, IF(Cost_Elements[[#This Row],[Row]]&lt;='Do Not Use or Delete'!$M$2,S16*T16,0),0)+IF(Cost_Elements[[#This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 s="63"/>
      <c r="W16" s="63"/>
      <c r="X16" s="76">
        <f ca="1">IF(PRODUCT(Cost_Elements[[#This Row],[BLS or SCLS]]="BLS"),(Cost_Elements[[#This Row],[Rate | 3]]*$Y$4)+Cost_Elements[[#This Row],[Rate | 3]],(Cost_Elements[[#This Row],[Rate | 3]]*$Y$5)+Cost_Elements[[#This Row],[Rate | 3]])</f>
        <v>0</v>
      </c>
      <c r="Y16" s="74"/>
      <c r="Z16" s="75">
        <f ca="1">IFERROR(IF(Cost_Elements[[#This Row],[Row]]&gt;='Do Not Use or Delete'!$L$2, IF(Cost_Elements[[#This Row],[Row]]&lt;='Do Not Use or Delete'!$M$2,X16*Y16,0),0)+IF(Cost_Elements[[#This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 s="63"/>
      <c r="AB16" s="63"/>
      <c r="AC16" s="76">
        <f ca="1">IF(PRODUCT(Cost_Elements[[#This Row],[BLS or SCLS]]="BLS"),(Cost_Elements[[#This Row],[Rate | 4]]*$AD$4)+Cost_Elements[[#This Row],[Rate | 4]],(Cost_Elements[[#This Row],[Rate | 4]]*$AD$5)+Cost_Elements[[#This Row],[Rate | 4]])</f>
        <v>0</v>
      </c>
      <c r="AD16" s="74"/>
      <c r="AE16" s="75">
        <f ca="1">IFERROR(IF(Cost_Elements[[#This Row],[Row]]&gt;='Do Not Use or Delete'!$L$2, IF(Cost_Elements[[#This Row],[Row]]&lt;='Do Not Use or Delete'!$M$2,AC16*AD16,0),0)+IF(Cost_Elements[[#This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 s="64"/>
      <c r="AG16" s="65"/>
      <c r="AH16" s="76">
        <f ca="1">IF(PRODUCT(Cost_Elements[[#This Row],[BLS or SCLS]]="BLS"),(Cost_Elements[[#This Row],[Rate | 5]]*$AI$4)+Cost_Elements[[#This Row],[Rate | 5]],(Cost_Elements[[#This Row],[Rate | 5]]*$AI$5)+Cost_Elements[[#This Row],[Rate | 5]])</f>
        <v>0</v>
      </c>
      <c r="AI16" s="74"/>
      <c r="AJ16" s="458"/>
      <c r="AK16" s="458"/>
      <c r="AL16" s="75">
        <f ca="1">IFERROR(IF(Cost_Elements[[#This Row],[Row]]&gt;='Do Not Use or Delete'!$L$2, IF(Cost_Elements[[#This Row],[Row]]&lt;='Do Not Use or Delete'!$M$2,AH16*AI16,0),0)+IF(Cost_Elements[[#This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 s="64"/>
      <c r="AN16" s="65"/>
      <c r="AO16" s="77">
        <f t="shared" si="0"/>
        <v>0</v>
      </c>
      <c r="AP16" s="78">
        <f t="shared" ca="1" si="1"/>
        <v>0</v>
      </c>
      <c r="AQ16" s="68">
        <f ca="1">ROW(Cost_Elements[[#This Row],[Amount | Total]])</f>
        <v>16</v>
      </c>
    </row>
    <row r="17" spans="1:43">
      <c r="A17" s="240" t="s">
        <v>165</v>
      </c>
      <c r="B17" s="275"/>
      <c r="C17" s="276"/>
      <c r="D17" s="71"/>
      <c r="E17" s="71"/>
      <c r="F17" s="71"/>
      <c r="G17" s="71"/>
      <c r="H17" s="72" t="str">
        <f ca="1">IFERROR(INDEX(Labor_Categories[Minimum Direct Labor Rates],MATCH(Cost_Elements[[#This Row],[Government Labor Category]],Labor_Categories[Labor Categories],0)),"")</f>
        <v/>
      </c>
      <c r="I17" s="73"/>
      <c r="J17" s="74"/>
      <c r="K17" s="75">
        <f ca="1">IFERROR(IF(Cost_Elements[[#This Row],[Row]]&gt;='Do Not Use or Delete'!$L$2, IF(Cost_Elements[[#This Row],[Row]]&lt;='Do Not Use or Delete'!$M$2,I17*J17,0),0)+IF(Cost_Elements[[#This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 s="63"/>
      <c r="M17" s="63"/>
      <c r="N17" s="76">
        <f ca="1">IF(PRODUCT(Cost_Elements[[#This Row],[BLS or SCLS]]="BLS"),(Cost_Elements[[#This Row],[Rate | 1]]*$O$4)+Cost_Elements[[#This Row],[Rate | 1]],(Cost_Elements[[#This Row],[Rate | 1]]*$O$5)+Cost_Elements[[#This Row],[Rate | 1]])</f>
        <v>0</v>
      </c>
      <c r="O17" s="74"/>
      <c r="P17" s="75">
        <f ca="1">IFERROR(IF(Cost_Elements[[#This Row],[Row]]&gt;='Do Not Use or Delete'!$L$2, IF(Cost_Elements[[#This Row],[Row]]&lt;='Do Not Use or Delete'!$M$2,N17*O17,0),0)+IF(Cost_Elements[[#This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 s="63"/>
      <c r="R17" s="63"/>
      <c r="S17" s="76">
        <f ca="1">IF(PRODUCT(Cost_Elements[[#This Row],[BLS or SCLS]]="BLS"),(Cost_Elements[[#This Row],[Rate | 2]]*$T$4)+Cost_Elements[[#This Row],[Rate | 2]],(Cost_Elements[[#This Row],[Rate | 2]]*$T$5)+Cost_Elements[[#This Row],[Rate | 2]])</f>
        <v>0</v>
      </c>
      <c r="T17" s="74"/>
      <c r="U17" s="75">
        <f ca="1">IFERROR(IF(Cost_Elements[[#This Row],[Row]]&gt;='Do Not Use or Delete'!$L$2, IF(Cost_Elements[[#This Row],[Row]]&lt;='Do Not Use or Delete'!$M$2,S17*T17,0),0)+IF(Cost_Elements[[#This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 s="63"/>
      <c r="W17" s="63"/>
      <c r="X17" s="76">
        <f ca="1">IF(PRODUCT(Cost_Elements[[#This Row],[BLS or SCLS]]="BLS"),(Cost_Elements[[#This Row],[Rate | 3]]*$Y$4)+Cost_Elements[[#This Row],[Rate | 3]],(Cost_Elements[[#This Row],[Rate | 3]]*$Y$5)+Cost_Elements[[#This Row],[Rate | 3]])</f>
        <v>0</v>
      </c>
      <c r="Y17" s="74"/>
      <c r="Z17" s="75">
        <f ca="1">IFERROR(IF(Cost_Elements[[#This Row],[Row]]&gt;='Do Not Use or Delete'!$L$2, IF(Cost_Elements[[#This Row],[Row]]&lt;='Do Not Use or Delete'!$M$2,X17*Y17,0),0)+IF(Cost_Elements[[#This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 s="63"/>
      <c r="AB17" s="63"/>
      <c r="AC17" s="76">
        <f ca="1">IF(PRODUCT(Cost_Elements[[#This Row],[BLS or SCLS]]="BLS"),(Cost_Elements[[#This Row],[Rate | 4]]*$AD$4)+Cost_Elements[[#This Row],[Rate | 4]],(Cost_Elements[[#This Row],[Rate | 4]]*$AD$5)+Cost_Elements[[#This Row],[Rate | 4]])</f>
        <v>0</v>
      </c>
      <c r="AD17" s="74"/>
      <c r="AE17" s="75">
        <f ca="1">IFERROR(IF(Cost_Elements[[#This Row],[Row]]&gt;='Do Not Use or Delete'!$L$2, IF(Cost_Elements[[#This Row],[Row]]&lt;='Do Not Use or Delete'!$M$2,AC17*AD17,0),0)+IF(Cost_Elements[[#This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 s="64"/>
      <c r="AG17" s="65"/>
      <c r="AH17" s="76">
        <f ca="1">IF(PRODUCT(Cost_Elements[[#This Row],[BLS or SCLS]]="BLS"),(Cost_Elements[[#This Row],[Rate | 5]]*$AI$4)+Cost_Elements[[#This Row],[Rate | 5]],(Cost_Elements[[#This Row],[Rate | 5]]*$AI$5)+Cost_Elements[[#This Row],[Rate | 5]])</f>
        <v>0</v>
      </c>
      <c r="AI17" s="74"/>
      <c r="AJ17" s="458"/>
      <c r="AK17" s="458"/>
      <c r="AL17" s="75">
        <f ca="1">IFERROR(IF(Cost_Elements[[#This Row],[Row]]&gt;='Do Not Use or Delete'!$L$2, IF(Cost_Elements[[#This Row],[Row]]&lt;='Do Not Use or Delete'!$M$2,AH17*AI17,0),0)+IF(Cost_Elements[[#This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 s="64"/>
      <c r="AN17" s="65"/>
      <c r="AO17" s="77">
        <f t="shared" si="0"/>
        <v>0</v>
      </c>
      <c r="AP17" s="78">
        <f t="shared" ca="1" si="1"/>
        <v>0</v>
      </c>
      <c r="AQ17" s="68">
        <f ca="1">ROW(Cost_Elements[[#This Row],[Amount | Total]])</f>
        <v>17</v>
      </c>
    </row>
    <row r="18" spans="1:43">
      <c r="A18" s="240" t="s">
        <v>165</v>
      </c>
      <c r="B18" s="275"/>
      <c r="C18" s="276"/>
      <c r="D18" s="71"/>
      <c r="E18" s="71"/>
      <c r="F18" s="71"/>
      <c r="G18" s="71"/>
      <c r="H18" s="72" t="str">
        <f ca="1">IFERROR(INDEX(Labor_Categories[Minimum Direct Labor Rates],MATCH(Cost_Elements[[#This Row],[Government Labor Category]],Labor_Categories[Labor Categories],0)),"")</f>
        <v/>
      </c>
      <c r="I18" s="73"/>
      <c r="J18" s="74"/>
      <c r="K18" s="75">
        <f ca="1">IFERROR(IF(Cost_Elements[[#This Row],[Row]]&gt;='Do Not Use or Delete'!$L$2, IF(Cost_Elements[[#This Row],[Row]]&lt;='Do Not Use or Delete'!$M$2,I18*J18,0),0)+IF(Cost_Elements[[#This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 s="63"/>
      <c r="M18" s="63"/>
      <c r="N18" s="76">
        <f ca="1">IF(PRODUCT(Cost_Elements[[#This Row],[BLS or SCLS]]="BLS"),(Cost_Elements[[#This Row],[Rate | 1]]*$O$4)+Cost_Elements[[#This Row],[Rate | 1]],(Cost_Elements[[#This Row],[Rate | 1]]*$O$5)+Cost_Elements[[#This Row],[Rate | 1]])</f>
        <v>0</v>
      </c>
      <c r="O18" s="74"/>
      <c r="P18" s="75">
        <f ca="1">IFERROR(IF(Cost_Elements[[#This Row],[Row]]&gt;='Do Not Use or Delete'!$L$2, IF(Cost_Elements[[#This Row],[Row]]&lt;='Do Not Use or Delete'!$M$2,N18*O18,0),0)+IF(Cost_Elements[[#This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 s="63"/>
      <c r="R18" s="63"/>
      <c r="S18" s="76">
        <f ca="1">IF(PRODUCT(Cost_Elements[[#This Row],[BLS or SCLS]]="BLS"),(Cost_Elements[[#This Row],[Rate | 2]]*$T$4)+Cost_Elements[[#This Row],[Rate | 2]],(Cost_Elements[[#This Row],[Rate | 2]]*$T$5)+Cost_Elements[[#This Row],[Rate | 2]])</f>
        <v>0</v>
      </c>
      <c r="T18" s="74"/>
      <c r="U18" s="75">
        <f ca="1">IFERROR(IF(Cost_Elements[[#This Row],[Row]]&gt;='Do Not Use or Delete'!$L$2, IF(Cost_Elements[[#This Row],[Row]]&lt;='Do Not Use or Delete'!$M$2,S18*T18,0),0)+IF(Cost_Elements[[#This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 s="63"/>
      <c r="W18" s="63"/>
      <c r="X18" s="76">
        <f ca="1">IF(PRODUCT(Cost_Elements[[#This Row],[BLS or SCLS]]="BLS"),(Cost_Elements[[#This Row],[Rate | 3]]*$Y$4)+Cost_Elements[[#This Row],[Rate | 3]],(Cost_Elements[[#This Row],[Rate | 3]]*$Y$5)+Cost_Elements[[#This Row],[Rate | 3]])</f>
        <v>0</v>
      </c>
      <c r="Y18" s="74"/>
      <c r="Z18" s="75">
        <f ca="1">IFERROR(IF(Cost_Elements[[#This Row],[Row]]&gt;='Do Not Use or Delete'!$L$2, IF(Cost_Elements[[#This Row],[Row]]&lt;='Do Not Use or Delete'!$M$2,X18*Y18,0),0)+IF(Cost_Elements[[#This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 s="63"/>
      <c r="AB18" s="63"/>
      <c r="AC18" s="76">
        <f ca="1">IF(PRODUCT(Cost_Elements[[#This Row],[BLS or SCLS]]="BLS"),(Cost_Elements[[#This Row],[Rate | 4]]*$AD$4)+Cost_Elements[[#This Row],[Rate | 4]],(Cost_Elements[[#This Row],[Rate | 4]]*$AD$5)+Cost_Elements[[#This Row],[Rate | 4]])</f>
        <v>0</v>
      </c>
      <c r="AD18" s="74"/>
      <c r="AE18" s="75">
        <f ca="1">IFERROR(IF(Cost_Elements[[#This Row],[Row]]&gt;='Do Not Use or Delete'!$L$2, IF(Cost_Elements[[#This Row],[Row]]&lt;='Do Not Use or Delete'!$M$2,AC18*AD18,0),0)+IF(Cost_Elements[[#This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 s="64"/>
      <c r="AG18" s="65"/>
      <c r="AH18" s="76">
        <f ca="1">IF(PRODUCT(Cost_Elements[[#This Row],[BLS or SCLS]]="BLS"),(Cost_Elements[[#This Row],[Rate | 5]]*$AI$4)+Cost_Elements[[#This Row],[Rate | 5]],(Cost_Elements[[#This Row],[Rate | 5]]*$AI$5)+Cost_Elements[[#This Row],[Rate | 5]])</f>
        <v>0</v>
      </c>
      <c r="AI18" s="74"/>
      <c r="AJ18" s="458"/>
      <c r="AK18" s="458"/>
      <c r="AL18" s="75">
        <f ca="1">IFERROR(IF(Cost_Elements[[#This Row],[Row]]&gt;='Do Not Use or Delete'!$L$2, IF(Cost_Elements[[#This Row],[Row]]&lt;='Do Not Use or Delete'!$M$2,AH18*AI18,0),0)+IF(Cost_Elements[[#This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 s="64"/>
      <c r="AN18" s="65"/>
      <c r="AO18" s="77">
        <f t="shared" si="0"/>
        <v>0</v>
      </c>
      <c r="AP18" s="78">
        <f t="shared" ca="1" si="1"/>
        <v>0</v>
      </c>
      <c r="AQ18" s="68">
        <f ca="1">ROW(Cost_Elements[[#This Row],[Amount | Total]])</f>
        <v>18</v>
      </c>
    </row>
    <row r="19" spans="1:43">
      <c r="A19" s="240" t="s">
        <v>165</v>
      </c>
      <c r="B19" s="275"/>
      <c r="C19" s="276"/>
      <c r="D19" s="71"/>
      <c r="E19" s="71"/>
      <c r="F19" s="71"/>
      <c r="G19" s="71"/>
      <c r="H19" s="72" t="str">
        <f ca="1">IFERROR(INDEX(Labor_Categories[Minimum Direct Labor Rates],MATCH(Cost_Elements[[#This Row],[Government Labor Category]],Labor_Categories[Labor Categories],0)),"")</f>
        <v/>
      </c>
      <c r="I19" s="73"/>
      <c r="J19" s="74"/>
      <c r="K19" s="75">
        <f ca="1">IFERROR(IF(Cost_Elements[[#This Row],[Row]]&gt;='Do Not Use or Delete'!$L$2, IF(Cost_Elements[[#This Row],[Row]]&lt;='Do Not Use or Delete'!$M$2,I19*J19,0),0)+IF(Cost_Elements[[#This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 s="63"/>
      <c r="M19" s="63"/>
      <c r="N19" s="76">
        <f ca="1">IF(PRODUCT(Cost_Elements[[#This Row],[BLS or SCLS]]="BLS"),(Cost_Elements[[#This Row],[Rate | 1]]*$O$4)+Cost_Elements[[#This Row],[Rate | 1]],(Cost_Elements[[#This Row],[Rate | 1]]*$O$5)+Cost_Elements[[#This Row],[Rate | 1]])</f>
        <v>0</v>
      </c>
      <c r="O19" s="74"/>
      <c r="P19" s="75">
        <f ca="1">IFERROR(IF(Cost_Elements[[#This Row],[Row]]&gt;='Do Not Use or Delete'!$L$2, IF(Cost_Elements[[#This Row],[Row]]&lt;='Do Not Use or Delete'!$M$2,N19*O19,0),0)+IF(Cost_Elements[[#This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 s="63"/>
      <c r="R19" s="63"/>
      <c r="S19" s="76">
        <f ca="1">IF(PRODUCT(Cost_Elements[[#This Row],[BLS or SCLS]]="BLS"),(Cost_Elements[[#This Row],[Rate | 2]]*$T$4)+Cost_Elements[[#This Row],[Rate | 2]],(Cost_Elements[[#This Row],[Rate | 2]]*$T$5)+Cost_Elements[[#This Row],[Rate | 2]])</f>
        <v>0</v>
      </c>
      <c r="T19" s="74"/>
      <c r="U19" s="75">
        <f ca="1">IFERROR(IF(Cost_Elements[[#This Row],[Row]]&gt;='Do Not Use or Delete'!$L$2, IF(Cost_Elements[[#This Row],[Row]]&lt;='Do Not Use or Delete'!$M$2,S19*T19,0),0)+IF(Cost_Elements[[#This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 s="63"/>
      <c r="W19" s="63"/>
      <c r="X19" s="76">
        <f ca="1">IF(PRODUCT(Cost_Elements[[#This Row],[BLS or SCLS]]="BLS"),(Cost_Elements[[#This Row],[Rate | 3]]*$Y$4)+Cost_Elements[[#This Row],[Rate | 3]],(Cost_Elements[[#This Row],[Rate | 3]]*$Y$5)+Cost_Elements[[#This Row],[Rate | 3]])</f>
        <v>0</v>
      </c>
      <c r="Y19" s="74"/>
      <c r="Z19" s="75">
        <f ca="1">IFERROR(IF(Cost_Elements[[#This Row],[Row]]&gt;='Do Not Use or Delete'!$L$2, IF(Cost_Elements[[#This Row],[Row]]&lt;='Do Not Use or Delete'!$M$2,X19*Y19,0),0)+IF(Cost_Elements[[#This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 s="63"/>
      <c r="AB19" s="63"/>
      <c r="AC19" s="76">
        <f ca="1">IF(PRODUCT(Cost_Elements[[#This Row],[BLS or SCLS]]="BLS"),(Cost_Elements[[#This Row],[Rate | 4]]*$AD$4)+Cost_Elements[[#This Row],[Rate | 4]],(Cost_Elements[[#This Row],[Rate | 4]]*$AD$5)+Cost_Elements[[#This Row],[Rate | 4]])</f>
        <v>0</v>
      </c>
      <c r="AD19" s="74"/>
      <c r="AE19" s="75">
        <f ca="1">IFERROR(IF(Cost_Elements[[#This Row],[Row]]&gt;='Do Not Use or Delete'!$L$2, IF(Cost_Elements[[#This Row],[Row]]&lt;='Do Not Use or Delete'!$M$2,AC19*AD19,0),0)+IF(Cost_Elements[[#This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 s="64"/>
      <c r="AG19" s="65"/>
      <c r="AH19" s="76">
        <f ca="1">IF(PRODUCT(Cost_Elements[[#This Row],[BLS or SCLS]]="BLS"),(Cost_Elements[[#This Row],[Rate | 5]]*$AI$4)+Cost_Elements[[#This Row],[Rate | 5]],(Cost_Elements[[#This Row],[Rate | 5]]*$AI$5)+Cost_Elements[[#This Row],[Rate | 5]])</f>
        <v>0</v>
      </c>
      <c r="AI19" s="74"/>
      <c r="AJ19" s="458"/>
      <c r="AK19" s="458"/>
      <c r="AL19" s="75">
        <f ca="1">IFERROR(IF(Cost_Elements[[#This Row],[Row]]&gt;='Do Not Use or Delete'!$L$2, IF(Cost_Elements[[#This Row],[Row]]&lt;='Do Not Use or Delete'!$M$2,AH19*AI19,0),0)+IF(Cost_Elements[[#This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 s="64"/>
      <c r="AN19" s="65"/>
      <c r="AO19" s="77">
        <f t="shared" si="0"/>
        <v>0</v>
      </c>
      <c r="AP19" s="78">
        <f t="shared" ca="1" si="1"/>
        <v>0</v>
      </c>
      <c r="AQ19" s="68">
        <f ca="1">ROW(Cost_Elements[[#This Row],[Amount | Total]])</f>
        <v>19</v>
      </c>
    </row>
    <row r="20" spans="1:43">
      <c r="A20" s="240" t="s">
        <v>165</v>
      </c>
      <c r="B20" s="275"/>
      <c r="C20" s="276"/>
      <c r="D20" s="71"/>
      <c r="E20" s="71"/>
      <c r="F20" s="71"/>
      <c r="G20" s="71"/>
      <c r="H20" s="72" t="str">
        <f ca="1">IFERROR(INDEX(Labor_Categories[Minimum Direct Labor Rates],MATCH(Cost_Elements[[#This Row],[Government Labor Category]],Labor_Categories[Labor Categories],0)),"")</f>
        <v/>
      </c>
      <c r="I20" s="73"/>
      <c r="J20" s="74"/>
      <c r="K20" s="75">
        <f ca="1">IFERROR(IF(Cost_Elements[[#This Row],[Row]]&gt;='Do Not Use or Delete'!$L$2, IF(Cost_Elements[[#This Row],[Row]]&lt;='Do Not Use or Delete'!$M$2,I20*J20,0),0)+IF(Cost_Elements[[#This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 s="63"/>
      <c r="M20" s="63"/>
      <c r="N20" s="76">
        <f ca="1">IF(PRODUCT(Cost_Elements[[#This Row],[BLS or SCLS]]="BLS"),(Cost_Elements[[#This Row],[Rate | 1]]*$O$4)+Cost_Elements[[#This Row],[Rate | 1]],(Cost_Elements[[#This Row],[Rate | 1]]*$O$5)+Cost_Elements[[#This Row],[Rate | 1]])</f>
        <v>0</v>
      </c>
      <c r="O20" s="74"/>
      <c r="P20" s="75">
        <f ca="1">IFERROR(IF(Cost_Elements[[#This Row],[Row]]&gt;='Do Not Use or Delete'!$L$2, IF(Cost_Elements[[#This Row],[Row]]&lt;='Do Not Use or Delete'!$M$2,N20*O20,0),0)+IF(Cost_Elements[[#This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 s="63"/>
      <c r="R20" s="63"/>
      <c r="S20" s="76">
        <f ca="1">IF(PRODUCT(Cost_Elements[[#This Row],[BLS or SCLS]]="BLS"),(Cost_Elements[[#This Row],[Rate | 2]]*$T$4)+Cost_Elements[[#This Row],[Rate | 2]],(Cost_Elements[[#This Row],[Rate | 2]]*$T$5)+Cost_Elements[[#This Row],[Rate | 2]])</f>
        <v>0</v>
      </c>
      <c r="T20" s="74"/>
      <c r="U20" s="75">
        <f ca="1">IFERROR(IF(Cost_Elements[[#This Row],[Row]]&gt;='Do Not Use or Delete'!$L$2, IF(Cost_Elements[[#This Row],[Row]]&lt;='Do Not Use or Delete'!$M$2,S20*T20,0),0)+IF(Cost_Elements[[#This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 s="63"/>
      <c r="W20" s="63"/>
      <c r="X20" s="76">
        <f ca="1">IF(PRODUCT(Cost_Elements[[#This Row],[BLS or SCLS]]="BLS"),(Cost_Elements[[#This Row],[Rate | 3]]*$Y$4)+Cost_Elements[[#This Row],[Rate | 3]],(Cost_Elements[[#This Row],[Rate | 3]]*$Y$5)+Cost_Elements[[#This Row],[Rate | 3]])</f>
        <v>0</v>
      </c>
      <c r="Y20" s="74"/>
      <c r="Z20" s="75">
        <f ca="1">IFERROR(IF(Cost_Elements[[#This Row],[Row]]&gt;='Do Not Use or Delete'!$L$2, IF(Cost_Elements[[#This Row],[Row]]&lt;='Do Not Use or Delete'!$M$2,X20*Y20,0),0)+IF(Cost_Elements[[#This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 s="63"/>
      <c r="AB20" s="63"/>
      <c r="AC20" s="76">
        <f ca="1">IF(PRODUCT(Cost_Elements[[#This Row],[BLS or SCLS]]="BLS"),(Cost_Elements[[#This Row],[Rate | 4]]*$AD$4)+Cost_Elements[[#This Row],[Rate | 4]],(Cost_Elements[[#This Row],[Rate | 4]]*$AD$5)+Cost_Elements[[#This Row],[Rate | 4]])</f>
        <v>0</v>
      </c>
      <c r="AD20" s="74"/>
      <c r="AE20" s="75">
        <f ca="1">IFERROR(IF(Cost_Elements[[#This Row],[Row]]&gt;='Do Not Use or Delete'!$L$2, IF(Cost_Elements[[#This Row],[Row]]&lt;='Do Not Use or Delete'!$M$2,AC20*AD20,0),0)+IF(Cost_Elements[[#This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 s="64"/>
      <c r="AG20" s="65"/>
      <c r="AH20" s="76">
        <f ca="1">IF(PRODUCT(Cost_Elements[[#This Row],[BLS or SCLS]]="BLS"),(Cost_Elements[[#This Row],[Rate | 5]]*$AI$4)+Cost_Elements[[#This Row],[Rate | 5]],(Cost_Elements[[#This Row],[Rate | 5]]*$AI$5)+Cost_Elements[[#This Row],[Rate | 5]])</f>
        <v>0</v>
      </c>
      <c r="AI20" s="74"/>
      <c r="AJ20" s="458"/>
      <c r="AK20" s="458"/>
      <c r="AL20" s="75">
        <f ca="1">IFERROR(IF(Cost_Elements[[#This Row],[Row]]&gt;='Do Not Use or Delete'!$L$2, IF(Cost_Elements[[#This Row],[Row]]&lt;='Do Not Use or Delete'!$M$2,AH20*AI20,0),0)+IF(Cost_Elements[[#This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 s="64"/>
      <c r="AN20" s="65"/>
      <c r="AO20" s="77">
        <f t="shared" si="0"/>
        <v>0</v>
      </c>
      <c r="AP20" s="78">
        <f t="shared" ca="1" si="1"/>
        <v>0</v>
      </c>
      <c r="AQ20" s="68">
        <f ca="1">ROW(Cost_Elements[[#This Row],[Amount | Total]])</f>
        <v>20</v>
      </c>
    </row>
    <row r="21" spans="1:43">
      <c r="A21" s="240" t="s">
        <v>165</v>
      </c>
      <c r="B21" s="275"/>
      <c r="C21" s="276"/>
      <c r="D21" s="71"/>
      <c r="E21" s="71"/>
      <c r="F21" s="71"/>
      <c r="G21" s="71"/>
      <c r="H21" s="72" t="str">
        <f ca="1">IFERROR(INDEX(Labor_Categories[Minimum Direct Labor Rates],MATCH(Cost_Elements[[#This Row],[Government Labor Category]],Labor_Categories[Labor Categories],0)),"")</f>
        <v/>
      </c>
      <c r="I21" s="73"/>
      <c r="J21" s="74"/>
      <c r="K21" s="75">
        <f ca="1">IFERROR(IF(Cost_Elements[[#This Row],[Row]]&gt;='Do Not Use or Delete'!$L$2, IF(Cost_Elements[[#This Row],[Row]]&lt;='Do Not Use or Delete'!$M$2,I21*J21,0),0)+IF(Cost_Elements[[#This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 s="63"/>
      <c r="M21" s="63"/>
      <c r="N21" s="76">
        <f ca="1">IF(PRODUCT(Cost_Elements[[#This Row],[BLS or SCLS]]="BLS"),(Cost_Elements[[#This Row],[Rate | 1]]*$O$4)+Cost_Elements[[#This Row],[Rate | 1]],(Cost_Elements[[#This Row],[Rate | 1]]*$O$5)+Cost_Elements[[#This Row],[Rate | 1]])</f>
        <v>0</v>
      </c>
      <c r="O21" s="74"/>
      <c r="P21" s="75">
        <f ca="1">IFERROR(IF(Cost_Elements[[#This Row],[Row]]&gt;='Do Not Use or Delete'!$L$2, IF(Cost_Elements[[#This Row],[Row]]&lt;='Do Not Use or Delete'!$M$2,N21*O21,0),0)+IF(Cost_Elements[[#This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 s="63"/>
      <c r="R21" s="63"/>
      <c r="S21" s="76">
        <f ca="1">IF(PRODUCT(Cost_Elements[[#This Row],[BLS or SCLS]]="BLS"),(Cost_Elements[[#This Row],[Rate | 2]]*$T$4)+Cost_Elements[[#This Row],[Rate | 2]],(Cost_Elements[[#This Row],[Rate | 2]]*$T$5)+Cost_Elements[[#This Row],[Rate | 2]])</f>
        <v>0</v>
      </c>
      <c r="T21" s="74"/>
      <c r="U21" s="75">
        <f ca="1">IFERROR(IF(Cost_Elements[[#This Row],[Row]]&gt;='Do Not Use or Delete'!$L$2, IF(Cost_Elements[[#This Row],[Row]]&lt;='Do Not Use or Delete'!$M$2,S21*T21,0),0)+IF(Cost_Elements[[#This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 s="63"/>
      <c r="W21" s="63"/>
      <c r="X21" s="76">
        <f ca="1">IF(PRODUCT(Cost_Elements[[#This Row],[BLS or SCLS]]="BLS"),(Cost_Elements[[#This Row],[Rate | 3]]*$Y$4)+Cost_Elements[[#This Row],[Rate | 3]],(Cost_Elements[[#This Row],[Rate | 3]]*$Y$5)+Cost_Elements[[#This Row],[Rate | 3]])</f>
        <v>0</v>
      </c>
      <c r="Y21" s="74"/>
      <c r="Z21" s="75">
        <f ca="1">IFERROR(IF(Cost_Elements[[#This Row],[Row]]&gt;='Do Not Use or Delete'!$L$2, IF(Cost_Elements[[#This Row],[Row]]&lt;='Do Not Use or Delete'!$M$2,X21*Y21,0),0)+IF(Cost_Elements[[#This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 s="63"/>
      <c r="AB21" s="63"/>
      <c r="AC21" s="76">
        <f ca="1">IF(PRODUCT(Cost_Elements[[#This Row],[BLS or SCLS]]="BLS"),(Cost_Elements[[#This Row],[Rate | 4]]*$AD$4)+Cost_Elements[[#This Row],[Rate | 4]],(Cost_Elements[[#This Row],[Rate | 4]]*$AD$5)+Cost_Elements[[#This Row],[Rate | 4]])</f>
        <v>0</v>
      </c>
      <c r="AD21" s="74"/>
      <c r="AE21" s="75">
        <f ca="1">IFERROR(IF(Cost_Elements[[#This Row],[Row]]&gt;='Do Not Use or Delete'!$L$2, IF(Cost_Elements[[#This Row],[Row]]&lt;='Do Not Use or Delete'!$M$2,AC21*AD21,0),0)+IF(Cost_Elements[[#This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 s="64"/>
      <c r="AG21" s="65"/>
      <c r="AH21" s="76">
        <f ca="1">IF(PRODUCT(Cost_Elements[[#This Row],[BLS or SCLS]]="BLS"),(Cost_Elements[[#This Row],[Rate | 5]]*$AI$4)+Cost_Elements[[#This Row],[Rate | 5]],(Cost_Elements[[#This Row],[Rate | 5]]*$AI$5)+Cost_Elements[[#This Row],[Rate | 5]])</f>
        <v>0</v>
      </c>
      <c r="AI21" s="74"/>
      <c r="AJ21" s="458"/>
      <c r="AK21" s="458"/>
      <c r="AL21" s="75">
        <f ca="1">IFERROR(IF(Cost_Elements[[#This Row],[Row]]&gt;='Do Not Use or Delete'!$L$2, IF(Cost_Elements[[#This Row],[Row]]&lt;='Do Not Use or Delete'!$M$2,AH21*AI21,0),0)+IF(Cost_Elements[[#This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 s="64"/>
      <c r="AN21" s="65"/>
      <c r="AO21" s="77">
        <f t="shared" si="0"/>
        <v>0</v>
      </c>
      <c r="AP21" s="78">
        <f t="shared" ca="1" si="1"/>
        <v>0</v>
      </c>
      <c r="AQ21" s="68">
        <f ca="1">ROW(Cost_Elements[[#This Row],[Amount | Total]])</f>
        <v>21</v>
      </c>
    </row>
    <row r="22" spans="1:43">
      <c r="A22" s="240" t="s">
        <v>165</v>
      </c>
      <c r="B22" s="275"/>
      <c r="C22" s="276"/>
      <c r="D22" s="71"/>
      <c r="E22" s="71"/>
      <c r="F22" s="71"/>
      <c r="G22" s="71"/>
      <c r="H22" s="72" t="str">
        <f ca="1">IFERROR(INDEX(Labor_Categories[Minimum Direct Labor Rates],MATCH(Cost_Elements[[#This Row],[Government Labor Category]],Labor_Categories[Labor Categories],0)),"")</f>
        <v/>
      </c>
      <c r="I22" s="73"/>
      <c r="J22" s="74"/>
      <c r="K22" s="75">
        <f ca="1">IFERROR(IF(Cost_Elements[[#This Row],[Row]]&gt;='Do Not Use or Delete'!$L$2, IF(Cost_Elements[[#This Row],[Row]]&lt;='Do Not Use or Delete'!$M$2,I22*J22,0),0)+IF(Cost_Elements[[#This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 s="63"/>
      <c r="M22" s="63"/>
      <c r="N22" s="76">
        <f ca="1">IF(PRODUCT(Cost_Elements[[#This Row],[BLS or SCLS]]="BLS"),(Cost_Elements[[#This Row],[Rate | 1]]*$O$4)+Cost_Elements[[#This Row],[Rate | 1]],(Cost_Elements[[#This Row],[Rate | 1]]*$O$5)+Cost_Elements[[#This Row],[Rate | 1]])</f>
        <v>0</v>
      </c>
      <c r="O22" s="74"/>
      <c r="P22" s="75">
        <f ca="1">IFERROR(IF(Cost_Elements[[#This Row],[Row]]&gt;='Do Not Use or Delete'!$L$2, IF(Cost_Elements[[#This Row],[Row]]&lt;='Do Not Use or Delete'!$M$2,N22*O22,0),0)+IF(Cost_Elements[[#This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 s="63"/>
      <c r="R22" s="63"/>
      <c r="S22" s="76">
        <f ca="1">IF(PRODUCT(Cost_Elements[[#This Row],[BLS or SCLS]]="BLS"),(Cost_Elements[[#This Row],[Rate | 2]]*$T$4)+Cost_Elements[[#This Row],[Rate | 2]],(Cost_Elements[[#This Row],[Rate | 2]]*$T$5)+Cost_Elements[[#This Row],[Rate | 2]])</f>
        <v>0</v>
      </c>
      <c r="T22" s="74"/>
      <c r="U22" s="75">
        <f ca="1">IFERROR(IF(Cost_Elements[[#This Row],[Row]]&gt;='Do Not Use or Delete'!$L$2, IF(Cost_Elements[[#This Row],[Row]]&lt;='Do Not Use or Delete'!$M$2,S22*T22,0),0)+IF(Cost_Elements[[#This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 s="63"/>
      <c r="W22" s="63"/>
      <c r="X22" s="76">
        <f ca="1">IF(PRODUCT(Cost_Elements[[#This Row],[BLS or SCLS]]="BLS"),(Cost_Elements[[#This Row],[Rate | 3]]*$Y$4)+Cost_Elements[[#This Row],[Rate | 3]],(Cost_Elements[[#This Row],[Rate | 3]]*$Y$5)+Cost_Elements[[#This Row],[Rate | 3]])</f>
        <v>0</v>
      </c>
      <c r="Y22" s="74"/>
      <c r="Z22" s="75">
        <f ca="1">IFERROR(IF(Cost_Elements[[#This Row],[Row]]&gt;='Do Not Use or Delete'!$L$2, IF(Cost_Elements[[#This Row],[Row]]&lt;='Do Not Use or Delete'!$M$2,X22*Y22,0),0)+IF(Cost_Elements[[#This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 s="63"/>
      <c r="AB22" s="63"/>
      <c r="AC22" s="76">
        <f ca="1">IF(PRODUCT(Cost_Elements[[#This Row],[BLS or SCLS]]="BLS"),(Cost_Elements[[#This Row],[Rate | 4]]*$AD$4)+Cost_Elements[[#This Row],[Rate | 4]],(Cost_Elements[[#This Row],[Rate | 4]]*$AD$5)+Cost_Elements[[#This Row],[Rate | 4]])</f>
        <v>0</v>
      </c>
      <c r="AD22" s="74"/>
      <c r="AE22" s="75">
        <f ca="1">IFERROR(IF(Cost_Elements[[#This Row],[Row]]&gt;='Do Not Use or Delete'!$L$2, IF(Cost_Elements[[#This Row],[Row]]&lt;='Do Not Use or Delete'!$M$2,AC22*AD22,0),0)+IF(Cost_Elements[[#This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 s="64"/>
      <c r="AG22" s="65"/>
      <c r="AH22" s="76">
        <f ca="1">IF(PRODUCT(Cost_Elements[[#This Row],[BLS or SCLS]]="BLS"),(Cost_Elements[[#This Row],[Rate | 5]]*$AI$4)+Cost_Elements[[#This Row],[Rate | 5]],(Cost_Elements[[#This Row],[Rate | 5]]*$AI$5)+Cost_Elements[[#This Row],[Rate | 5]])</f>
        <v>0</v>
      </c>
      <c r="AI22" s="74"/>
      <c r="AJ22" s="458"/>
      <c r="AK22" s="458"/>
      <c r="AL22" s="75">
        <f ca="1">IFERROR(IF(Cost_Elements[[#This Row],[Row]]&gt;='Do Not Use or Delete'!$L$2, IF(Cost_Elements[[#This Row],[Row]]&lt;='Do Not Use or Delete'!$M$2,AH22*AI22,0),0)+IF(Cost_Elements[[#This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 s="64"/>
      <c r="AN22" s="65"/>
      <c r="AO22" s="77">
        <f t="shared" si="0"/>
        <v>0</v>
      </c>
      <c r="AP22" s="78">
        <f t="shared" ca="1" si="1"/>
        <v>0</v>
      </c>
      <c r="AQ22" s="68">
        <f ca="1">ROW(Cost_Elements[[#This Row],[Amount | Total]])</f>
        <v>22</v>
      </c>
    </row>
    <row r="23" spans="1:43">
      <c r="A23" s="240" t="s">
        <v>165</v>
      </c>
      <c r="B23" s="275"/>
      <c r="C23" s="276"/>
      <c r="D23" s="71"/>
      <c r="E23" s="71"/>
      <c r="F23" s="71"/>
      <c r="G23" s="71"/>
      <c r="H23" s="72" t="str">
        <f ca="1">IFERROR(INDEX(Labor_Categories[Minimum Direct Labor Rates],MATCH(Cost_Elements[[#This Row],[Government Labor Category]],Labor_Categories[Labor Categories],0)),"")</f>
        <v/>
      </c>
      <c r="I23" s="73"/>
      <c r="J23" s="74"/>
      <c r="K23" s="75">
        <f ca="1">IFERROR(IF(Cost_Elements[[#This Row],[Row]]&gt;='Do Not Use or Delete'!$L$2, IF(Cost_Elements[[#This Row],[Row]]&lt;='Do Not Use or Delete'!$M$2,I23*J23,0),0)+IF(Cost_Elements[[#This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 s="63"/>
      <c r="M23" s="63"/>
      <c r="N23" s="76">
        <f ca="1">IF(PRODUCT(Cost_Elements[[#This Row],[BLS or SCLS]]="BLS"),(Cost_Elements[[#This Row],[Rate | 1]]*$O$4)+Cost_Elements[[#This Row],[Rate | 1]],(Cost_Elements[[#This Row],[Rate | 1]]*$O$5)+Cost_Elements[[#This Row],[Rate | 1]])</f>
        <v>0</v>
      </c>
      <c r="O23" s="74"/>
      <c r="P23" s="75">
        <f ca="1">IFERROR(IF(Cost_Elements[[#This Row],[Row]]&gt;='Do Not Use or Delete'!$L$2, IF(Cost_Elements[[#This Row],[Row]]&lt;='Do Not Use or Delete'!$M$2,N23*O23,0),0)+IF(Cost_Elements[[#This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 s="63"/>
      <c r="R23" s="63"/>
      <c r="S23" s="76">
        <f ca="1">IF(PRODUCT(Cost_Elements[[#This Row],[BLS or SCLS]]="BLS"),(Cost_Elements[[#This Row],[Rate | 2]]*$T$4)+Cost_Elements[[#This Row],[Rate | 2]],(Cost_Elements[[#This Row],[Rate | 2]]*$T$5)+Cost_Elements[[#This Row],[Rate | 2]])</f>
        <v>0</v>
      </c>
      <c r="T23" s="74"/>
      <c r="U23" s="75">
        <f ca="1">IFERROR(IF(Cost_Elements[[#This Row],[Row]]&gt;='Do Not Use or Delete'!$L$2, IF(Cost_Elements[[#This Row],[Row]]&lt;='Do Not Use or Delete'!$M$2,S23*T23,0),0)+IF(Cost_Elements[[#This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 s="63"/>
      <c r="W23" s="63"/>
      <c r="X23" s="76">
        <f ca="1">IF(PRODUCT(Cost_Elements[[#This Row],[BLS or SCLS]]="BLS"),(Cost_Elements[[#This Row],[Rate | 3]]*$Y$4)+Cost_Elements[[#This Row],[Rate | 3]],(Cost_Elements[[#This Row],[Rate | 3]]*$Y$5)+Cost_Elements[[#This Row],[Rate | 3]])</f>
        <v>0</v>
      </c>
      <c r="Y23" s="74"/>
      <c r="Z23" s="75">
        <f ca="1">IFERROR(IF(Cost_Elements[[#This Row],[Row]]&gt;='Do Not Use or Delete'!$L$2, IF(Cost_Elements[[#This Row],[Row]]&lt;='Do Not Use or Delete'!$M$2,X23*Y23,0),0)+IF(Cost_Elements[[#This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 s="63"/>
      <c r="AB23" s="63"/>
      <c r="AC23" s="76">
        <f ca="1">IF(PRODUCT(Cost_Elements[[#This Row],[BLS or SCLS]]="BLS"),(Cost_Elements[[#This Row],[Rate | 4]]*$AD$4)+Cost_Elements[[#This Row],[Rate | 4]],(Cost_Elements[[#This Row],[Rate | 4]]*$AD$5)+Cost_Elements[[#This Row],[Rate | 4]])</f>
        <v>0</v>
      </c>
      <c r="AD23" s="74"/>
      <c r="AE23" s="75">
        <f ca="1">IFERROR(IF(Cost_Elements[[#This Row],[Row]]&gt;='Do Not Use or Delete'!$L$2, IF(Cost_Elements[[#This Row],[Row]]&lt;='Do Not Use or Delete'!$M$2,AC23*AD23,0),0)+IF(Cost_Elements[[#This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 s="64"/>
      <c r="AG23" s="65"/>
      <c r="AH23" s="76">
        <f ca="1">IF(PRODUCT(Cost_Elements[[#This Row],[BLS or SCLS]]="BLS"),(Cost_Elements[[#This Row],[Rate | 5]]*$AI$4)+Cost_Elements[[#This Row],[Rate | 5]],(Cost_Elements[[#This Row],[Rate | 5]]*$AI$5)+Cost_Elements[[#This Row],[Rate | 5]])</f>
        <v>0</v>
      </c>
      <c r="AI23" s="74"/>
      <c r="AJ23" s="458"/>
      <c r="AK23" s="458"/>
      <c r="AL23" s="75">
        <f ca="1">IFERROR(IF(Cost_Elements[[#This Row],[Row]]&gt;='Do Not Use or Delete'!$L$2, IF(Cost_Elements[[#This Row],[Row]]&lt;='Do Not Use or Delete'!$M$2,AH23*AI23,0),0)+IF(Cost_Elements[[#This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 s="64"/>
      <c r="AN23" s="65"/>
      <c r="AO23" s="77">
        <f t="shared" si="0"/>
        <v>0</v>
      </c>
      <c r="AP23" s="78">
        <f t="shared" ca="1" si="1"/>
        <v>0</v>
      </c>
      <c r="AQ23" s="68">
        <f ca="1">ROW(Cost_Elements[[#This Row],[Amount | Total]])</f>
        <v>23</v>
      </c>
    </row>
    <row r="24" spans="1:43">
      <c r="A24" s="240" t="s">
        <v>165</v>
      </c>
      <c r="B24" s="275"/>
      <c r="C24" s="276"/>
      <c r="D24" s="71"/>
      <c r="E24" s="71"/>
      <c r="F24" s="71"/>
      <c r="G24" s="71"/>
      <c r="H24" s="72" t="str">
        <f ca="1">IFERROR(INDEX(Labor_Categories[Minimum Direct Labor Rates],MATCH(Cost_Elements[[#This Row],[Government Labor Category]],Labor_Categories[Labor Categories],0)),"")</f>
        <v/>
      </c>
      <c r="I24" s="73"/>
      <c r="J24" s="74"/>
      <c r="K24" s="75">
        <f ca="1">IFERROR(IF(Cost_Elements[[#This Row],[Row]]&gt;='Do Not Use or Delete'!$L$2, IF(Cost_Elements[[#This Row],[Row]]&lt;='Do Not Use or Delete'!$M$2,I24*J24,0),0)+IF(Cost_Elements[[#This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 s="63"/>
      <c r="M24" s="63"/>
      <c r="N24" s="76">
        <f ca="1">IF(PRODUCT(Cost_Elements[[#This Row],[BLS or SCLS]]="BLS"),(Cost_Elements[[#This Row],[Rate | 1]]*$O$4)+Cost_Elements[[#This Row],[Rate | 1]],(Cost_Elements[[#This Row],[Rate | 1]]*$O$5)+Cost_Elements[[#This Row],[Rate | 1]])</f>
        <v>0</v>
      </c>
      <c r="O24" s="74"/>
      <c r="P24" s="75">
        <f ca="1">IFERROR(IF(Cost_Elements[[#This Row],[Row]]&gt;='Do Not Use or Delete'!$L$2, IF(Cost_Elements[[#This Row],[Row]]&lt;='Do Not Use or Delete'!$M$2,N24*O24,0),0)+IF(Cost_Elements[[#This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 s="63"/>
      <c r="R24" s="63"/>
      <c r="S24" s="76">
        <f ca="1">IF(PRODUCT(Cost_Elements[[#This Row],[BLS or SCLS]]="BLS"),(Cost_Elements[[#This Row],[Rate | 2]]*$T$4)+Cost_Elements[[#This Row],[Rate | 2]],(Cost_Elements[[#This Row],[Rate | 2]]*$T$5)+Cost_Elements[[#This Row],[Rate | 2]])</f>
        <v>0</v>
      </c>
      <c r="T24" s="74"/>
      <c r="U24" s="75">
        <f ca="1">IFERROR(IF(Cost_Elements[[#This Row],[Row]]&gt;='Do Not Use or Delete'!$L$2, IF(Cost_Elements[[#This Row],[Row]]&lt;='Do Not Use or Delete'!$M$2,S24*T24,0),0)+IF(Cost_Elements[[#This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 s="63"/>
      <c r="W24" s="63"/>
      <c r="X24" s="76">
        <f ca="1">IF(PRODUCT(Cost_Elements[[#This Row],[BLS or SCLS]]="BLS"),(Cost_Elements[[#This Row],[Rate | 3]]*$Y$4)+Cost_Elements[[#This Row],[Rate | 3]],(Cost_Elements[[#This Row],[Rate | 3]]*$Y$5)+Cost_Elements[[#This Row],[Rate | 3]])</f>
        <v>0</v>
      </c>
      <c r="Y24" s="74"/>
      <c r="Z24" s="75">
        <f ca="1">IFERROR(IF(Cost_Elements[[#This Row],[Row]]&gt;='Do Not Use or Delete'!$L$2, IF(Cost_Elements[[#This Row],[Row]]&lt;='Do Not Use or Delete'!$M$2,X24*Y24,0),0)+IF(Cost_Elements[[#This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 s="63"/>
      <c r="AB24" s="63"/>
      <c r="AC24" s="76">
        <f ca="1">IF(PRODUCT(Cost_Elements[[#This Row],[BLS or SCLS]]="BLS"),(Cost_Elements[[#This Row],[Rate | 4]]*$AD$4)+Cost_Elements[[#This Row],[Rate | 4]],(Cost_Elements[[#This Row],[Rate | 4]]*$AD$5)+Cost_Elements[[#This Row],[Rate | 4]])</f>
        <v>0</v>
      </c>
      <c r="AD24" s="74"/>
      <c r="AE24" s="75">
        <f ca="1">IFERROR(IF(Cost_Elements[[#This Row],[Row]]&gt;='Do Not Use or Delete'!$L$2, IF(Cost_Elements[[#This Row],[Row]]&lt;='Do Not Use or Delete'!$M$2,AC24*AD24,0),0)+IF(Cost_Elements[[#This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 s="64"/>
      <c r="AG24" s="65"/>
      <c r="AH24" s="76">
        <f ca="1">IF(PRODUCT(Cost_Elements[[#This Row],[BLS or SCLS]]="BLS"),(Cost_Elements[[#This Row],[Rate | 5]]*$AI$4)+Cost_Elements[[#This Row],[Rate | 5]],(Cost_Elements[[#This Row],[Rate | 5]]*$AI$5)+Cost_Elements[[#This Row],[Rate | 5]])</f>
        <v>0</v>
      </c>
      <c r="AI24" s="74"/>
      <c r="AJ24" s="458"/>
      <c r="AK24" s="458"/>
      <c r="AL24" s="75">
        <f ca="1">IFERROR(IF(Cost_Elements[[#This Row],[Row]]&gt;='Do Not Use or Delete'!$L$2, IF(Cost_Elements[[#This Row],[Row]]&lt;='Do Not Use or Delete'!$M$2,AH24*AI24,0),0)+IF(Cost_Elements[[#This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 s="64"/>
      <c r="AN24" s="65"/>
      <c r="AO24" s="77">
        <f t="shared" si="0"/>
        <v>0</v>
      </c>
      <c r="AP24" s="78">
        <f t="shared" ca="1" si="1"/>
        <v>0</v>
      </c>
      <c r="AQ24" s="68">
        <f ca="1">ROW(Cost_Elements[[#This Row],[Amount | Total]])</f>
        <v>24</v>
      </c>
    </row>
    <row r="25" spans="1:43">
      <c r="A25" s="240" t="s">
        <v>165</v>
      </c>
      <c r="B25" s="275"/>
      <c r="C25" s="276"/>
      <c r="D25" s="71"/>
      <c r="E25" s="71"/>
      <c r="F25" s="71"/>
      <c r="G25" s="71"/>
      <c r="H25" s="72" t="str">
        <f ca="1">IFERROR(INDEX(Labor_Categories[Minimum Direct Labor Rates],MATCH(Cost_Elements[[#This Row],[Government Labor Category]],Labor_Categories[Labor Categories],0)),"")</f>
        <v/>
      </c>
      <c r="I25" s="73"/>
      <c r="J25" s="412"/>
      <c r="K25" s="75">
        <f ca="1">IFERROR(IF(Cost_Elements[[#This Row],[Row]]&gt;='Do Not Use or Delete'!$L$2, IF(Cost_Elements[[#This Row],[Row]]&lt;='Do Not Use or Delete'!$M$2,I25*J25,0),0)+IF(Cost_Elements[[#This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 s="63"/>
      <c r="M25" s="63"/>
      <c r="N25" s="76">
        <f ca="1">IF(PRODUCT(Cost_Elements[[#This Row],[BLS or SCLS]]="BLS"),(Cost_Elements[[#This Row],[Rate | 1]]*$O$4)+Cost_Elements[[#This Row],[Rate | 1]],(Cost_Elements[[#This Row],[Rate | 1]]*$O$5)+Cost_Elements[[#This Row],[Rate | 1]])</f>
        <v>0</v>
      </c>
      <c r="O25" s="412"/>
      <c r="P25" s="75">
        <f ca="1">IFERROR(IF(Cost_Elements[[#This Row],[Row]]&gt;='Do Not Use or Delete'!$L$2, IF(Cost_Elements[[#This Row],[Row]]&lt;='Do Not Use or Delete'!$M$2,N25*O25,0),0)+IF(Cost_Elements[[#This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 s="63"/>
      <c r="R25" s="63"/>
      <c r="S25" s="76">
        <f ca="1">IF(PRODUCT(Cost_Elements[[#This Row],[BLS or SCLS]]="BLS"),(Cost_Elements[[#This Row],[Rate | 2]]*$T$4)+Cost_Elements[[#This Row],[Rate | 2]],(Cost_Elements[[#This Row],[Rate | 2]]*$T$5)+Cost_Elements[[#This Row],[Rate | 2]])</f>
        <v>0</v>
      </c>
      <c r="T25" s="412"/>
      <c r="U25" s="75">
        <f ca="1">IFERROR(IF(Cost_Elements[[#This Row],[Row]]&gt;='Do Not Use or Delete'!$L$2, IF(Cost_Elements[[#This Row],[Row]]&lt;='Do Not Use or Delete'!$M$2,S25*T25,0),0)+IF(Cost_Elements[[#This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 s="63"/>
      <c r="W25" s="63"/>
      <c r="X25" s="76">
        <f ca="1">IF(PRODUCT(Cost_Elements[[#This Row],[BLS or SCLS]]="BLS"),(Cost_Elements[[#This Row],[Rate | 3]]*$Y$4)+Cost_Elements[[#This Row],[Rate | 3]],(Cost_Elements[[#This Row],[Rate | 3]]*$Y$5)+Cost_Elements[[#This Row],[Rate | 3]])</f>
        <v>0</v>
      </c>
      <c r="Y25" s="412"/>
      <c r="Z25" s="75">
        <f ca="1">IFERROR(IF(Cost_Elements[[#This Row],[Row]]&gt;='Do Not Use or Delete'!$L$2, IF(Cost_Elements[[#This Row],[Row]]&lt;='Do Not Use or Delete'!$M$2,X25*Y25,0),0)+IF(Cost_Elements[[#This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 s="63"/>
      <c r="AB25" s="63"/>
      <c r="AC25" s="76">
        <f ca="1">IF(PRODUCT(Cost_Elements[[#This Row],[BLS or SCLS]]="BLS"),(Cost_Elements[[#This Row],[Rate | 4]]*$AD$4)+Cost_Elements[[#This Row],[Rate | 4]],(Cost_Elements[[#This Row],[Rate | 4]]*$AD$5)+Cost_Elements[[#This Row],[Rate | 4]])</f>
        <v>0</v>
      </c>
      <c r="AD25" s="412"/>
      <c r="AE25" s="75">
        <f ca="1">IFERROR(IF(Cost_Elements[[#This Row],[Row]]&gt;='Do Not Use or Delete'!$L$2, IF(Cost_Elements[[#This Row],[Row]]&lt;='Do Not Use or Delete'!$M$2,AC25*AD25,0),0)+IF(Cost_Elements[[#This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 s="64"/>
      <c r="AG25" s="65"/>
      <c r="AH25" s="76">
        <f ca="1">IF(PRODUCT(Cost_Elements[[#This Row],[BLS or SCLS]]="BLS"),(Cost_Elements[[#This Row],[Rate | 5]]*$AI$4)+Cost_Elements[[#This Row],[Rate | 5]],(Cost_Elements[[#This Row],[Rate | 5]]*$AI$5)+Cost_Elements[[#This Row],[Rate | 5]])</f>
        <v>0</v>
      </c>
      <c r="AI25" s="412"/>
      <c r="AJ25" s="459"/>
      <c r="AK25" s="459"/>
      <c r="AL25" s="75">
        <f ca="1">IFERROR(IF(Cost_Elements[[#This Row],[Row]]&gt;='Do Not Use or Delete'!$L$2, IF(Cost_Elements[[#This Row],[Row]]&lt;='Do Not Use or Delete'!$M$2,AH25*AI25,0),0)+IF(Cost_Elements[[#This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 s="64"/>
      <c r="AN25" s="65"/>
      <c r="AO25" s="77">
        <f t="shared" si="0"/>
        <v>0</v>
      </c>
      <c r="AP25" s="78">
        <f t="shared" ca="1" si="1"/>
        <v>0</v>
      </c>
      <c r="AQ25" s="68">
        <f ca="1">ROW(Cost_Elements[[#This Row],[Amount | Total]])</f>
        <v>25</v>
      </c>
    </row>
    <row r="26" spans="1:43">
      <c r="A26" s="240" t="s">
        <v>165</v>
      </c>
      <c r="B26" s="275"/>
      <c r="C26" s="276"/>
      <c r="D26" s="71"/>
      <c r="E26" s="71"/>
      <c r="F26" s="71"/>
      <c r="G26" s="71"/>
      <c r="H26" s="72" t="str">
        <f ca="1">IFERROR(INDEX(Labor_Categories[Minimum Direct Labor Rates],MATCH(Cost_Elements[[#This Row],[Government Labor Category]],Labor_Categories[Labor Categories],0)),"")</f>
        <v/>
      </c>
      <c r="I26" s="73"/>
      <c r="J26" s="74"/>
      <c r="K26" s="75">
        <f ca="1">IFERROR(IF(Cost_Elements[[#This Row],[Row]]&gt;='Do Not Use or Delete'!$L$2, IF(Cost_Elements[[#This Row],[Row]]&lt;='Do Not Use or Delete'!$M$2,I26*J26,0),0)+IF(Cost_Elements[[#This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 s="63"/>
      <c r="M26" s="63"/>
      <c r="N26" s="76">
        <f ca="1">IF(PRODUCT(Cost_Elements[[#This Row],[BLS or SCLS]]="BLS"),(Cost_Elements[[#This Row],[Rate | 1]]*$O$4)+Cost_Elements[[#This Row],[Rate | 1]],(Cost_Elements[[#This Row],[Rate | 1]]*$O$5)+Cost_Elements[[#This Row],[Rate | 1]])</f>
        <v>0</v>
      </c>
      <c r="O26" s="74"/>
      <c r="P26" s="75">
        <f ca="1">IFERROR(IF(Cost_Elements[[#This Row],[Row]]&gt;='Do Not Use or Delete'!$L$2, IF(Cost_Elements[[#This Row],[Row]]&lt;='Do Not Use or Delete'!$M$2,N26*O26,0),0)+IF(Cost_Elements[[#This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 s="63"/>
      <c r="R26" s="63"/>
      <c r="S26" s="76">
        <f ca="1">IF(PRODUCT(Cost_Elements[[#This Row],[BLS or SCLS]]="BLS"),(Cost_Elements[[#This Row],[Rate | 2]]*$T$4)+Cost_Elements[[#This Row],[Rate | 2]],(Cost_Elements[[#This Row],[Rate | 2]]*$T$5)+Cost_Elements[[#This Row],[Rate | 2]])</f>
        <v>0</v>
      </c>
      <c r="T26" s="74"/>
      <c r="U26" s="75">
        <f ca="1">IFERROR(IF(Cost_Elements[[#This Row],[Row]]&gt;='Do Not Use or Delete'!$L$2, IF(Cost_Elements[[#This Row],[Row]]&lt;='Do Not Use or Delete'!$M$2,S26*T26,0),0)+IF(Cost_Elements[[#This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 s="63"/>
      <c r="W26" s="63"/>
      <c r="X26" s="76">
        <f ca="1">IF(PRODUCT(Cost_Elements[[#This Row],[BLS or SCLS]]="BLS"),(Cost_Elements[[#This Row],[Rate | 3]]*$Y$4)+Cost_Elements[[#This Row],[Rate | 3]],(Cost_Elements[[#This Row],[Rate | 3]]*$Y$5)+Cost_Elements[[#This Row],[Rate | 3]])</f>
        <v>0</v>
      </c>
      <c r="Y26" s="74"/>
      <c r="Z26" s="75">
        <f ca="1">IFERROR(IF(Cost_Elements[[#This Row],[Row]]&gt;='Do Not Use or Delete'!$L$2, IF(Cost_Elements[[#This Row],[Row]]&lt;='Do Not Use or Delete'!$M$2,X26*Y26,0),0)+IF(Cost_Elements[[#This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 s="63"/>
      <c r="AB26" s="63"/>
      <c r="AC26" s="76">
        <f ca="1">IF(PRODUCT(Cost_Elements[[#This Row],[BLS or SCLS]]="BLS"),(Cost_Elements[[#This Row],[Rate | 4]]*$AD$4)+Cost_Elements[[#This Row],[Rate | 4]],(Cost_Elements[[#This Row],[Rate | 4]]*$AD$5)+Cost_Elements[[#This Row],[Rate | 4]])</f>
        <v>0</v>
      </c>
      <c r="AD26" s="74"/>
      <c r="AE26" s="75">
        <f ca="1">IFERROR(IF(Cost_Elements[[#This Row],[Row]]&gt;='Do Not Use or Delete'!$L$2, IF(Cost_Elements[[#This Row],[Row]]&lt;='Do Not Use or Delete'!$M$2,AC26*AD26,0),0)+IF(Cost_Elements[[#This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 s="64"/>
      <c r="AG26" s="65"/>
      <c r="AH26" s="76">
        <f ca="1">IF(PRODUCT(Cost_Elements[[#This Row],[BLS or SCLS]]="BLS"),(Cost_Elements[[#This Row],[Rate | 5]]*$AI$4)+Cost_Elements[[#This Row],[Rate | 5]],(Cost_Elements[[#This Row],[Rate | 5]]*$AI$5)+Cost_Elements[[#This Row],[Rate | 5]])</f>
        <v>0</v>
      </c>
      <c r="AI26" s="74"/>
      <c r="AJ26" s="458"/>
      <c r="AK26" s="458"/>
      <c r="AL26" s="75">
        <f ca="1">IFERROR(IF(Cost_Elements[[#This Row],[Row]]&gt;='Do Not Use or Delete'!$L$2, IF(Cost_Elements[[#This Row],[Row]]&lt;='Do Not Use or Delete'!$M$2,AH26*AI26,0),0)+IF(Cost_Elements[[#This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 s="64"/>
      <c r="AN26" s="65"/>
      <c r="AO26" s="77">
        <f t="shared" si="0"/>
        <v>0</v>
      </c>
      <c r="AP26" s="78">
        <f t="shared" ca="1" si="1"/>
        <v>0</v>
      </c>
      <c r="AQ26" s="68">
        <f ca="1">ROW(Cost_Elements[[#This Row],[Amount | Total]])</f>
        <v>26</v>
      </c>
    </row>
    <row r="27" spans="1:43">
      <c r="A27" s="240" t="s">
        <v>165</v>
      </c>
      <c r="B27" s="275"/>
      <c r="C27" s="276"/>
      <c r="D27" s="71"/>
      <c r="E27" s="71"/>
      <c r="F27" s="71"/>
      <c r="G27" s="71"/>
      <c r="H27" s="72" t="str">
        <f ca="1">IFERROR(INDEX(Labor_Categories[Minimum Direct Labor Rates],MATCH(Cost_Elements[[#This Row],[Government Labor Category]],Labor_Categories[Labor Categories],0)),"")</f>
        <v/>
      </c>
      <c r="I27" s="73"/>
      <c r="J27" s="74"/>
      <c r="K27" s="75">
        <f ca="1">IFERROR(IF(Cost_Elements[[#This Row],[Row]]&gt;='Do Not Use or Delete'!$L$2, IF(Cost_Elements[[#This Row],[Row]]&lt;='Do Not Use or Delete'!$M$2,I27*J27,0),0)+IF(Cost_Elements[[#This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 s="63"/>
      <c r="M27" s="63"/>
      <c r="N27" s="76">
        <f ca="1">IF(PRODUCT(Cost_Elements[[#This Row],[BLS or SCLS]]="BLS"),(Cost_Elements[[#This Row],[Rate | 1]]*$O$4)+Cost_Elements[[#This Row],[Rate | 1]],(Cost_Elements[[#This Row],[Rate | 1]]*$O$5)+Cost_Elements[[#This Row],[Rate | 1]])</f>
        <v>0</v>
      </c>
      <c r="O27" s="74"/>
      <c r="P27" s="75">
        <f ca="1">IFERROR(IF(Cost_Elements[[#This Row],[Row]]&gt;='Do Not Use or Delete'!$L$2, IF(Cost_Elements[[#This Row],[Row]]&lt;='Do Not Use or Delete'!$M$2,N27*O27,0),0)+IF(Cost_Elements[[#This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 s="63"/>
      <c r="R27" s="63"/>
      <c r="S27" s="76">
        <f ca="1">IF(PRODUCT(Cost_Elements[[#This Row],[BLS or SCLS]]="BLS"),(Cost_Elements[[#This Row],[Rate | 2]]*$T$4)+Cost_Elements[[#This Row],[Rate | 2]],(Cost_Elements[[#This Row],[Rate | 2]]*$T$5)+Cost_Elements[[#This Row],[Rate | 2]])</f>
        <v>0</v>
      </c>
      <c r="T27" s="74"/>
      <c r="U27" s="75">
        <f ca="1">IFERROR(IF(Cost_Elements[[#This Row],[Row]]&gt;='Do Not Use or Delete'!$L$2, IF(Cost_Elements[[#This Row],[Row]]&lt;='Do Not Use or Delete'!$M$2,S27*T27,0),0)+IF(Cost_Elements[[#This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 s="63"/>
      <c r="W27" s="63"/>
      <c r="X27" s="76">
        <f ca="1">IF(PRODUCT(Cost_Elements[[#This Row],[BLS or SCLS]]="BLS"),(Cost_Elements[[#This Row],[Rate | 3]]*$Y$4)+Cost_Elements[[#This Row],[Rate | 3]],(Cost_Elements[[#This Row],[Rate | 3]]*$Y$5)+Cost_Elements[[#This Row],[Rate | 3]])</f>
        <v>0</v>
      </c>
      <c r="Y27" s="74"/>
      <c r="Z27" s="75">
        <f ca="1">IFERROR(IF(Cost_Elements[[#This Row],[Row]]&gt;='Do Not Use or Delete'!$L$2, IF(Cost_Elements[[#This Row],[Row]]&lt;='Do Not Use or Delete'!$M$2,X27*Y27,0),0)+IF(Cost_Elements[[#This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 s="63"/>
      <c r="AB27" s="63"/>
      <c r="AC27" s="76">
        <f ca="1">IF(PRODUCT(Cost_Elements[[#This Row],[BLS or SCLS]]="BLS"),(Cost_Elements[[#This Row],[Rate | 4]]*$AD$4)+Cost_Elements[[#This Row],[Rate | 4]],(Cost_Elements[[#This Row],[Rate | 4]]*$AD$5)+Cost_Elements[[#This Row],[Rate | 4]])</f>
        <v>0</v>
      </c>
      <c r="AD27" s="74"/>
      <c r="AE27" s="75">
        <f ca="1">IFERROR(IF(Cost_Elements[[#This Row],[Row]]&gt;='Do Not Use or Delete'!$L$2, IF(Cost_Elements[[#This Row],[Row]]&lt;='Do Not Use or Delete'!$M$2,AC27*AD27,0),0)+IF(Cost_Elements[[#This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 s="64"/>
      <c r="AG27" s="65"/>
      <c r="AH27" s="76">
        <f ca="1">IF(PRODUCT(Cost_Elements[[#This Row],[BLS or SCLS]]="BLS"),(Cost_Elements[[#This Row],[Rate | 5]]*$AI$4)+Cost_Elements[[#This Row],[Rate | 5]],(Cost_Elements[[#This Row],[Rate | 5]]*$AI$5)+Cost_Elements[[#This Row],[Rate | 5]])</f>
        <v>0</v>
      </c>
      <c r="AI27" s="74"/>
      <c r="AJ27" s="458"/>
      <c r="AK27" s="458"/>
      <c r="AL27" s="75">
        <f ca="1">IFERROR(IF(Cost_Elements[[#This Row],[Row]]&gt;='Do Not Use or Delete'!$L$2, IF(Cost_Elements[[#This Row],[Row]]&lt;='Do Not Use or Delete'!$M$2,AH27*AI27,0),0)+IF(Cost_Elements[[#This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 s="64"/>
      <c r="AN27" s="65"/>
      <c r="AO27" s="77">
        <f t="shared" si="0"/>
        <v>0</v>
      </c>
      <c r="AP27" s="78">
        <f t="shared" ca="1" si="1"/>
        <v>0</v>
      </c>
      <c r="AQ27" s="68">
        <f ca="1">ROW(Cost_Elements[[#This Row],[Amount | Total]])</f>
        <v>27</v>
      </c>
    </row>
    <row r="28" spans="1:43">
      <c r="A28" s="240" t="s">
        <v>165</v>
      </c>
      <c r="B28" s="275"/>
      <c r="C28" s="276"/>
      <c r="D28" s="71"/>
      <c r="E28" s="71"/>
      <c r="F28" s="71"/>
      <c r="G28" s="71"/>
      <c r="H28" s="72" t="str">
        <f ca="1">IFERROR(INDEX(Labor_Categories[Minimum Direct Labor Rates],MATCH(Cost_Elements[[#This Row],[Government Labor Category]],Labor_Categories[Labor Categories],0)),"")</f>
        <v/>
      </c>
      <c r="I28" s="73"/>
      <c r="J28" s="74"/>
      <c r="K28" s="75">
        <f ca="1">IFERROR(IF(Cost_Elements[[#This Row],[Row]]&gt;='Do Not Use or Delete'!$L$2, IF(Cost_Elements[[#This Row],[Row]]&lt;='Do Not Use or Delete'!$M$2,I28*J28,0),0)+IF(Cost_Elements[[#This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 s="63"/>
      <c r="M28" s="63"/>
      <c r="N28" s="76">
        <f ca="1">IF(PRODUCT(Cost_Elements[[#This Row],[BLS or SCLS]]="BLS"),(Cost_Elements[[#This Row],[Rate | 1]]*$O$4)+Cost_Elements[[#This Row],[Rate | 1]],(Cost_Elements[[#This Row],[Rate | 1]]*$O$5)+Cost_Elements[[#This Row],[Rate | 1]])</f>
        <v>0</v>
      </c>
      <c r="O28" s="74"/>
      <c r="P28" s="75">
        <f ca="1">IFERROR(IF(Cost_Elements[[#This Row],[Row]]&gt;='Do Not Use or Delete'!$L$2, IF(Cost_Elements[[#This Row],[Row]]&lt;='Do Not Use or Delete'!$M$2,N28*O28,0),0)+IF(Cost_Elements[[#This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 s="63"/>
      <c r="R28" s="63"/>
      <c r="S28" s="76">
        <f ca="1">IF(PRODUCT(Cost_Elements[[#This Row],[BLS or SCLS]]="BLS"),(Cost_Elements[[#This Row],[Rate | 2]]*$T$4)+Cost_Elements[[#This Row],[Rate | 2]],(Cost_Elements[[#This Row],[Rate | 2]]*$T$5)+Cost_Elements[[#This Row],[Rate | 2]])</f>
        <v>0</v>
      </c>
      <c r="T28" s="74"/>
      <c r="U28" s="75">
        <f ca="1">IFERROR(IF(Cost_Elements[[#This Row],[Row]]&gt;='Do Not Use or Delete'!$L$2, IF(Cost_Elements[[#This Row],[Row]]&lt;='Do Not Use or Delete'!$M$2,S28*T28,0),0)+IF(Cost_Elements[[#This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 s="63"/>
      <c r="W28" s="63"/>
      <c r="X28" s="76">
        <f ca="1">IF(PRODUCT(Cost_Elements[[#This Row],[BLS or SCLS]]="BLS"),(Cost_Elements[[#This Row],[Rate | 3]]*$Y$4)+Cost_Elements[[#This Row],[Rate | 3]],(Cost_Elements[[#This Row],[Rate | 3]]*$Y$5)+Cost_Elements[[#This Row],[Rate | 3]])</f>
        <v>0</v>
      </c>
      <c r="Y28" s="74"/>
      <c r="Z28" s="75">
        <f ca="1">IFERROR(IF(Cost_Elements[[#This Row],[Row]]&gt;='Do Not Use or Delete'!$L$2, IF(Cost_Elements[[#This Row],[Row]]&lt;='Do Not Use or Delete'!$M$2,X28*Y28,0),0)+IF(Cost_Elements[[#This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 s="63"/>
      <c r="AB28" s="63"/>
      <c r="AC28" s="76">
        <f ca="1">IF(PRODUCT(Cost_Elements[[#This Row],[BLS or SCLS]]="BLS"),(Cost_Elements[[#This Row],[Rate | 4]]*$AD$4)+Cost_Elements[[#This Row],[Rate | 4]],(Cost_Elements[[#This Row],[Rate | 4]]*$AD$5)+Cost_Elements[[#This Row],[Rate | 4]])</f>
        <v>0</v>
      </c>
      <c r="AD28" s="74"/>
      <c r="AE28" s="75">
        <f ca="1">IFERROR(IF(Cost_Elements[[#This Row],[Row]]&gt;='Do Not Use or Delete'!$L$2, IF(Cost_Elements[[#This Row],[Row]]&lt;='Do Not Use or Delete'!$M$2,AC28*AD28,0),0)+IF(Cost_Elements[[#This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 s="64"/>
      <c r="AG28" s="65"/>
      <c r="AH28" s="76">
        <f ca="1">IF(PRODUCT(Cost_Elements[[#This Row],[BLS or SCLS]]="BLS"),(Cost_Elements[[#This Row],[Rate | 5]]*$AI$4)+Cost_Elements[[#This Row],[Rate | 5]],(Cost_Elements[[#This Row],[Rate | 5]]*$AI$5)+Cost_Elements[[#This Row],[Rate | 5]])</f>
        <v>0</v>
      </c>
      <c r="AI28" s="74"/>
      <c r="AJ28" s="458"/>
      <c r="AK28" s="458"/>
      <c r="AL28" s="75">
        <f ca="1">IFERROR(IF(Cost_Elements[[#This Row],[Row]]&gt;='Do Not Use or Delete'!$L$2, IF(Cost_Elements[[#This Row],[Row]]&lt;='Do Not Use or Delete'!$M$2,AH28*AI28,0),0)+IF(Cost_Elements[[#This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 s="64"/>
      <c r="AN28" s="65"/>
      <c r="AO28" s="77">
        <f t="shared" si="0"/>
        <v>0</v>
      </c>
      <c r="AP28" s="78">
        <f t="shared" ca="1" si="1"/>
        <v>0</v>
      </c>
      <c r="AQ28" s="68">
        <f ca="1">ROW(Cost_Elements[[#This Row],[Amount | Total]])</f>
        <v>28</v>
      </c>
    </row>
    <row r="29" spans="1:43">
      <c r="A29" s="240" t="s">
        <v>165</v>
      </c>
      <c r="B29" s="275"/>
      <c r="C29" s="276"/>
      <c r="D29" s="71"/>
      <c r="E29" s="71"/>
      <c r="F29" s="71"/>
      <c r="G29" s="71"/>
      <c r="H29" s="72" t="str">
        <f ca="1">IFERROR(INDEX(Labor_Categories[Minimum Direct Labor Rates],MATCH(Cost_Elements[[#This Row],[Government Labor Category]],Labor_Categories[Labor Categories],0)),"")</f>
        <v/>
      </c>
      <c r="I29" s="73"/>
      <c r="J29" s="74"/>
      <c r="K29" s="75">
        <f ca="1">IFERROR(IF(Cost_Elements[[#This Row],[Row]]&gt;='Do Not Use or Delete'!$L$2, IF(Cost_Elements[[#This Row],[Row]]&lt;='Do Not Use or Delete'!$M$2,I29*J29,0),0)+IF(Cost_Elements[[#This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 s="63"/>
      <c r="M29" s="63"/>
      <c r="N29" s="76">
        <f ca="1">IF(PRODUCT(Cost_Elements[[#This Row],[BLS or SCLS]]="BLS"),(Cost_Elements[[#This Row],[Rate | 1]]*$O$4)+Cost_Elements[[#This Row],[Rate | 1]],(Cost_Elements[[#This Row],[Rate | 1]]*$O$5)+Cost_Elements[[#This Row],[Rate | 1]])</f>
        <v>0</v>
      </c>
      <c r="O29" s="74"/>
      <c r="P29" s="75">
        <f ca="1">IFERROR(IF(Cost_Elements[[#This Row],[Row]]&gt;='Do Not Use or Delete'!$L$2, IF(Cost_Elements[[#This Row],[Row]]&lt;='Do Not Use or Delete'!$M$2,N29*O29,0),0)+IF(Cost_Elements[[#This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 s="63"/>
      <c r="R29" s="63"/>
      <c r="S29" s="76">
        <f ca="1">IF(PRODUCT(Cost_Elements[[#This Row],[BLS or SCLS]]="BLS"),(Cost_Elements[[#This Row],[Rate | 2]]*$T$4)+Cost_Elements[[#This Row],[Rate | 2]],(Cost_Elements[[#This Row],[Rate | 2]]*$T$5)+Cost_Elements[[#This Row],[Rate | 2]])</f>
        <v>0</v>
      </c>
      <c r="T29" s="74"/>
      <c r="U29" s="75">
        <f ca="1">IFERROR(IF(Cost_Elements[[#This Row],[Row]]&gt;='Do Not Use or Delete'!$L$2, IF(Cost_Elements[[#This Row],[Row]]&lt;='Do Not Use or Delete'!$M$2,S29*T29,0),0)+IF(Cost_Elements[[#This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 s="63"/>
      <c r="W29" s="63"/>
      <c r="X29" s="76">
        <f ca="1">IF(PRODUCT(Cost_Elements[[#This Row],[BLS or SCLS]]="BLS"),(Cost_Elements[[#This Row],[Rate | 3]]*$Y$4)+Cost_Elements[[#This Row],[Rate | 3]],(Cost_Elements[[#This Row],[Rate | 3]]*$Y$5)+Cost_Elements[[#This Row],[Rate | 3]])</f>
        <v>0</v>
      </c>
      <c r="Y29" s="74"/>
      <c r="Z29" s="75">
        <f ca="1">IFERROR(IF(Cost_Elements[[#This Row],[Row]]&gt;='Do Not Use or Delete'!$L$2, IF(Cost_Elements[[#This Row],[Row]]&lt;='Do Not Use or Delete'!$M$2,X29*Y29,0),0)+IF(Cost_Elements[[#This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 s="63"/>
      <c r="AB29" s="63"/>
      <c r="AC29" s="76">
        <f ca="1">IF(PRODUCT(Cost_Elements[[#This Row],[BLS or SCLS]]="BLS"),(Cost_Elements[[#This Row],[Rate | 4]]*$AD$4)+Cost_Elements[[#This Row],[Rate | 4]],(Cost_Elements[[#This Row],[Rate | 4]]*$AD$5)+Cost_Elements[[#This Row],[Rate | 4]])</f>
        <v>0</v>
      </c>
      <c r="AD29" s="74"/>
      <c r="AE29" s="75">
        <f ca="1">IFERROR(IF(Cost_Elements[[#This Row],[Row]]&gt;='Do Not Use or Delete'!$L$2, IF(Cost_Elements[[#This Row],[Row]]&lt;='Do Not Use or Delete'!$M$2,AC29*AD29,0),0)+IF(Cost_Elements[[#This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 s="64"/>
      <c r="AG29" s="65"/>
      <c r="AH29" s="76">
        <f ca="1">IF(PRODUCT(Cost_Elements[[#This Row],[BLS or SCLS]]="BLS"),(Cost_Elements[[#This Row],[Rate | 5]]*$AI$4)+Cost_Elements[[#This Row],[Rate | 5]],(Cost_Elements[[#This Row],[Rate | 5]]*$AI$5)+Cost_Elements[[#This Row],[Rate | 5]])</f>
        <v>0</v>
      </c>
      <c r="AI29" s="74"/>
      <c r="AJ29" s="458"/>
      <c r="AK29" s="458"/>
      <c r="AL29" s="75">
        <f ca="1">IFERROR(IF(Cost_Elements[[#This Row],[Row]]&gt;='Do Not Use or Delete'!$L$2, IF(Cost_Elements[[#This Row],[Row]]&lt;='Do Not Use or Delete'!$M$2,AH29*AI29,0),0)+IF(Cost_Elements[[#This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9" s="64"/>
      <c r="AN29" s="65"/>
      <c r="AO29" s="77">
        <f t="shared" si="0"/>
        <v>0</v>
      </c>
      <c r="AP29" s="78">
        <f t="shared" ca="1" si="1"/>
        <v>0</v>
      </c>
      <c r="AQ29" s="68">
        <f ca="1">ROW(Cost_Elements[[#This Row],[Amount | Total]])</f>
        <v>29</v>
      </c>
    </row>
    <row r="30" spans="1:43">
      <c r="A30" s="240" t="s">
        <v>165</v>
      </c>
      <c r="B30" s="275"/>
      <c r="C30" s="276"/>
      <c r="D30" s="71"/>
      <c r="E30" s="71"/>
      <c r="F30" s="71"/>
      <c r="G30" s="71"/>
      <c r="H30" s="72" t="str">
        <f ca="1">IFERROR(INDEX(Labor_Categories[Minimum Direct Labor Rates],MATCH(Cost_Elements[[#This Row],[Government Labor Category]],Labor_Categories[Labor Categories],0)),"")</f>
        <v/>
      </c>
      <c r="I30" s="73"/>
      <c r="J30" s="74"/>
      <c r="K30" s="75">
        <f ca="1">IFERROR(IF(Cost_Elements[[#This Row],[Row]]&gt;='Do Not Use or Delete'!$L$2, IF(Cost_Elements[[#This Row],[Row]]&lt;='Do Not Use or Delete'!$M$2,I30*J30,0),0)+IF(Cost_Elements[[#This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0" s="63"/>
      <c r="M30" s="63"/>
      <c r="N30" s="76">
        <f ca="1">IF(PRODUCT(Cost_Elements[[#This Row],[BLS or SCLS]]="BLS"),(Cost_Elements[[#This Row],[Rate | 1]]*$O$4)+Cost_Elements[[#This Row],[Rate | 1]],(Cost_Elements[[#This Row],[Rate | 1]]*$O$5)+Cost_Elements[[#This Row],[Rate | 1]])</f>
        <v>0</v>
      </c>
      <c r="O30" s="74"/>
      <c r="P30" s="75">
        <f ca="1">IFERROR(IF(Cost_Elements[[#This Row],[Row]]&gt;='Do Not Use or Delete'!$L$2, IF(Cost_Elements[[#This Row],[Row]]&lt;='Do Not Use or Delete'!$M$2,N30*O30,0),0)+IF(Cost_Elements[[#This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0" s="63"/>
      <c r="R30" s="63"/>
      <c r="S30" s="76">
        <f ca="1">IF(PRODUCT(Cost_Elements[[#This Row],[BLS or SCLS]]="BLS"),(Cost_Elements[[#This Row],[Rate | 2]]*$T$4)+Cost_Elements[[#This Row],[Rate | 2]],(Cost_Elements[[#This Row],[Rate | 2]]*$T$5)+Cost_Elements[[#This Row],[Rate | 2]])</f>
        <v>0</v>
      </c>
      <c r="T30" s="74"/>
      <c r="U30" s="75">
        <f ca="1">IFERROR(IF(Cost_Elements[[#This Row],[Row]]&gt;='Do Not Use or Delete'!$L$2, IF(Cost_Elements[[#This Row],[Row]]&lt;='Do Not Use or Delete'!$M$2,S30*T30,0),0)+IF(Cost_Elements[[#This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0" s="63"/>
      <c r="W30" s="63"/>
      <c r="X30" s="76">
        <f ca="1">IF(PRODUCT(Cost_Elements[[#This Row],[BLS or SCLS]]="BLS"),(Cost_Elements[[#This Row],[Rate | 3]]*$Y$4)+Cost_Elements[[#This Row],[Rate | 3]],(Cost_Elements[[#This Row],[Rate | 3]]*$Y$5)+Cost_Elements[[#This Row],[Rate | 3]])</f>
        <v>0</v>
      </c>
      <c r="Y30" s="74"/>
      <c r="Z30" s="75">
        <f ca="1">IFERROR(IF(Cost_Elements[[#This Row],[Row]]&gt;='Do Not Use or Delete'!$L$2, IF(Cost_Elements[[#This Row],[Row]]&lt;='Do Not Use or Delete'!$M$2,X30*Y30,0),0)+IF(Cost_Elements[[#This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0" s="63"/>
      <c r="AB30" s="63"/>
      <c r="AC30" s="76">
        <f ca="1">IF(PRODUCT(Cost_Elements[[#This Row],[BLS or SCLS]]="BLS"),(Cost_Elements[[#This Row],[Rate | 4]]*$AD$4)+Cost_Elements[[#This Row],[Rate | 4]],(Cost_Elements[[#This Row],[Rate | 4]]*$AD$5)+Cost_Elements[[#This Row],[Rate | 4]])</f>
        <v>0</v>
      </c>
      <c r="AD30" s="74"/>
      <c r="AE30" s="75">
        <f ca="1">IFERROR(IF(Cost_Elements[[#This Row],[Row]]&gt;='Do Not Use or Delete'!$L$2, IF(Cost_Elements[[#This Row],[Row]]&lt;='Do Not Use or Delete'!$M$2,AC30*AD30,0),0)+IF(Cost_Elements[[#This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0" s="64"/>
      <c r="AG30" s="65"/>
      <c r="AH30" s="76">
        <f ca="1">IF(PRODUCT(Cost_Elements[[#This Row],[BLS or SCLS]]="BLS"),(Cost_Elements[[#This Row],[Rate | 5]]*$AI$4)+Cost_Elements[[#This Row],[Rate | 5]],(Cost_Elements[[#This Row],[Rate | 5]]*$AI$5)+Cost_Elements[[#This Row],[Rate | 5]])</f>
        <v>0</v>
      </c>
      <c r="AI30" s="74"/>
      <c r="AJ30" s="458"/>
      <c r="AK30" s="458"/>
      <c r="AL30" s="75">
        <f ca="1">IFERROR(IF(Cost_Elements[[#This Row],[Row]]&gt;='Do Not Use or Delete'!$L$2, IF(Cost_Elements[[#This Row],[Row]]&lt;='Do Not Use or Delete'!$M$2,AH30*AI30,0),0)+IF(Cost_Elements[[#This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0" s="64"/>
      <c r="AN30" s="65"/>
      <c r="AO30" s="77">
        <f t="shared" si="0"/>
        <v>0</v>
      </c>
      <c r="AP30" s="78">
        <f t="shared" ca="1" si="1"/>
        <v>0</v>
      </c>
      <c r="AQ30" s="68">
        <f ca="1">ROW(Cost_Elements[[#This Row],[Amount | Total]])</f>
        <v>30</v>
      </c>
    </row>
    <row r="31" spans="1:43">
      <c r="A31" s="240" t="s">
        <v>165</v>
      </c>
      <c r="B31" s="275"/>
      <c r="C31" s="276"/>
      <c r="D31" s="71"/>
      <c r="E31" s="71"/>
      <c r="F31" s="71"/>
      <c r="G31" s="71"/>
      <c r="H31" s="72" t="str">
        <f ca="1">IFERROR(INDEX(Labor_Categories[Minimum Direct Labor Rates],MATCH(Cost_Elements[[#This Row],[Government Labor Category]],Labor_Categories[Labor Categories],0)),"")</f>
        <v/>
      </c>
      <c r="I31" s="73"/>
      <c r="J31" s="74"/>
      <c r="K31" s="75">
        <f ca="1">IFERROR(IF(Cost_Elements[[#This Row],[Row]]&gt;='Do Not Use or Delete'!$L$2, IF(Cost_Elements[[#This Row],[Row]]&lt;='Do Not Use or Delete'!$M$2,I31*J31,0),0)+IF(Cost_Elements[[#This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1" s="63"/>
      <c r="M31" s="63"/>
      <c r="N31" s="76">
        <f ca="1">IF(PRODUCT(Cost_Elements[[#This Row],[BLS or SCLS]]="BLS"),(Cost_Elements[[#This Row],[Rate | 1]]*$O$4)+Cost_Elements[[#This Row],[Rate | 1]],(Cost_Elements[[#This Row],[Rate | 1]]*$O$5)+Cost_Elements[[#This Row],[Rate | 1]])</f>
        <v>0</v>
      </c>
      <c r="O31" s="74"/>
      <c r="P31" s="75">
        <f ca="1">IFERROR(IF(Cost_Elements[[#This Row],[Row]]&gt;='Do Not Use or Delete'!$L$2, IF(Cost_Elements[[#This Row],[Row]]&lt;='Do Not Use or Delete'!$M$2,N31*O31,0),0)+IF(Cost_Elements[[#This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1" s="63"/>
      <c r="R31" s="63"/>
      <c r="S31" s="76">
        <f ca="1">IF(PRODUCT(Cost_Elements[[#This Row],[BLS or SCLS]]="BLS"),(Cost_Elements[[#This Row],[Rate | 2]]*$T$4)+Cost_Elements[[#This Row],[Rate | 2]],(Cost_Elements[[#This Row],[Rate | 2]]*$T$5)+Cost_Elements[[#This Row],[Rate | 2]])</f>
        <v>0</v>
      </c>
      <c r="T31" s="74"/>
      <c r="U31" s="75">
        <f ca="1">IFERROR(IF(Cost_Elements[[#This Row],[Row]]&gt;='Do Not Use or Delete'!$L$2, IF(Cost_Elements[[#This Row],[Row]]&lt;='Do Not Use or Delete'!$M$2,S31*T31,0),0)+IF(Cost_Elements[[#This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1" s="63"/>
      <c r="W31" s="63"/>
      <c r="X31" s="76">
        <f ca="1">IF(PRODUCT(Cost_Elements[[#This Row],[BLS or SCLS]]="BLS"),(Cost_Elements[[#This Row],[Rate | 3]]*$Y$4)+Cost_Elements[[#This Row],[Rate | 3]],(Cost_Elements[[#This Row],[Rate | 3]]*$Y$5)+Cost_Elements[[#This Row],[Rate | 3]])</f>
        <v>0</v>
      </c>
      <c r="Y31" s="74"/>
      <c r="Z31" s="75">
        <f ca="1">IFERROR(IF(Cost_Elements[[#This Row],[Row]]&gt;='Do Not Use or Delete'!$L$2, IF(Cost_Elements[[#This Row],[Row]]&lt;='Do Not Use or Delete'!$M$2,X31*Y31,0),0)+IF(Cost_Elements[[#This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1" s="63"/>
      <c r="AB31" s="63"/>
      <c r="AC31" s="76">
        <f ca="1">IF(PRODUCT(Cost_Elements[[#This Row],[BLS or SCLS]]="BLS"),(Cost_Elements[[#This Row],[Rate | 4]]*$AD$4)+Cost_Elements[[#This Row],[Rate | 4]],(Cost_Elements[[#This Row],[Rate | 4]]*$AD$5)+Cost_Elements[[#This Row],[Rate | 4]])</f>
        <v>0</v>
      </c>
      <c r="AD31" s="74"/>
      <c r="AE31" s="75">
        <f ca="1">IFERROR(IF(Cost_Elements[[#This Row],[Row]]&gt;='Do Not Use or Delete'!$L$2, IF(Cost_Elements[[#This Row],[Row]]&lt;='Do Not Use or Delete'!$M$2,AC31*AD31,0),0)+IF(Cost_Elements[[#This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1" s="64"/>
      <c r="AG31" s="65"/>
      <c r="AH31" s="76">
        <f ca="1">IF(PRODUCT(Cost_Elements[[#This Row],[BLS or SCLS]]="BLS"),(Cost_Elements[[#This Row],[Rate | 5]]*$AI$4)+Cost_Elements[[#This Row],[Rate | 5]],(Cost_Elements[[#This Row],[Rate | 5]]*$AI$5)+Cost_Elements[[#This Row],[Rate | 5]])</f>
        <v>0</v>
      </c>
      <c r="AI31" s="74"/>
      <c r="AJ31" s="458"/>
      <c r="AK31" s="458"/>
      <c r="AL31" s="75">
        <f ca="1">IFERROR(IF(Cost_Elements[[#This Row],[Row]]&gt;='Do Not Use or Delete'!$L$2, IF(Cost_Elements[[#This Row],[Row]]&lt;='Do Not Use or Delete'!$M$2,AH31*AI31,0),0)+IF(Cost_Elements[[#This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1" s="64"/>
      <c r="AN31" s="65"/>
      <c r="AO31" s="77">
        <f t="shared" si="0"/>
        <v>0</v>
      </c>
      <c r="AP31" s="78">
        <f t="shared" ca="1" si="1"/>
        <v>0</v>
      </c>
      <c r="AQ31" s="68">
        <f ca="1">ROW(Cost_Elements[[#This Row],[Amount | Total]])</f>
        <v>31</v>
      </c>
    </row>
    <row r="32" spans="1:43">
      <c r="A32" s="240" t="s">
        <v>165</v>
      </c>
      <c r="B32" s="275"/>
      <c r="C32" s="276"/>
      <c r="D32" s="71"/>
      <c r="E32" s="71"/>
      <c r="F32" s="71"/>
      <c r="G32" s="71"/>
      <c r="H32" s="72" t="str">
        <f ca="1">IFERROR(INDEX(Labor_Categories[Minimum Direct Labor Rates],MATCH(Cost_Elements[[#This Row],[Government Labor Category]],Labor_Categories[Labor Categories],0)),"")</f>
        <v/>
      </c>
      <c r="I32" s="73"/>
      <c r="J32" s="74"/>
      <c r="K32" s="75">
        <f ca="1">IFERROR(IF(Cost_Elements[[#This Row],[Row]]&gt;='Do Not Use or Delete'!$L$2, IF(Cost_Elements[[#This Row],[Row]]&lt;='Do Not Use or Delete'!$M$2,I32*J32,0),0)+IF(Cost_Elements[[#This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2" s="63"/>
      <c r="M32" s="63"/>
      <c r="N32" s="76">
        <f ca="1">IF(PRODUCT(Cost_Elements[[#This Row],[BLS or SCLS]]="BLS"),(Cost_Elements[[#This Row],[Rate | 1]]*$O$4)+Cost_Elements[[#This Row],[Rate | 1]],(Cost_Elements[[#This Row],[Rate | 1]]*$O$5)+Cost_Elements[[#This Row],[Rate | 1]])</f>
        <v>0</v>
      </c>
      <c r="O32" s="74"/>
      <c r="P32" s="75">
        <f ca="1">IFERROR(IF(Cost_Elements[[#This Row],[Row]]&gt;='Do Not Use or Delete'!$L$2, IF(Cost_Elements[[#This Row],[Row]]&lt;='Do Not Use or Delete'!$M$2,N32*O32,0),0)+IF(Cost_Elements[[#This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2" s="63"/>
      <c r="R32" s="63"/>
      <c r="S32" s="76">
        <f ca="1">IF(PRODUCT(Cost_Elements[[#This Row],[BLS or SCLS]]="BLS"),(Cost_Elements[[#This Row],[Rate | 2]]*$T$4)+Cost_Elements[[#This Row],[Rate | 2]],(Cost_Elements[[#This Row],[Rate | 2]]*$T$5)+Cost_Elements[[#This Row],[Rate | 2]])</f>
        <v>0</v>
      </c>
      <c r="T32" s="74"/>
      <c r="U32" s="75">
        <f ca="1">IFERROR(IF(Cost_Elements[[#This Row],[Row]]&gt;='Do Not Use or Delete'!$L$2, IF(Cost_Elements[[#This Row],[Row]]&lt;='Do Not Use or Delete'!$M$2,S32*T32,0),0)+IF(Cost_Elements[[#This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2" s="63"/>
      <c r="W32" s="63"/>
      <c r="X32" s="76">
        <f ca="1">IF(PRODUCT(Cost_Elements[[#This Row],[BLS or SCLS]]="BLS"),(Cost_Elements[[#This Row],[Rate | 3]]*$Y$4)+Cost_Elements[[#This Row],[Rate | 3]],(Cost_Elements[[#This Row],[Rate | 3]]*$Y$5)+Cost_Elements[[#This Row],[Rate | 3]])</f>
        <v>0</v>
      </c>
      <c r="Y32" s="74"/>
      <c r="Z32" s="75">
        <f ca="1">IFERROR(IF(Cost_Elements[[#This Row],[Row]]&gt;='Do Not Use or Delete'!$L$2, IF(Cost_Elements[[#This Row],[Row]]&lt;='Do Not Use or Delete'!$M$2,X32*Y32,0),0)+IF(Cost_Elements[[#This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2" s="63"/>
      <c r="AB32" s="63"/>
      <c r="AC32" s="76">
        <f ca="1">IF(PRODUCT(Cost_Elements[[#This Row],[BLS or SCLS]]="BLS"),(Cost_Elements[[#This Row],[Rate | 4]]*$AD$4)+Cost_Elements[[#This Row],[Rate | 4]],(Cost_Elements[[#This Row],[Rate | 4]]*$AD$5)+Cost_Elements[[#This Row],[Rate | 4]])</f>
        <v>0</v>
      </c>
      <c r="AD32" s="74"/>
      <c r="AE32" s="75">
        <f ca="1">IFERROR(IF(Cost_Elements[[#This Row],[Row]]&gt;='Do Not Use or Delete'!$L$2, IF(Cost_Elements[[#This Row],[Row]]&lt;='Do Not Use or Delete'!$M$2,AC32*AD32,0),0)+IF(Cost_Elements[[#This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2" s="64"/>
      <c r="AG32" s="65"/>
      <c r="AH32" s="76">
        <f ca="1">IF(PRODUCT(Cost_Elements[[#This Row],[BLS or SCLS]]="BLS"),(Cost_Elements[[#This Row],[Rate | 5]]*$AI$4)+Cost_Elements[[#This Row],[Rate | 5]],(Cost_Elements[[#This Row],[Rate | 5]]*$AI$5)+Cost_Elements[[#This Row],[Rate | 5]])</f>
        <v>0</v>
      </c>
      <c r="AI32" s="74"/>
      <c r="AJ32" s="458"/>
      <c r="AK32" s="458"/>
      <c r="AL32" s="75">
        <f ca="1">IFERROR(IF(Cost_Elements[[#This Row],[Row]]&gt;='Do Not Use or Delete'!$L$2, IF(Cost_Elements[[#This Row],[Row]]&lt;='Do Not Use or Delete'!$M$2,AH32*AI32,0),0)+IF(Cost_Elements[[#This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2" s="64"/>
      <c r="AN32" s="65"/>
      <c r="AO32" s="77">
        <f t="shared" si="0"/>
        <v>0</v>
      </c>
      <c r="AP32" s="78">
        <f t="shared" ca="1" si="1"/>
        <v>0</v>
      </c>
      <c r="AQ32" s="68">
        <f ca="1">ROW(Cost_Elements[[#This Row],[Amount | Total]])</f>
        <v>32</v>
      </c>
    </row>
    <row r="33" spans="1:43">
      <c r="A33" s="240" t="s">
        <v>165</v>
      </c>
      <c r="B33" s="275"/>
      <c r="C33" s="276"/>
      <c r="D33" s="71"/>
      <c r="E33" s="71"/>
      <c r="F33" s="71"/>
      <c r="G33" s="71"/>
      <c r="H33" s="72" t="str">
        <f ca="1">IFERROR(INDEX(Labor_Categories[Minimum Direct Labor Rates],MATCH(Cost_Elements[[#This Row],[Government Labor Category]],Labor_Categories[Labor Categories],0)),"")</f>
        <v/>
      </c>
      <c r="I33" s="73"/>
      <c r="J33" s="74"/>
      <c r="K33" s="75">
        <f ca="1">IFERROR(IF(Cost_Elements[[#This Row],[Row]]&gt;='Do Not Use or Delete'!$L$2, IF(Cost_Elements[[#This Row],[Row]]&lt;='Do Not Use or Delete'!$M$2,I33*J33,0),0)+IF(Cost_Elements[[#This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3" s="63"/>
      <c r="M33" s="63"/>
      <c r="N33" s="76">
        <f ca="1">IF(PRODUCT(Cost_Elements[[#This Row],[BLS or SCLS]]="BLS"),(Cost_Elements[[#This Row],[Rate | 1]]*$O$4)+Cost_Elements[[#This Row],[Rate | 1]],(Cost_Elements[[#This Row],[Rate | 1]]*$O$5)+Cost_Elements[[#This Row],[Rate | 1]])</f>
        <v>0</v>
      </c>
      <c r="O33" s="74"/>
      <c r="P33" s="75">
        <f ca="1">IFERROR(IF(Cost_Elements[[#This Row],[Row]]&gt;='Do Not Use or Delete'!$L$2, IF(Cost_Elements[[#This Row],[Row]]&lt;='Do Not Use or Delete'!$M$2,N33*O33,0),0)+IF(Cost_Elements[[#This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3" s="63"/>
      <c r="R33" s="63"/>
      <c r="S33" s="76">
        <f ca="1">IF(PRODUCT(Cost_Elements[[#This Row],[BLS or SCLS]]="BLS"),(Cost_Elements[[#This Row],[Rate | 2]]*$T$4)+Cost_Elements[[#This Row],[Rate | 2]],(Cost_Elements[[#This Row],[Rate | 2]]*$T$5)+Cost_Elements[[#This Row],[Rate | 2]])</f>
        <v>0</v>
      </c>
      <c r="T33" s="74"/>
      <c r="U33" s="75">
        <f ca="1">IFERROR(IF(Cost_Elements[[#This Row],[Row]]&gt;='Do Not Use or Delete'!$L$2, IF(Cost_Elements[[#This Row],[Row]]&lt;='Do Not Use or Delete'!$M$2,S33*T33,0),0)+IF(Cost_Elements[[#This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3" s="63"/>
      <c r="W33" s="63"/>
      <c r="X33" s="76">
        <f ca="1">IF(PRODUCT(Cost_Elements[[#This Row],[BLS or SCLS]]="BLS"),(Cost_Elements[[#This Row],[Rate | 3]]*$Y$4)+Cost_Elements[[#This Row],[Rate | 3]],(Cost_Elements[[#This Row],[Rate | 3]]*$Y$5)+Cost_Elements[[#This Row],[Rate | 3]])</f>
        <v>0</v>
      </c>
      <c r="Y33" s="74"/>
      <c r="Z33" s="75">
        <f ca="1">IFERROR(IF(Cost_Elements[[#This Row],[Row]]&gt;='Do Not Use or Delete'!$L$2, IF(Cost_Elements[[#This Row],[Row]]&lt;='Do Not Use or Delete'!$M$2,X33*Y33,0),0)+IF(Cost_Elements[[#This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3" s="63"/>
      <c r="AB33" s="63"/>
      <c r="AC33" s="76">
        <f ca="1">IF(PRODUCT(Cost_Elements[[#This Row],[BLS or SCLS]]="BLS"),(Cost_Elements[[#This Row],[Rate | 4]]*$AD$4)+Cost_Elements[[#This Row],[Rate | 4]],(Cost_Elements[[#This Row],[Rate | 4]]*$AD$5)+Cost_Elements[[#This Row],[Rate | 4]])</f>
        <v>0</v>
      </c>
      <c r="AD33" s="74"/>
      <c r="AE33" s="75">
        <f ca="1">IFERROR(IF(Cost_Elements[[#This Row],[Row]]&gt;='Do Not Use or Delete'!$L$2, IF(Cost_Elements[[#This Row],[Row]]&lt;='Do Not Use or Delete'!$M$2,AC33*AD33,0),0)+IF(Cost_Elements[[#This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3" s="64"/>
      <c r="AG33" s="65"/>
      <c r="AH33" s="76">
        <f ca="1">IF(PRODUCT(Cost_Elements[[#This Row],[BLS or SCLS]]="BLS"),(Cost_Elements[[#This Row],[Rate | 5]]*$AI$4)+Cost_Elements[[#This Row],[Rate | 5]],(Cost_Elements[[#This Row],[Rate | 5]]*$AI$5)+Cost_Elements[[#This Row],[Rate | 5]])</f>
        <v>0</v>
      </c>
      <c r="AI33" s="74"/>
      <c r="AJ33" s="458"/>
      <c r="AK33" s="458"/>
      <c r="AL33" s="75">
        <f ca="1">IFERROR(IF(Cost_Elements[[#This Row],[Row]]&gt;='Do Not Use or Delete'!$L$2, IF(Cost_Elements[[#This Row],[Row]]&lt;='Do Not Use or Delete'!$M$2,AH33*AI33,0),0)+IF(Cost_Elements[[#This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3" s="64"/>
      <c r="AN33" s="65"/>
      <c r="AO33" s="77">
        <f t="shared" si="0"/>
        <v>0</v>
      </c>
      <c r="AP33" s="78">
        <f t="shared" ca="1" si="1"/>
        <v>0</v>
      </c>
      <c r="AQ33" s="68">
        <f ca="1">ROW(Cost_Elements[[#This Row],[Amount | Total]])</f>
        <v>33</v>
      </c>
    </row>
    <row r="34" spans="1:43">
      <c r="A34" s="240" t="s">
        <v>165</v>
      </c>
      <c r="B34" s="275"/>
      <c r="C34" s="276"/>
      <c r="D34" s="71"/>
      <c r="E34" s="71"/>
      <c r="F34" s="71"/>
      <c r="G34" s="71"/>
      <c r="H34" s="72" t="str">
        <f ca="1">IFERROR(INDEX(Labor_Categories[Minimum Direct Labor Rates],MATCH(Cost_Elements[[#This Row],[Government Labor Category]],Labor_Categories[Labor Categories],0)),"")</f>
        <v/>
      </c>
      <c r="I34" s="73"/>
      <c r="J34" s="74"/>
      <c r="K34" s="75">
        <f ca="1">IFERROR(IF(Cost_Elements[[#This Row],[Row]]&gt;='Do Not Use or Delete'!$L$2, IF(Cost_Elements[[#This Row],[Row]]&lt;='Do Not Use or Delete'!$M$2,I34*J34,0),0)+IF(Cost_Elements[[#This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4" s="63"/>
      <c r="M34" s="63"/>
      <c r="N34" s="76">
        <f ca="1">IF(PRODUCT(Cost_Elements[[#This Row],[BLS or SCLS]]="BLS"),(Cost_Elements[[#This Row],[Rate | 1]]*$O$4)+Cost_Elements[[#This Row],[Rate | 1]],(Cost_Elements[[#This Row],[Rate | 1]]*$O$5)+Cost_Elements[[#This Row],[Rate | 1]])</f>
        <v>0</v>
      </c>
      <c r="O34" s="74"/>
      <c r="P34" s="75">
        <f ca="1">IFERROR(IF(Cost_Elements[[#This Row],[Row]]&gt;='Do Not Use or Delete'!$L$2, IF(Cost_Elements[[#This Row],[Row]]&lt;='Do Not Use or Delete'!$M$2,N34*O34,0),0)+IF(Cost_Elements[[#This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4" s="63"/>
      <c r="R34" s="63"/>
      <c r="S34" s="76">
        <f ca="1">IF(PRODUCT(Cost_Elements[[#This Row],[BLS or SCLS]]="BLS"),(Cost_Elements[[#This Row],[Rate | 2]]*$T$4)+Cost_Elements[[#This Row],[Rate | 2]],(Cost_Elements[[#This Row],[Rate | 2]]*$T$5)+Cost_Elements[[#This Row],[Rate | 2]])</f>
        <v>0</v>
      </c>
      <c r="T34" s="74"/>
      <c r="U34" s="75">
        <f ca="1">IFERROR(IF(Cost_Elements[[#This Row],[Row]]&gt;='Do Not Use or Delete'!$L$2, IF(Cost_Elements[[#This Row],[Row]]&lt;='Do Not Use or Delete'!$M$2,S34*T34,0),0)+IF(Cost_Elements[[#This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4" s="63"/>
      <c r="W34" s="63"/>
      <c r="X34" s="76">
        <f ca="1">IF(PRODUCT(Cost_Elements[[#This Row],[BLS or SCLS]]="BLS"),(Cost_Elements[[#This Row],[Rate | 3]]*$Y$4)+Cost_Elements[[#This Row],[Rate | 3]],(Cost_Elements[[#This Row],[Rate | 3]]*$Y$5)+Cost_Elements[[#This Row],[Rate | 3]])</f>
        <v>0</v>
      </c>
      <c r="Y34" s="74"/>
      <c r="Z34" s="75">
        <f ca="1">IFERROR(IF(Cost_Elements[[#This Row],[Row]]&gt;='Do Not Use or Delete'!$L$2, IF(Cost_Elements[[#This Row],[Row]]&lt;='Do Not Use or Delete'!$M$2,X34*Y34,0),0)+IF(Cost_Elements[[#This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4" s="63"/>
      <c r="AB34" s="63"/>
      <c r="AC34" s="76">
        <f ca="1">IF(PRODUCT(Cost_Elements[[#This Row],[BLS or SCLS]]="BLS"),(Cost_Elements[[#This Row],[Rate | 4]]*$AD$4)+Cost_Elements[[#This Row],[Rate | 4]],(Cost_Elements[[#This Row],[Rate | 4]]*$AD$5)+Cost_Elements[[#This Row],[Rate | 4]])</f>
        <v>0</v>
      </c>
      <c r="AD34" s="74"/>
      <c r="AE34" s="75">
        <f ca="1">IFERROR(IF(Cost_Elements[[#This Row],[Row]]&gt;='Do Not Use or Delete'!$L$2, IF(Cost_Elements[[#This Row],[Row]]&lt;='Do Not Use or Delete'!$M$2,AC34*AD34,0),0)+IF(Cost_Elements[[#This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4" s="64"/>
      <c r="AG34" s="65"/>
      <c r="AH34" s="76">
        <f ca="1">IF(PRODUCT(Cost_Elements[[#This Row],[BLS or SCLS]]="BLS"),(Cost_Elements[[#This Row],[Rate | 5]]*$AI$4)+Cost_Elements[[#This Row],[Rate | 5]],(Cost_Elements[[#This Row],[Rate | 5]]*$AI$5)+Cost_Elements[[#This Row],[Rate | 5]])</f>
        <v>0</v>
      </c>
      <c r="AI34" s="74"/>
      <c r="AJ34" s="458"/>
      <c r="AK34" s="458"/>
      <c r="AL34" s="75">
        <f ca="1">IFERROR(IF(Cost_Elements[[#This Row],[Row]]&gt;='Do Not Use or Delete'!$L$2, IF(Cost_Elements[[#This Row],[Row]]&lt;='Do Not Use or Delete'!$M$2,AH34*AI34,0),0)+IF(Cost_Elements[[#This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4" s="64"/>
      <c r="AN34" s="65"/>
      <c r="AO34" s="77">
        <f t="shared" si="0"/>
        <v>0</v>
      </c>
      <c r="AP34" s="78">
        <f t="shared" ca="1" si="1"/>
        <v>0</v>
      </c>
      <c r="AQ34" s="68">
        <f ca="1">ROW(Cost_Elements[[#This Row],[Amount | Total]])</f>
        <v>34</v>
      </c>
    </row>
    <row r="35" spans="1:43">
      <c r="A35" s="240" t="s">
        <v>165</v>
      </c>
      <c r="B35" s="275"/>
      <c r="C35" s="276"/>
      <c r="D35" s="71"/>
      <c r="E35" s="71"/>
      <c r="F35" s="71"/>
      <c r="G35" s="71"/>
      <c r="H35" s="72" t="str">
        <f ca="1">IFERROR(INDEX(Labor_Categories[Minimum Direct Labor Rates],MATCH(Cost_Elements[[#This Row],[Government Labor Category]],Labor_Categories[Labor Categories],0)),"")</f>
        <v/>
      </c>
      <c r="I35" s="73"/>
      <c r="J35" s="74"/>
      <c r="K35" s="75">
        <f ca="1">IFERROR(IF(Cost_Elements[[#This Row],[Row]]&gt;='Do Not Use or Delete'!$L$2, IF(Cost_Elements[[#This Row],[Row]]&lt;='Do Not Use or Delete'!$M$2,I35*J35,0),0)+IF(Cost_Elements[[#This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5" s="63"/>
      <c r="M35" s="63"/>
      <c r="N35" s="76">
        <f ca="1">IF(PRODUCT(Cost_Elements[[#This Row],[BLS or SCLS]]="BLS"),(Cost_Elements[[#This Row],[Rate | 1]]*$O$4)+Cost_Elements[[#This Row],[Rate | 1]],(Cost_Elements[[#This Row],[Rate | 1]]*$O$5)+Cost_Elements[[#This Row],[Rate | 1]])</f>
        <v>0</v>
      </c>
      <c r="O35" s="74"/>
      <c r="P35" s="75">
        <f ca="1">IFERROR(IF(Cost_Elements[[#This Row],[Row]]&gt;='Do Not Use or Delete'!$L$2, IF(Cost_Elements[[#This Row],[Row]]&lt;='Do Not Use or Delete'!$M$2,N35*O35,0),0)+IF(Cost_Elements[[#This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5" s="63"/>
      <c r="R35" s="63"/>
      <c r="S35" s="76">
        <f ca="1">IF(PRODUCT(Cost_Elements[[#This Row],[BLS or SCLS]]="BLS"),(Cost_Elements[[#This Row],[Rate | 2]]*$T$4)+Cost_Elements[[#This Row],[Rate | 2]],(Cost_Elements[[#This Row],[Rate | 2]]*$T$5)+Cost_Elements[[#This Row],[Rate | 2]])</f>
        <v>0</v>
      </c>
      <c r="T35" s="74"/>
      <c r="U35" s="75">
        <f ca="1">IFERROR(IF(Cost_Elements[[#This Row],[Row]]&gt;='Do Not Use or Delete'!$L$2, IF(Cost_Elements[[#This Row],[Row]]&lt;='Do Not Use or Delete'!$M$2,S35*T35,0),0)+IF(Cost_Elements[[#This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5" s="63"/>
      <c r="W35" s="63"/>
      <c r="X35" s="76">
        <f ca="1">IF(PRODUCT(Cost_Elements[[#This Row],[BLS or SCLS]]="BLS"),(Cost_Elements[[#This Row],[Rate | 3]]*$Y$4)+Cost_Elements[[#This Row],[Rate | 3]],(Cost_Elements[[#This Row],[Rate | 3]]*$Y$5)+Cost_Elements[[#This Row],[Rate | 3]])</f>
        <v>0</v>
      </c>
      <c r="Y35" s="74"/>
      <c r="Z35" s="75">
        <f ca="1">IFERROR(IF(Cost_Elements[[#This Row],[Row]]&gt;='Do Not Use or Delete'!$L$2, IF(Cost_Elements[[#This Row],[Row]]&lt;='Do Not Use or Delete'!$M$2,X35*Y35,0),0)+IF(Cost_Elements[[#This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5" s="63"/>
      <c r="AB35" s="63"/>
      <c r="AC35" s="76">
        <f ca="1">IF(PRODUCT(Cost_Elements[[#This Row],[BLS or SCLS]]="BLS"),(Cost_Elements[[#This Row],[Rate | 4]]*$AD$4)+Cost_Elements[[#This Row],[Rate | 4]],(Cost_Elements[[#This Row],[Rate | 4]]*$AD$5)+Cost_Elements[[#This Row],[Rate | 4]])</f>
        <v>0</v>
      </c>
      <c r="AD35" s="74"/>
      <c r="AE35" s="75">
        <f ca="1">IFERROR(IF(Cost_Elements[[#This Row],[Row]]&gt;='Do Not Use or Delete'!$L$2, IF(Cost_Elements[[#This Row],[Row]]&lt;='Do Not Use or Delete'!$M$2,AC35*AD35,0),0)+IF(Cost_Elements[[#This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5" s="64"/>
      <c r="AG35" s="65"/>
      <c r="AH35" s="76">
        <f ca="1">IF(PRODUCT(Cost_Elements[[#This Row],[BLS or SCLS]]="BLS"),(Cost_Elements[[#This Row],[Rate | 5]]*$AI$4)+Cost_Elements[[#This Row],[Rate | 5]],(Cost_Elements[[#This Row],[Rate | 5]]*$AI$5)+Cost_Elements[[#This Row],[Rate | 5]])</f>
        <v>0</v>
      </c>
      <c r="AI35" s="74"/>
      <c r="AJ35" s="458"/>
      <c r="AK35" s="458"/>
      <c r="AL35" s="75">
        <f ca="1">IFERROR(IF(Cost_Elements[[#This Row],[Row]]&gt;='Do Not Use or Delete'!$L$2, IF(Cost_Elements[[#This Row],[Row]]&lt;='Do Not Use or Delete'!$M$2,AH35*AI35,0),0)+IF(Cost_Elements[[#This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5" s="64"/>
      <c r="AN35" s="65"/>
      <c r="AO35" s="77">
        <f t="shared" si="0"/>
        <v>0</v>
      </c>
      <c r="AP35" s="78">
        <f t="shared" ca="1" si="1"/>
        <v>0</v>
      </c>
      <c r="AQ35" s="68">
        <f ca="1">ROW(Cost_Elements[[#This Row],[Amount | Total]])</f>
        <v>35</v>
      </c>
    </row>
    <row r="36" spans="1:43">
      <c r="A36" s="240" t="s">
        <v>165</v>
      </c>
      <c r="B36" s="275"/>
      <c r="C36" s="276"/>
      <c r="D36" s="71"/>
      <c r="E36" s="71"/>
      <c r="F36" s="71"/>
      <c r="G36" s="71"/>
      <c r="H36" s="72" t="str">
        <f ca="1">IFERROR(INDEX(Labor_Categories[Minimum Direct Labor Rates],MATCH(Cost_Elements[[#This Row],[Government Labor Category]],Labor_Categories[Labor Categories],0)),"")</f>
        <v/>
      </c>
      <c r="I36" s="73"/>
      <c r="J36" s="74"/>
      <c r="K36" s="75">
        <f ca="1">IFERROR(IF(Cost_Elements[[#This Row],[Row]]&gt;='Do Not Use or Delete'!$L$2, IF(Cost_Elements[[#This Row],[Row]]&lt;='Do Not Use or Delete'!$M$2,I36*J36,0),0)+IF(Cost_Elements[[#This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6" s="63"/>
      <c r="M36" s="63"/>
      <c r="N36" s="76">
        <f ca="1">IF(PRODUCT(Cost_Elements[[#This Row],[BLS or SCLS]]="BLS"),(Cost_Elements[[#This Row],[Rate | 1]]*$O$4)+Cost_Elements[[#This Row],[Rate | 1]],(Cost_Elements[[#This Row],[Rate | 1]]*$O$5)+Cost_Elements[[#This Row],[Rate | 1]])</f>
        <v>0</v>
      </c>
      <c r="O36" s="74"/>
      <c r="P36" s="75">
        <f ca="1">IFERROR(IF(Cost_Elements[[#This Row],[Row]]&gt;='Do Not Use or Delete'!$L$2, IF(Cost_Elements[[#This Row],[Row]]&lt;='Do Not Use or Delete'!$M$2,N36*O36,0),0)+IF(Cost_Elements[[#This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6" s="63"/>
      <c r="R36" s="63"/>
      <c r="S36" s="76">
        <f ca="1">IF(PRODUCT(Cost_Elements[[#This Row],[BLS or SCLS]]="BLS"),(Cost_Elements[[#This Row],[Rate | 2]]*$T$4)+Cost_Elements[[#This Row],[Rate | 2]],(Cost_Elements[[#This Row],[Rate | 2]]*$T$5)+Cost_Elements[[#This Row],[Rate | 2]])</f>
        <v>0</v>
      </c>
      <c r="T36" s="74"/>
      <c r="U36" s="75">
        <f ca="1">IFERROR(IF(Cost_Elements[[#This Row],[Row]]&gt;='Do Not Use or Delete'!$L$2, IF(Cost_Elements[[#This Row],[Row]]&lt;='Do Not Use or Delete'!$M$2,S36*T36,0),0)+IF(Cost_Elements[[#This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6" s="63"/>
      <c r="W36" s="63"/>
      <c r="X36" s="76">
        <f ca="1">IF(PRODUCT(Cost_Elements[[#This Row],[BLS or SCLS]]="BLS"),(Cost_Elements[[#This Row],[Rate | 3]]*$Y$4)+Cost_Elements[[#This Row],[Rate | 3]],(Cost_Elements[[#This Row],[Rate | 3]]*$Y$5)+Cost_Elements[[#This Row],[Rate | 3]])</f>
        <v>0</v>
      </c>
      <c r="Y36" s="74"/>
      <c r="Z36" s="75">
        <f ca="1">IFERROR(IF(Cost_Elements[[#This Row],[Row]]&gt;='Do Not Use or Delete'!$L$2, IF(Cost_Elements[[#This Row],[Row]]&lt;='Do Not Use or Delete'!$M$2,X36*Y36,0),0)+IF(Cost_Elements[[#This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6" s="63"/>
      <c r="AB36" s="63"/>
      <c r="AC36" s="76">
        <f ca="1">IF(PRODUCT(Cost_Elements[[#This Row],[BLS or SCLS]]="BLS"),(Cost_Elements[[#This Row],[Rate | 4]]*$AD$4)+Cost_Elements[[#This Row],[Rate | 4]],(Cost_Elements[[#This Row],[Rate | 4]]*$AD$5)+Cost_Elements[[#This Row],[Rate | 4]])</f>
        <v>0</v>
      </c>
      <c r="AD36" s="74"/>
      <c r="AE36" s="75">
        <f ca="1">IFERROR(IF(Cost_Elements[[#This Row],[Row]]&gt;='Do Not Use or Delete'!$L$2, IF(Cost_Elements[[#This Row],[Row]]&lt;='Do Not Use or Delete'!$M$2,AC36*AD36,0),0)+IF(Cost_Elements[[#This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6" s="64"/>
      <c r="AG36" s="65"/>
      <c r="AH36" s="76">
        <f ca="1">IF(PRODUCT(Cost_Elements[[#This Row],[BLS or SCLS]]="BLS"),(Cost_Elements[[#This Row],[Rate | 5]]*$AI$4)+Cost_Elements[[#This Row],[Rate | 5]],(Cost_Elements[[#This Row],[Rate | 5]]*$AI$5)+Cost_Elements[[#This Row],[Rate | 5]])</f>
        <v>0</v>
      </c>
      <c r="AI36" s="74"/>
      <c r="AJ36" s="458"/>
      <c r="AK36" s="458"/>
      <c r="AL36" s="75">
        <f ca="1">IFERROR(IF(Cost_Elements[[#This Row],[Row]]&gt;='Do Not Use or Delete'!$L$2, IF(Cost_Elements[[#This Row],[Row]]&lt;='Do Not Use or Delete'!$M$2,AH36*AI36,0),0)+IF(Cost_Elements[[#This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6" s="64"/>
      <c r="AN36" s="65"/>
      <c r="AO36" s="77">
        <f t="shared" si="0"/>
        <v>0</v>
      </c>
      <c r="AP36" s="78">
        <f t="shared" ca="1" si="1"/>
        <v>0</v>
      </c>
      <c r="AQ36" s="68">
        <f ca="1">ROW(Cost_Elements[[#This Row],[Amount | Total]])</f>
        <v>36</v>
      </c>
    </row>
    <row r="37" spans="1:43">
      <c r="A37" s="240" t="s">
        <v>165</v>
      </c>
      <c r="B37" s="275"/>
      <c r="C37" s="276"/>
      <c r="D37" s="71"/>
      <c r="E37" s="71"/>
      <c r="F37" s="71"/>
      <c r="G37" s="71"/>
      <c r="H37" s="72" t="str">
        <f ca="1">IFERROR(INDEX(Labor_Categories[Minimum Direct Labor Rates],MATCH(Cost_Elements[[#This Row],[Government Labor Category]],Labor_Categories[Labor Categories],0)),"")</f>
        <v/>
      </c>
      <c r="I37" s="73"/>
      <c r="J37" s="74"/>
      <c r="K37" s="75">
        <f ca="1">IFERROR(IF(Cost_Elements[[#This Row],[Row]]&gt;='Do Not Use or Delete'!$L$2, IF(Cost_Elements[[#This Row],[Row]]&lt;='Do Not Use or Delete'!$M$2,I37*J37,0),0)+IF(Cost_Elements[[#This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7" s="63"/>
      <c r="M37" s="63"/>
      <c r="N37" s="76">
        <f ca="1">IF(PRODUCT(Cost_Elements[[#This Row],[BLS or SCLS]]="BLS"),(Cost_Elements[[#This Row],[Rate | 1]]*$O$4)+Cost_Elements[[#This Row],[Rate | 1]],(Cost_Elements[[#This Row],[Rate | 1]]*$O$5)+Cost_Elements[[#This Row],[Rate | 1]])</f>
        <v>0</v>
      </c>
      <c r="O37" s="74"/>
      <c r="P37" s="75">
        <f ca="1">IFERROR(IF(Cost_Elements[[#This Row],[Row]]&gt;='Do Not Use or Delete'!$L$2, IF(Cost_Elements[[#This Row],[Row]]&lt;='Do Not Use or Delete'!$M$2,N37*O37,0),0)+IF(Cost_Elements[[#This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7" s="63"/>
      <c r="R37" s="63"/>
      <c r="S37" s="76">
        <f ca="1">IF(PRODUCT(Cost_Elements[[#This Row],[BLS or SCLS]]="BLS"),(Cost_Elements[[#This Row],[Rate | 2]]*$T$4)+Cost_Elements[[#This Row],[Rate | 2]],(Cost_Elements[[#This Row],[Rate | 2]]*$T$5)+Cost_Elements[[#This Row],[Rate | 2]])</f>
        <v>0</v>
      </c>
      <c r="T37" s="74"/>
      <c r="U37" s="75">
        <f ca="1">IFERROR(IF(Cost_Elements[[#This Row],[Row]]&gt;='Do Not Use or Delete'!$L$2, IF(Cost_Elements[[#This Row],[Row]]&lt;='Do Not Use or Delete'!$M$2,S37*T37,0),0)+IF(Cost_Elements[[#This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7" s="63"/>
      <c r="W37" s="63"/>
      <c r="X37" s="76">
        <f ca="1">IF(PRODUCT(Cost_Elements[[#This Row],[BLS or SCLS]]="BLS"),(Cost_Elements[[#This Row],[Rate | 3]]*$Y$4)+Cost_Elements[[#This Row],[Rate | 3]],(Cost_Elements[[#This Row],[Rate | 3]]*$Y$5)+Cost_Elements[[#This Row],[Rate | 3]])</f>
        <v>0</v>
      </c>
      <c r="Y37" s="74"/>
      <c r="Z37" s="75">
        <f ca="1">IFERROR(IF(Cost_Elements[[#This Row],[Row]]&gt;='Do Not Use or Delete'!$L$2, IF(Cost_Elements[[#This Row],[Row]]&lt;='Do Not Use or Delete'!$M$2,X37*Y37,0),0)+IF(Cost_Elements[[#This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7" s="63"/>
      <c r="AB37" s="63"/>
      <c r="AC37" s="76">
        <f ca="1">IF(PRODUCT(Cost_Elements[[#This Row],[BLS or SCLS]]="BLS"),(Cost_Elements[[#This Row],[Rate | 4]]*$AD$4)+Cost_Elements[[#This Row],[Rate | 4]],(Cost_Elements[[#This Row],[Rate | 4]]*$AD$5)+Cost_Elements[[#This Row],[Rate | 4]])</f>
        <v>0</v>
      </c>
      <c r="AD37" s="74"/>
      <c r="AE37" s="75">
        <f ca="1">IFERROR(IF(Cost_Elements[[#This Row],[Row]]&gt;='Do Not Use or Delete'!$L$2, IF(Cost_Elements[[#This Row],[Row]]&lt;='Do Not Use or Delete'!$M$2,AC37*AD37,0),0)+IF(Cost_Elements[[#This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7" s="64"/>
      <c r="AG37" s="65"/>
      <c r="AH37" s="76">
        <f ca="1">IF(PRODUCT(Cost_Elements[[#This Row],[BLS or SCLS]]="BLS"),(Cost_Elements[[#This Row],[Rate | 5]]*$AI$4)+Cost_Elements[[#This Row],[Rate | 5]],(Cost_Elements[[#This Row],[Rate | 5]]*$AI$5)+Cost_Elements[[#This Row],[Rate | 5]])</f>
        <v>0</v>
      </c>
      <c r="AI37" s="74"/>
      <c r="AJ37" s="458"/>
      <c r="AK37" s="458"/>
      <c r="AL37" s="75">
        <f ca="1">IFERROR(IF(Cost_Elements[[#This Row],[Row]]&gt;='Do Not Use or Delete'!$L$2, IF(Cost_Elements[[#This Row],[Row]]&lt;='Do Not Use or Delete'!$M$2,AH37*AI37,0),0)+IF(Cost_Elements[[#This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7" s="64"/>
      <c r="AN37" s="65"/>
      <c r="AO37" s="77">
        <f t="shared" si="0"/>
        <v>0</v>
      </c>
      <c r="AP37" s="78">
        <f t="shared" ca="1" si="1"/>
        <v>0</v>
      </c>
      <c r="AQ37" s="68">
        <f ca="1">ROW(Cost_Elements[[#This Row],[Amount | Total]])</f>
        <v>37</v>
      </c>
    </row>
    <row r="38" spans="1:43">
      <c r="A38" s="240" t="s">
        <v>165</v>
      </c>
      <c r="B38" s="275"/>
      <c r="C38" s="276"/>
      <c r="D38" s="71"/>
      <c r="E38" s="71"/>
      <c r="F38" s="71"/>
      <c r="G38" s="71"/>
      <c r="H38" s="72" t="str">
        <f ca="1">IFERROR(INDEX(Labor_Categories[Minimum Direct Labor Rates],MATCH(Cost_Elements[[#This Row],[Government Labor Category]],Labor_Categories[Labor Categories],0)),"")</f>
        <v/>
      </c>
      <c r="I38" s="73"/>
      <c r="J38" s="74"/>
      <c r="K38" s="75">
        <f ca="1">IFERROR(IF(Cost_Elements[[#This Row],[Row]]&gt;='Do Not Use or Delete'!$L$2, IF(Cost_Elements[[#This Row],[Row]]&lt;='Do Not Use or Delete'!$M$2,I38*J38,0),0)+IF(Cost_Elements[[#This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8" s="63"/>
      <c r="M38" s="63"/>
      <c r="N38" s="76">
        <f ca="1">IF(PRODUCT(Cost_Elements[[#This Row],[BLS or SCLS]]="BLS"),(Cost_Elements[[#This Row],[Rate | 1]]*$O$4)+Cost_Elements[[#This Row],[Rate | 1]],(Cost_Elements[[#This Row],[Rate | 1]]*$O$5)+Cost_Elements[[#This Row],[Rate | 1]])</f>
        <v>0</v>
      </c>
      <c r="O38" s="74"/>
      <c r="P38" s="75">
        <f ca="1">IFERROR(IF(Cost_Elements[[#This Row],[Row]]&gt;='Do Not Use or Delete'!$L$2, IF(Cost_Elements[[#This Row],[Row]]&lt;='Do Not Use or Delete'!$M$2,N38*O38,0),0)+IF(Cost_Elements[[#This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8" s="63"/>
      <c r="R38" s="63"/>
      <c r="S38" s="76">
        <f ca="1">IF(PRODUCT(Cost_Elements[[#This Row],[BLS or SCLS]]="BLS"),(Cost_Elements[[#This Row],[Rate | 2]]*$T$4)+Cost_Elements[[#This Row],[Rate | 2]],(Cost_Elements[[#This Row],[Rate | 2]]*$T$5)+Cost_Elements[[#This Row],[Rate | 2]])</f>
        <v>0</v>
      </c>
      <c r="T38" s="74"/>
      <c r="U38" s="75">
        <f ca="1">IFERROR(IF(Cost_Elements[[#This Row],[Row]]&gt;='Do Not Use or Delete'!$L$2, IF(Cost_Elements[[#This Row],[Row]]&lt;='Do Not Use or Delete'!$M$2,S38*T38,0),0)+IF(Cost_Elements[[#This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8" s="63"/>
      <c r="W38" s="63"/>
      <c r="X38" s="76">
        <f ca="1">IF(PRODUCT(Cost_Elements[[#This Row],[BLS or SCLS]]="BLS"),(Cost_Elements[[#This Row],[Rate | 3]]*$Y$4)+Cost_Elements[[#This Row],[Rate | 3]],(Cost_Elements[[#This Row],[Rate | 3]]*$Y$5)+Cost_Elements[[#This Row],[Rate | 3]])</f>
        <v>0</v>
      </c>
      <c r="Y38" s="74"/>
      <c r="Z38" s="75">
        <f ca="1">IFERROR(IF(Cost_Elements[[#This Row],[Row]]&gt;='Do Not Use or Delete'!$L$2, IF(Cost_Elements[[#This Row],[Row]]&lt;='Do Not Use or Delete'!$M$2,X38*Y38,0),0)+IF(Cost_Elements[[#This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8" s="63"/>
      <c r="AB38" s="63"/>
      <c r="AC38" s="76">
        <f ca="1">IF(PRODUCT(Cost_Elements[[#This Row],[BLS or SCLS]]="BLS"),(Cost_Elements[[#This Row],[Rate | 4]]*$AD$4)+Cost_Elements[[#This Row],[Rate | 4]],(Cost_Elements[[#This Row],[Rate | 4]]*$AD$5)+Cost_Elements[[#This Row],[Rate | 4]])</f>
        <v>0</v>
      </c>
      <c r="AD38" s="74"/>
      <c r="AE38" s="75">
        <f ca="1">IFERROR(IF(Cost_Elements[[#This Row],[Row]]&gt;='Do Not Use or Delete'!$L$2, IF(Cost_Elements[[#This Row],[Row]]&lt;='Do Not Use or Delete'!$M$2,AC38*AD38,0),0)+IF(Cost_Elements[[#This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8" s="64"/>
      <c r="AG38" s="65"/>
      <c r="AH38" s="76">
        <f ca="1">IF(PRODUCT(Cost_Elements[[#This Row],[BLS or SCLS]]="BLS"),(Cost_Elements[[#This Row],[Rate | 5]]*$AI$4)+Cost_Elements[[#This Row],[Rate | 5]],(Cost_Elements[[#This Row],[Rate | 5]]*$AI$5)+Cost_Elements[[#This Row],[Rate | 5]])</f>
        <v>0</v>
      </c>
      <c r="AI38" s="74"/>
      <c r="AJ38" s="458"/>
      <c r="AK38" s="458"/>
      <c r="AL38" s="75">
        <f ca="1">IFERROR(IF(Cost_Elements[[#This Row],[Row]]&gt;='Do Not Use or Delete'!$L$2, IF(Cost_Elements[[#This Row],[Row]]&lt;='Do Not Use or Delete'!$M$2,AH38*AI38,0),0)+IF(Cost_Elements[[#This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8" s="64"/>
      <c r="AN38" s="65"/>
      <c r="AO38" s="77">
        <f t="shared" si="0"/>
        <v>0</v>
      </c>
      <c r="AP38" s="78">
        <f t="shared" ca="1" si="1"/>
        <v>0</v>
      </c>
      <c r="AQ38" s="68">
        <f ca="1">ROW(Cost_Elements[[#This Row],[Amount | Total]])</f>
        <v>38</v>
      </c>
    </row>
    <row r="39" spans="1:43">
      <c r="A39" s="240" t="s">
        <v>165</v>
      </c>
      <c r="B39" s="275"/>
      <c r="C39" s="276"/>
      <c r="D39" s="71"/>
      <c r="E39" s="71"/>
      <c r="F39" s="71"/>
      <c r="G39" s="71"/>
      <c r="H39" s="72" t="str">
        <f ca="1">IFERROR(INDEX(Labor_Categories[Minimum Direct Labor Rates],MATCH(Cost_Elements[[#This Row],[Government Labor Category]],Labor_Categories[Labor Categories],0)),"")</f>
        <v/>
      </c>
      <c r="I39" s="73"/>
      <c r="J39" s="74"/>
      <c r="K39" s="75">
        <f ca="1">IFERROR(IF(Cost_Elements[[#This Row],[Row]]&gt;='Do Not Use or Delete'!$L$2, IF(Cost_Elements[[#This Row],[Row]]&lt;='Do Not Use or Delete'!$M$2,I39*J39,0),0)+IF(Cost_Elements[[#This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9" s="63"/>
      <c r="M39" s="63"/>
      <c r="N39" s="76">
        <f ca="1">IF(PRODUCT(Cost_Elements[[#This Row],[BLS or SCLS]]="BLS"),(Cost_Elements[[#This Row],[Rate | 1]]*$O$4)+Cost_Elements[[#This Row],[Rate | 1]],(Cost_Elements[[#This Row],[Rate | 1]]*$O$5)+Cost_Elements[[#This Row],[Rate | 1]])</f>
        <v>0</v>
      </c>
      <c r="O39" s="74"/>
      <c r="P39" s="75">
        <f ca="1">IFERROR(IF(Cost_Elements[[#This Row],[Row]]&gt;='Do Not Use or Delete'!$L$2, IF(Cost_Elements[[#This Row],[Row]]&lt;='Do Not Use or Delete'!$M$2,N39*O39,0),0)+IF(Cost_Elements[[#This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9" s="63"/>
      <c r="R39" s="63"/>
      <c r="S39" s="76">
        <f ca="1">IF(PRODUCT(Cost_Elements[[#This Row],[BLS or SCLS]]="BLS"),(Cost_Elements[[#This Row],[Rate | 2]]*$T$4)+Cost_Elements[[#This Row],[Rate | 2]],(Cost_Elements[[#This Row],[Rate | 2]]*$T$5)+Cost_Elements[[#This Row],[Rate | 2]])</f>
        <v>0</v>
      </c>
      <c r="T39" s="74"/>
      <c r="U39" s="75">
        <f ca="1">IFERROR(IF(Cost_Elements[[#This Row],[Row]]&gt;='Do Not Use or Delete'!$L$2, IF(Cost_Elements[[#This Row],[Row]]&lt;='Do Not Use or Delete'!$M$2,S39*T39,0),0)+IF(Cost_Elements[[#This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9" s="63"/>
      <c r="W39" s="63"/>
      <c r="X39" s="76">
        <f ca="1">IF(PRODUCT(Cost_Elements[[#This Row],[BLS or SCLS]]="BLS"),(Cost_Elements[[#This Row],[Rate | 3]]*$Y$4)+Cost_Elements[[#This Row],[Rate | 3]],(Cost_Elements[[#This Row],[Rate | 3]]*$Y$5)+Cost_Elements[[#This Row],[Rate | 3]])</f>
        <v>0</v>
      </c>
      <c r="Y39" s="74"/>
      <c r="Z39" s="75">
        <f ca="1">IFERROR(IF(Cost_Elements[[#This Row],[Row]]&gt;='Do Not Use or Delete'!$L$2, IF(Cost_Elements[[#This Row],[Row]]&lt;='Do Not Use or Delete'!$M$2,X39*Y39,0),0)+IF(Cost_Elements[[#This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9" s="63"/>
      <c r="AB39" s="63"/>
      <c r="AC39" s="76">
        <f ca="1">IF(PRODUCT(Cost_Elements[[#This Row],[BLS or SCLS]]="BLS"),(Cost_Elements[[#This Row],[Rate | 4]]*$AD$4)+Cost_Elements[[#This Row],[Rate | 4]],(Cost_Elements[[#This Row],[Rate | 4]]*$AD$5)+Cost_Elements[[#This Row],[Rate | 4]])</f>
        <v>0</v>
      </c>
      <c r="AD39" s="74"/>
      <c r="AE39" s="75">
        <f ca="1">IFERROR(IF(Cost_Elements[[#This Row],[Row]]&gt;='Do Not Use or Delete'!$L$2, IF(Cost_Elements[[#This Row],[Row]]&lt;='Do Not Use or Delete'!$M$2,AC39*AD39,0),0)+IF(Cost_Elements[[#This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9" s="64"/>
      <c r="AG39" s="65"/>
      <c r="AH39" s="76">
        <f ca="1">IF(PRODUCT(Cost_Elements[[#This Row],[BLS or SCLS]]="BLS"),(Cost_Elements[[#This Row],[Rate | 5]]*$AI$4)+Cost_Elements[[#This Row],[Rate | 5]],(Cost_Elements[[#This Row],[Rate | 5]]*$AI$5)+Cost_Elements[[#This Row],[Rate | 5]])</f>
        <v>0</v>
      </c>
      <c r="AI39" s="74"/>
      <c r="AJ39" s="458"/>
      <c r="AK39" s="458"/>
      <c r="AL39" s="75">
        <f ca="1">IFERROR(IF(Cost_Elements[[#This Row],[Row]]&gt;='Do Not Use or Delete'!$L$2, IF(Cost_Elements[[#This Row],[Row]]&lt;='Do Not Use or Delete'!$M$2,AH39*AI39,0),0)+IF(Cost_Elements[[#This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9" s="64"/>
      <c r="AN39" s="65"/>
      <c r="AO39" s="77">
        <f t="shared" si="0"/>
        <v>0</v>
      </c>
      <c r="AP39" s="78">
        <f t="shared" ca="1" si="1"/>
        <v>0</v>
      </c>
      <c r="AQ39" s="68">
        <f ca="1">ROW(Cost_Elements[[#This Row],[Amount | Total]])</f>
        <v>39</v>
      </c>
    </row>
    <row r="40" spans="1:43">
      <c r="A40" s="240" t="s">
        <v>165</v>
      </c>
      <c r="B40" s="275"/>
      <c r="C40" s="276"/>
      <c r="D40" s="71"/>
      <c r="E40" s="71"/>
      <c r="F40" s="71"/>
      <c r="G40" s="71"/>
      <c r="H40" s="72" t="str">
        <f ca="1">IFERROR(INDEX(Labor_Categories[Minimum Direct Labor Rates],MATCH(Cost_Elements[[#This Row],[Government Labor Category]],Labor_Categories[Labor Categories],0)),"")</f>
        <v/>
      </c>
      <c r="I40" s="73"/>
      <c r="J40" s="74"/>
      <c r="K40" s="75">
        <f ca="1">IFERROR(IF(Cost_Elements[[#This Row],[Row]]&gt;='Do Not Use or Delete'!$L$2, IF(Cost_Elements[[#This Row],[Row]]&lt;='Do Not Use or Delete'!$M$2,I40*J40,0),0)+IF(Cost_Elements[[#This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0" s="63"/>
      <c r="M40" s="63"/>
      <c r="N40" s="76">
        <f ca="1">IF(PRODUCT(Cost_Elements[[#This Row],[BLS or SCLS]]="BLS"),(Cost_Elements[[#This Row],[Rate | 1]]*$O$4)+Cost_Elements[[#This Row],[Rate | 1]],(Cost_Elements[[#This Row],[Rate | 1]]*$O$5)+Cost_Elements[[#This Row],[Rate | 1]])</f>
        <v>0</v>
      </c>
      <c r="O40" s="74"/>
      <c r="P40" s="75">
        <f ca="1">IFERROR(IF(Cost_Elements[[#This Row],[Row]]&gt;='Do Not Use or Delete'!$L$2, IF(Cost_Elements[[#This Row],[Row]]&lt;='Do Not Use or Delete'!$M$2,N40*O40,0),0)+IF(Cost_Elements[[#This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0" s="63"/>
      <c r="R40" s="63"/>
      <c r="S40" s="76">
        <f ca="1">IF(PRODUCT(Cost_Elements[[#This Row],[BLS or SCLS]]="BLS"),(Cost_Elements[[#This Row],[Rate | 2]]*$T$4)+Cost_Elements[[#This Row],[Rate | 2]],(Cost_Elements[[#This Row],[Rate | 2]]*$T$5)+Cost_Elements[[#This Row],[Rate | 2]])</f>
        <v>0</v>
      </c>
      <c r="T40" s="74"/>
      <c r="U40" s="75">
        <f ca="1">IFERROR(IF(Cost_Elements[[#This Row],[Row]]&gt;='Do Not Use or Delete'!$L$2, IF(Cost_Elements[[#This Row],[Row]]&lt;='Do Not Use or Delete'!$M$2,S40*T40,0),0)+IF(Cost_Elements[[#This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0" s="63"/>
      <c r="W40" s="63"/>
      <c r="X40" s="76">
        <f ca="1">IF(PRODUCT(Cost_Elements[[#This Row],[BLS or SCLS]]="BLS"),(Cost_Elements[[#This Row],[Rate | 3]]*$Y$4)+Cost_Elements[[#This Row],[Rate | 3]],(Cost_Elements[[#This Row],[Rate | 3]]*$Y$5)+Cost_Elements[[#This Row],[Rate | 3]])</f>
        <v>0</v>
      </c>
      <c r="Y40" s="74"/>
      <c r="Z40" s="75">
        <f ca="1">IFERROR(IF(Cost_Elements[[#This Row],[Row]]&gt;='Do Not Use or Delete'!$L$2, IF(Cost_Elements[[#This Row],[Row]]&lt;='Do Not Use or Delete'!$M$2,X40*Y40,0),0)+IF(Cost_Elements[[#This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0" s="63"/>
      <c r="AB40" s="63"/>
      <c r="AC40" s="76">
        <f ca="1">IF(PRODUCT(Cost_Elements[[#This Row],[BLS or SCLS]]="BLS"),(Cost_Elements[[#This Row],[Rate | 4]]*$AD$4)+Cost_Elements[[#This Row],[Rate | 4]],(Cost_Elements[[#This Row],[Rate | 4]]*$AD$5)+Cost_Elements[[#This Row],[Rate | 4]])</f>
        <v>0</v>
      </c>
      <c r="AD40" s="74"/>
      <c r="AE40" s="75">
        <f ca="1">IFERROR(IF(Cost_Elements[[#This Row],[Row]]&gt;='Do Not Use or Delete'!$L$2, IF(Cost_Elements[[#This Row],[Row]]&lt;='Do Not Use or Delete'!$M$2,AC40*AD40,0),0)+IF(Cost_Elements[[#This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0" s="64"/>
      <c r="AG40" s="65"/>
      <c r="AH40" s="76">
        <f ca="1">IF(PRODUCT(Cost_Elements[[#This Row],[BLS or SCLS]]="BLS"),(Cost_Elements[[#This Row],[Rate | 5]]*$AI$4)+Cost_Elements[[#This Row],[Rate | 5]],(Cost_Elements[[#This Row],[Rate | 5]]*$AI$5)+Cost_Elements[[#This Row],[Rate | 5]])</f>
        <v>0</v>
      </c>
      <c r="AI40" s="74"/>
      <c r="AJ40" s="458"/>
      <c r="AK40" s="458"/>
      <c r="AL40" s="75">
        <f ca="1">IFERROR(IF(Cost_Elements[[#This Row],[Row]]&gt;='Do Not Use or Delete'!$L$2, IF(Cost_Elements[[#This Row],[Row]]&lt;='Do Not Use or Delete'!$M$2,AH40*AI40,0),0)+IF(Cost_Elements[[#This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0" s="64"/>
      <c r="AN40" s="65"/>
      <c r="AO40" s="77">
        <f t="shared" si="0"/>
        <v>0</v>
      </c>
      <c r="AP40" s="78">
        <f t="shared" ca="1" si="1"/>
        <v>0</v>
      </c>
      <c r="AQ40" s="68">
        <f ca="1">ROW(Cost_Elements[[#This Row],[Amount | Total]])</f>
        <v>40</v>
      </c>
    </row>
    <row r="41" spans="1:43">
      <c r="A41" s="240" t="s">
        <v>165</v>
      </c>
      <c r="B41" s="275"/>
      <c r="C41" s="276"/>
      <c r="D41" s="71"/>
      <c r="E41" s="71"/>
      <c r="F41" s="71"/>
      <c r="G41" s="71"/>
      <c r="H41" s="72" t="str">
        <f ca="1">IFERROR(INDEX(Labor_Categories[Minimum Direct Labor Rates],MATCH(Cost_Elements[[#This Row],[Government Labor Category]],Labor_Categories[Labor Categories],0)),"")</f>
        <v/>
      </c>
      <c r="I41" s="73"/>
      <c r="J41" s="74"/>
      <c r="K41" s="75">
        <f ca="1">IFERROR(IF(Cost_Elements[[#This Row],[Row]]&gt;='Do Not Use or Delete'!$L$2, IF(Cost_Elements[[#This Row],[Row]]&lt;='Do Not Use or Delete'!$M$2,I41*J41,0),0)+IF(Cost_Elements[[#This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1" s="63"/>
      <c r="M41" s="63"/>
      <c r="N41" s="76">
        <f ca="1">IF(PRODUCT(Cost_Elements[[#This Row],[BLS or SCLS]]="BLS"),(Cost_Elements[[#This Row],[Rate | 1]]*$O$4)+Cost_Elements[[#This Row],[Rate | 1]],(Cost_Elements[[#This Row],[Rate | 1]]*$O$5)+Cost_Elements[[#This Row],[Rate | 1]])</f>
        <v>0</v>
      </c>
      <c r="O41" s="74"/>
      <c r="P41" s="75">
        <f ca="1">IFERROR(IF(Cost_Elements[[#This Row],[Row]]&gt;='Do Not Use or Delete'!$L$2, IF(Cost_Elements[[#This Row],[Row]]&lt;='Do Not Use or Delete'!$M$2,N41*O41,0),0)+IF(Cost_Elements[[#This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1" s="63"/>
      <c r="R41" s="63"/>
      <c r="S41" s="76">
        <f ca="1">IF(PRODUCT(Cost_Elements[[#This Row],[BLS or SCLS]]="BLS"),(Cost_Elements[[#This Row],[Rate | 2]]*$T$4)+Cost_Elements[[#This Row],[Rate | 2]],(Cost_Elements[[#This Row],[Rate | 2]]*$T$5)+Cost_Elements[[#This Row],[Rate | 2]])</f>
        <v>0</v>
      </c>
      <c r="T41" s="74"/>
      <c r="U41" s="75">
        <f ca="1">IFERROR(IF(Cost_Elements[[#This Row],[Row]]&gt;='Do Not Use or Delete'!$L$2, IF(Cost_Elements[[#This Row],[Row]]&lt;='Do Not Use or Delete'!$M$2,S41*T41,0),0)+IF(Cost_Elements[[#This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1" s="63"/>
      <c r="W41" s="63"/>
      <c r="X41" s="76">
        <f ca="1">IF(PRODUCT(Cost_Elements[[#This Row],[BLS or SCLS]]="BLS"),(Cost_Elements[[#This Row],[Rate | 3]]*$Y$4)+Cost_Elements[[#This Row],[Rate | 3]],(Cost_Elements[[#This Row],[Rate | 3]]*$Y$5)+Cost_Elements[[#This Row],[Rate | 3]])</f>
        <v>0</v>
      </c>
      <c r="Y41" s="74"/>
      <c r="Z41" s="75">
        <f ca="1">IFERROR(IF(Cost_Elements[[#This Row],[Row]]&gt;='Do Not Use or Delete'!$L$2, IF(Cost_Elements[[#This Row],[Row]]&lt;='Do Not Use or Delete'!$M$2,X41*Y41,0),0)+IF(Cost_Elements[[#This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1" s="63"/>
      <c r="AB41" s="63"/>
      <c r="AC41" s="76">
        <f ca="1">IF(PRODUCT(Cost_Elements[[#This Row],[BLS or SCLS]]="BLS"),(Cost_Elements[[#This Row],[Rate | 4]]*$AD$4)+Cost_Elements[[#This Row],[Rate | 4]],(Cost_Elements[[#This Row],[Rate | 4]]*$AD$5)+Cost_Elements[[#This Row],[Rate | 4]])</f>
        <v>0</v>
      </c>
      <c r="AD41" s="74"/>
      <c r="AE41" s="75">
        <f ca="1">IFERROR(IF(Cost_Elements[[#This Row],[Row]]&gt;='Do Not Use or Delete'!$L$2, IF(Cost_Elements[[#This Row],[Row]]&lt;='Do Not Use or Delete'!$M$2,AC41*AD41,0),0)+IF(Cost_Elements[[#This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1" s="64"/>
      <c r="AG41" s="65"/>
      <c r="AH41" s="76">
        <f ca="1">IF(PRODUCT(Cost_Elements[[#This Row],[BLS or SCLS]]="BLS"),(Cost_Elements[[#This Row],[Rate | 5]]*$AI$4)+Cost_Elements[[#This Row],[Rate | 5]],(Cost_Elements[[#This Row],[Rate | 5]]*$AI$5)+Cost_Elements[[#This Row],[Rate | 5]])</f>
        <v>0</v>
      </c>
      <c r="AI41" s="74"/>
      <c r="AJ41" s="458"/>
      <c r="AK41" s="458"/>
      <c r="AL41" s="75">
        <f ca="1">IFERROR(IF(Cost_Elements[[#This Row],[Row]]&gt;='Do Not Use or Delete'!$L$2, IF(Cost_Elements[[#This Row],[Row]]&lt;='Do Not Use or Delete'!$M$2,AH41*AI41,0),0)+IF(Cost_Elements[[#This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1" s="64"/>
      <c r="AN41" s="65"/>
      <c r="AO41" s="77">
        <f t="shared" si="0"/>
        <v>0</v>
      </c>
      <c r="AP41" s="78">
        <f t="shared" ca="1" si="1"/>
        <v>0</v>
      </c>
      <c r="AQ41" s="68">
        <f ca="1">ROW(Cost_Elements[[#This Row],[Amount | Total]])</f>
        <v>41</v>
      </c>
    </row>
    <row r="42" spans="1:43">
      <c r="A42" s="240" t="s">
        <v>165</v>
      </c>
      <c r="B42" s="275"/>
      <c r="C42" s="276"/>
      <c r="D42" s="71"/>
      <c r="E42" s="71"/>
      <c r="F42" s="71"/>
      <c r="G42" s="71"/>
      <c r="H42" s="72" t="str">
        <f ca="1">IFERROR(INDEX(Labor_Categories[Minimum Direct Labor Rates],MATCH(Cost_Elements[[#This Row],[Government Labor Category]],Labor_Categories[Labor Categories],0)),"")</f>
        <v/>
      </c>
      <c r="I42" s="73"/>
      <c r="J42" s="74"/>
      <c r="K42" s="75">
        <f ca="1">IFERROR(IF(Cost_Elements[[#This Row],[Row]]&gt;='Do Not Use or Delete'!$L$2, IF(Cost_Elements[[#This Row],[Row]]&lt;='Do Not Use or Delete'!$M$2,I42*J42,0),0)+IF(Cost_Elements[[#This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2" s="63"/>
      <c r="M42" s="63"/>
      <c r="N42" s="76">
        <f ca="1">IF(PRODUCT(Cost_Elements[[#This Row],[BLS or SCLS]]="BLS"),(Cost_Elements[[#This Row],[Rate | 1]]*$O$4)+Cost_Elements[[#This Row],[Rate | 1]],(Cost_Elements[[#This Row],[Rate | 1]]*$O$5)+Cost_Elements[[#This Row],[Rate | 1]])</f>
        <v>0</v>
      </c>
      <c r="O42" s="74"/>
      <c r="P42" s="75">
        <f ca="1">IFERROR(IF(Cost_Elements[[#This Row],[Row]]&gt;='Do Not Use or Delete'!$L$2, IF(Cost_Elements[[#This Row],[Row]]&lt;='Do Not Use or Delete'!$M$2,N42*O42,0),0)+IF(Cost_Elements[[#This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2" s="63"/>
      <c r="R42" s="63"/>
      <c r="S42" s="76">
        <f ca="1">IF(PRODUCT(Cost_Elements[[#This Row],[BLS or SCLS]]="BLS"),(Cost_Elements[[#This Row],[Rate | 2]]*$T$4)+Cost_Elements[[#This Row],[Rate | 2]],(Cost_Elements[[#This Row],[Rate | 2]]*$T$5)+Cost_Elements[[#This Row],[Rate | 2]])</f>
        <v>0</v>
      </c>
      <c r="T42" s="74"/>
      <c r="U42" s="75">
        <f ca="1">IFERROR(IF(Cost_Elements[[#This Row],[Row]]&gt;='Do Not Use or Delete'!$L$2, IF(Cost_Elements[[#This Row],[Row]]&lt;='Do Not Use or Delete'!$M$2,S42*T42,0),0)+IF(Cost_Elements[[#This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2" s="63"/>
      <c r="W42" s="63"/>
      <c r="X42" s="76">
        <f ca="1">IF(PRODUCT(Cost_Elements[[#This Row],[BLS or SCLS]]="BLS"),(Cost_Elements[[#This Row],[Rate | 3]]*$Y$4)+Cost_Elements[[#This Row],[Rate | 3]],(Cost_Elements[[#This Row],[Rate | 3]]*$Y$5)+Cost_Elements[[#This Row],[Rate | 3]])</f>
        <v>0</v>
      </c>
      <c r="Y42" s="74"/>
      <c r="Z42" s="75">
        <f ca="1">IFERROR(IF(Cost_Elements[[#This Row],[Row]]&gt;='Do Not Use or Delete'!$L$2, IF(Cost_Elements[[#This Row],[Row]]&lt;='Do Not Use or Delete'!$M$2,X42*Y42,0),0)+IF(Cost_Elements[[#This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2" s="63"/>
      <c r="AB42" s="63"/>
      <c r="AC42" s="76">
        <f ca="1">IF(PRODUCT(Cost_Elements[[#This Row],[BLS or SCLS]]="BLS"),(Cost_Elements[[#This Row],[Rate | 4]]*$AD$4)+Cost_Elements[[#This Row],[Rate | 4]],(Cost_Elements[[#This Row],[Rate | 4]]*$AD$5)+Cost_Elements[[#This Row],[Rate | 4]])</f>
        <v>0</v>
      </c>
      <c r="AD42" s="74"/>
      <c r="AE42" s="75">
        <f ca="1">IFERROR(IF(Cost_Elements[[#This Row],[Row]]&gt;='Do Not Use or Delete'!$L$2, IF(Cost_Elements[[#This Row],[Row]]&lt;='Do Not Use or Delete'!$M$2,AC42*AD42,0),0)+IF(Cost_Elements[[#This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2" s="64"/>
      <c r="AG42" s="65"/>
      <c r="AH42" s="76">
        <f ca="1">IF(PRODUCT(Cost_Elements[[#This Row],[BLS or SCLS]]="BLS"),(Cost_Elements[[#This Row],[Rate | 5]]*$AI$4)+Cost_Elements[[#This Row],[Rate | 5]],(Cost_Elements[[#This Row],[Rate | 5]]*$AI$5)+Cost_Elements[[#This Row],[Rate | 5]])</f>
        <v>0</v>
      </c>
      <c r="AI42" s="74"/>
      <c r="AJ42" s="458"/>
      <c r="AK42" s="458"/>
      <c r="AL42" s="75">
        <f ca="1">IFERROR(IF(Cost_Elements[[#This Row],[Row]]&gt;='Do Not Use or Delete'!$L$2, IF(Cost_Elements[[#This Row],[Row]]&lt;='Do Not Use or Delete'!$M$2,AH42*AI42,0),0)+IF(Cost_Elements[[#This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2" s="64"/>
      <c r="AN42" s="65"/>
      <c r="AO42" s="77">
        <f t="shared" si="0"/>
        <v>0</v>
      </c>
      <c r="AP42" s="78">
        <f t="shared" ca="1" si="1"/>
        <v>0</v>
      </c>
      <c r="AQ42" s="68">
        <f ca="1">ROW(Cost_Elements[[#This Row],[Amount | Total]])</f>
        <v>42</v>
      </c>
    </row>
    <row r="43" spans="1:43">
      <c r="A43" s="240" t="s">
        <v>165</v>
      </c>
      <c r="B43" s="275"/>
      <c r="C43" s="276"/>
      <c r="D43" s="71"/>
      <c r="E43" s="71"/>
      <c r="F43" s="71"/>
      <c r="G43" s="71"/>
      <c r="H43" s="72" t="str">
        <f ca="1">IFERROR(INDEX(Labor_Categories[Minimum Direct Labor Rates],MATCH(Cost_Elements[[#This Row],[Government Labor Category]],Labor_Categories[Labor Categories],0)),"")</f>
        <v/>
      </c>
      <c r="I43" s="73"/>
      <c r="J43" s="74"/>
      <c r="K43" s="75">
        <f ca="1">IFERROR(IF(Cost_Elements[[#This Row],[Row]]&gt;='Do Not Use or Delete'!$L$2, IF(Cost_Elements[[#This Row],[Row]]&lt;='Do Not Use or Delete'!$M$2,I43*J43,0),0)+IF(Cost_Elements[[#This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3" s="63"/>
      <c r="M43" s="63"/>
      <c r="N43" s="76">
        <f ca="1">IF(PRODUCT(Cost_Elements[[#This Row],[BLS or SCLS]]="BLS"),(Cost_Elements[[#This Row],[Rate | 1]]*$O$4)+Cost_Elements[[#This Row],[Rate | 1]],(Cost_Elements[[#This Row],[Rate | 1]]*$O$5)+Cost_Elements[[#This Row],[Rate | 1]])</f>
        <v>0</v>
      </c>
      <c r="O43" s="74"/>
      <c r="P43" s="75">
        <f ca="1">IFERROR(IF(Cost_Elements[[#This Row],[Row]]&gt;='Do Not Use or Delete'!$L$2, IF(Cost_Elements[[#This Row],[Row]]&lt;='Do Not Use or Delete'!$M$2,N43*O43,0),0)+IF(Cost_Elements[[#This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3" s="63"/>
      <c r="R43" s="63"/>
      <c r="S43" s="76">
        <f ca="1">IF(PRODUCT(Cost_Elements[[#This Row],[BLS or SCLS]]="BLS"),(Cost_Elements[[#This Row],[Rate | 2]]*$T$4)+Cost_Elements[[#This Row],[Rate | 2]],(Cost_Elements[[#This Row],[Rate | 2]]*$T$5)+Cost_Elements[[#This Row],[Rate | 2]])</f>
        <v>0</v>
      </c>
      <c r="T43" s="74"/>
      <c r="U43" s="75">
        <f ca="1">IFERROR(IF(Cost_Elements[[#This Row],[Row]]&gt;='Do Not Use or Delete'!$L$2, IF(Cost_Elements[[#This Row],[Row]]&lt;='Do Not Use or Delete'!$M$2,S43*T43,0),0)+IF(Cost_Elements[[#This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3" s="63"/>
      <c r="W43" s="63"/>
      <c r="X43" s="76">
        <f ca="1">IF(PRODUCT(Cost_Elements[[#This Row],[BLS or SCLS]]="BLS"),(Cost_Elements[[#This Row],[Rate | 3]]*$Y$4)+Cost_Elements[[#This Row],[Rate | 3]],(Cost_Elements[[#This Row],[Rate | 3]]*$Y$5)+Cost_Elements[[#This Row],[Rate | 3]])</f>
        <v>0</v>
      </c>
      <c r="Y43" s="74"/>
      <c r="Z43" s="75">
        <f ca="1">IFERROR(IF(Cost_Elements[[#This Row],[Row]]&gt;='Do Not Use or Delete'!$L$2, IF(Cost_Elements[[#This Row],[Row]]&lt;='Do Not Use or Delete'!$M$2,X43*Y43,0),0)+IF(Cost_Elements[[#This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3" s="63"/>
      <c r="AB43" s="63"/>
      <c r="AC43" s="76">
        <f ca="1">IF(PRODUCT(Cost_Elements[[#This Row],[BLS or SCLS]]="BLS"),(Cost_Elements[[#This Row],[Rate | 4]]*$AD$4)+Cost_Elements[[#This Row],[Rate | 4]],(Cost_Elements[[#This Row],[Rate | 4]]*$AD$5)+Cost_Elements[[#This Row],[Rate | 4]])</f>
        <v>0</v>
      </c>
      <c r="AD43" s="74"/>
      <c r="AE43" s="75">
        <f ca="1">IFERROR(IF(Cost_Elements[[#This Row],[Row]]&gt;='Do Not Use or Delete'!$L$2, IF(Cost_Elements[[#This Row],[Row]]&lt;='Do Not Use or Delete'!$M$2,AC43*AD43,0),0)+IF(Cost_Elements[[#This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3" s="64"/>
      <c r="AG43" s="65"/>
      <c r="AH43" s="76">
        <f ca="1">IF(PRODUCT(Cost_Elements[[#This Row],[BLS or SCLS]]="BLS"),(Cost_Elements[[#This Row],[Rate | 5]]*$AI$4)+Cost_Elements[[#This Row],[Rate | 5]],(Cost_Elements[[#This Row],[Rate | 5]]*$AI$5)+Cost_Elements[[#This Row],[Rate | 5]])</f>
        <v>0</v>
      </c>
      <c r="AI43" s="74"/>
      <c r="AJ43" s="458"/>
      <c r="AK43" s="458"/>
      <c r="AL43" s="75">
        <f ca="1">IFERROR(IF(Cost_Elements[[#This Row],[Row]]&gt;='Do Not Use or Delete'!$L$2, IF(Cost_Elements[[#This Row],[Row]]&lt;='Do Not Use or Delete'!$M$2,AH43*AI43,0),0)+IF(Cost_Elements[[#This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3" s="64"/>
      <c r="AN43" s="65"/>
      <c r="AO43" s="77">
        <f t="shared" si="0"/>
        <v>0</v>
      </c>
      <c r="AP43" s="78">
        <f t="shared" ca="1" si="1"/>
        <v>0</v>
      </c>
      <c r="AQ43" s="68">
        <f ca="1">ROW(Cost_Elements[[#This Row],[Amount | Total]])</f>
        <v>43</v>
      </c>
    </row>
    <row r="44" spans="1:43">
      <c r="A44" s="240" t="s">
        <v>165</v>
      </c>
      <c r="B44" s="275"/>
      <c r="C44" s="276"/>
      <c r="D44" s="71"/>
      <c r="E44" s="71"/>
      <c r="F44" s="71"/>
      <c r="G44" s="71"/>
      <c r="H44" s="72" t="str">
        <f ca="1">IFERROR(INDEX(Labor_Categories[Minimum Direct Labor Rates],MATCH(Cost_Elements[[#This Row],[Government Labor Category]],Labor_Categories[Labor Categories],0)),"")</f>
        <v/>
      </c>
      <c r="I44" s="73"/>
      <c r="J44" s="74"/>
      <c r="K44" s="75">
        <f ca="1">IFERROR(IF(Cost_Elements[[#This Row],[Row]]&gt;='Do Not Use or Delete'!$L$2, IF(Cost_Elements[[#This Row],[Row]]&lt;='Do Not Use or Delete'!$M$2,I44*J44,0),0)+IF(Cost_Elements[[#This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4" s="63"/>
      <c r="M44" s="63"/>
      <c r="N44" s="76">
        <f ca="1">IF(PRODUCT(Cost_Elements[[#This Row],[BLS or SCLS]]="BLS"),(Cost_Elements[[#This Row],[Rate | 1]]*$O$4)+Cost_Elements[[#This Row],[Rate | 1]],(Cost_Elements[[#This Row],[Rate | 1]]*$O$5)+Cost_Elements[[#This Row],[Rate | 1]])</f>
        <v>0</v>
      </c>
      <c r="O44" s="74"/>
      <c r="P44" s="75">
        <f ca="1">IFERROR(IF(Cost_Elements[[#This Row],[Row]]&gt;='Do Not Use or Delete'!$L$2, IF(Cost_Elements[[#This Row],[Row]]&lt;='Do Not Use or Delete'!$M$2,N44*O44,0),0)+IF(Cost_Elements[[#This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4" s="63"/>
      <c r="R44" s="63"/>
      <c r="S44" s="76">
        <f ca="1">IF(PRODUCT(Cost_Elements[[#This Row],[BLS or SCLS]]="BLS"),(Cost_Elements[[#This Row],[Rate | 2]]*$T$4)+Cost_Elements[[#This Row],[Rate | 2]],(Cost_Elements[[#This Row],[Rate | 2]]*$T$5)+Cost_Elements[[#This Row],[Rate | 2]])</f>
        <v>0</v>
      </c>
      <c r="T44" s="74"/>
      <c r="U44" s="75">
        <f ca="1">IFERROR(IF(Cost_Elements[[#This Row],[Row]]&gt;='Do Not Use or Delete'!$L$2, IF(Cost_Elements[[#This Row],[Row]]&lt;='Do Not Use or Delete'!$M$2,S44*T44,0),0)+IF(Cost_Elements[[#This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4" s="63"/>
      <c r="W44" s="63"/>
      <c r="X44" s="76">
        <f ca="1">IF(PRODUCT(Cost_Elements[[#This Row],[BLS or SCLS]]="BLS"),(Cost_Elements[[#This Row],[Rate | 3]]*$Y$4)+Cost_Elements[[#This Row],[Rate | 3]],(Cost_Elements[[#This Row],[Rate | 3]]*$Y$5)+Cost_Elements[[#This Row],[Rate | 3]])</f>
        <v>0</v>
      </c>
      <c r="Y44" s="74"/>
      <c r="Z44" s="75">
        <f ca="1">IFERROR(IF(Cost_Elements[[#This Row],[Row]]&gt;='Do Not Use or Delete'!$L$2, IF(Cost_Elements[[#This Row],[Row]]&lt;='Do Not Use or Delete'!$M$2,X44*Y44,0),0)+IF(Cost_Elements[[#This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4" s="63"/>
      <c r="AB44" s="63"/>
      <c r="AC44" s="76">
        <f ca="1">IF(PRODUCT(Cost_Elements[[#This Row],[BLS or SCLS]]="BLS"),(Cost_Elements[[#This Row],[Rate | 4]]*$AD$4)+Cost_Elements[[#This Row],[Rate | 4]],(Cost_Elements[[#This Row],[Rate | 4]]*$AD$5)+Cost_Elements[[#This Row],[Rate | 4]])</f>
        <v>0</v>
      </c>
      <c r="AD44" s="74"/>
      <c r="AE44" s="75">
        <f ca="1">IFERROR(IF(Cost_Elements[[#This Row],[Row]]&gt;='Do Not Use or Delete'!$L$2, IF(Cost_Elements[[#This Row],[Row]]&lt;='Do Not Use or Delete'!$M$2,AC44*AD44,0),0)+IF(Cost_Elements[[#This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4" s="64"/>
      <c r="AG44" s="65"/>
      <c r="AH44" s="76">
        <f ca="1">IF(PRODUCT(Cost_Elements[[#This Row],[BLS or SCLS]]="BLS"),(Cost_Elements[[#This Row],[Rate | 5]]*$AI$4)+Cost_Elements[[#This Row],[Rate | 5]],(Cost_Elements[[#This Row],[Rate | 5]]*$AI$5)+Cost_Elements[[#This Row],[Rate | 5]])</f>
        <v>0</v>
      </c>
      <c r="AI44" s="74"/>
      <c r="AJ44" s="458"/>
      <c r="AK44" s="458"/>
      <c r="AL44" s="75">
        <f ca="1">IFERROR(IF(Cost_Elements[[#This Row],[Row]]&gt;='Do Not Use or Delete'!$L$2, IF(Cost_Elements[[#This Row],[Row]]&lt;='Do Not Use or Delete'!$M$2,AH44*AI44,0),0)+IF(Cost_Elements[[#This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4" s="64"/>
      <c r="AN44" s="65"/>
      <c r="AO44" s="77">
        <f t="shared" si="0"/>
        <v>0</v>
      </c>
      <c r="AP44" s="78">
        <f t="shared" ca="1" si="1"/>
        <v>0</v>
      </c>
      <c r="AQ44" s="68">
        <f ca="1">ROW(Cost_Elements[[#This Row],[Amount | Total]])</f>
        <v>44</v>
      </c>
    </row>
    <row r="45" spans="1:43">
      <c r="A45" s="240" t="s">
        <v>165</v>
      </c>
      <c r="B45" s="275"/>
      <c r="C45" s="276"/>
      <c r="D45" s="71"/>
      <c r="E45" s="71"/>
      <c r="F45" s="71"/>
      <c r="G45" s="71"/>
      <c r="H45" s="72" t="str">
        <f ca="1">IFERROR(INDEX(Labor_Categories[Minimum Direct Labor Rates],MATCH(Cost_Elements[[#This Row],[Government Labor Category]],Labor_Categories[Labor Categories],0)),"")</f>
        <v/>
      </c>
      <c r="I45" s="73"/>
      <c r="J45" s="74"/>
      <c r="K45" s="75">
        <f ca="1">IFERROR(IF(Cost_Elements[[#This Row],[Row]]&gt;='Do Not Use or Delete'!$L$2, IF(Cost_Elements[[#This Row],[Row]]&lt;='Do Not Use or Delete'!$M$2,I45*J45,0),0)+IF(Cost_Elements[[#This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5" s="63"/>
      <c r="M45" s="63"/>
      <c r="N45" s="76">
        <f ca="1">IF(PRODUCT(Cost_Elements[[#This Row],[BLS or SCLS]]="BLS"),(Cost_Elements[[#This Row],[Rate | 1]]*$O$4)+Cost_Elements[[#This Row],[Rate | 1]],(Cost_Elements[[#This Row],[Rate | 1]]*$O$5)+Cost_Elements[[#This Row],[Rate | 1]])</f>
        <v>0</v>
      </c>
      <c r="O45" s="74"/>
      <c r="P45" s="75">
        <f ca="1">IFERROR(IF(Cost_Elements[[#This Row],[Row]]&gt;='Do Not Use or Delete'!$L$2, IF(Cost_Elements[[#This Row],[Row]]&lt;='Do Not Use or Delete'!$M$2,N45*O45,0),0)+IF(Cost_Elements[[#This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5" s="63"/>
      <c r="R45" s="63"/>
      <c r="S45" s="76">
        <f ca="1">IF(PRODUCT(Cost_Elements[[#This Row],[BLS or SCLS]]="BLS"),(Cost_Elements[[#This Row],[Rate | 2]]*$T$4)+Cost_Elements[[#This Row],[Rate | 2]],(Cost_Elements[[#This Row],[Rate | 2]]*$T$5)+Cost_Elements[[#This Row],[Rate | 2]])</f>
        <v>0</v>
      </c>
      <c r="T45" s="74"/>
      <c r="U45" s="75">
        <f ca="1">IFERROR(IF(Cost_Elements[[#This Row],[Row]]&gt;='Do Not Use or Delete'!$L$2, IF(Cost_Elements[[#This Row],[Row]]&lt;='Do Not Use or Delete'!$M$2,S45*T45,0),0)+IF(Cost_Elements[[#This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5" s="63"/>
      <c r="W45" s="63"/>
      <c r="X45" s="76">
        <f ca="1">IF(PRODUCT(Cost_Elements[[#This Row],[BLS or SCLS]]="BLS"),(Cost_Elements[[#This Row],[Rate | 3]]*$Y$4)+Cost_Elements[[#This Row],[Rate | 3]],(Cost_Elements[[#This Row],[Rate | 3]]*$Y$5)+Cost_Elements[[#This Row],[Rate | 3]])</f>
        <v>0</v>
      </c>
      <c r="Y45" s="74"/>
      <c r="Z45" s="75">
        <f ca="1">IFERROR(IF(Cost_Elements[[#This Row],[Row]]&gt;='Do Not Use or Delete'!$L$2, IF(Cost_Elements[[#This Row],[Row]]&lt;='Do Not Use or Delete'!$M$2,X45*Y45,0),0)+IF(Cost_Elements[[#This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5" s="63"/>
      <c r="AB45" s="63"/>
      <c r="AC45" s="76">
        <f ca="1">IF(PRODUCT(Cost_Elements[[#This Row],[BLS or SCLS]]="BLS"),(Cost_Elements[[#This Row],[Rate | 4]]*$AD$4)+Cost_Elements[[#This Row],[Rate | 4]],(Cost_Elements[[#This Row],[Rate | 4]]*$AD$5)+Cost_Elements[[#This Row],[Rate | 4]])</f>
        <v>0</v>
      </c>
      <c r="AD45" s="74"/>
      <c r="AE45" s="75">
        <f ca="1">IFERROR(IF(Cost_Elements[[#This Row],[Row]]&gt;='Do Not Use or Delete'!$L$2, IF(Cost_Elements[[#This Row],[Row]]&lt;='Do Not Use or Delete'!$M$2,AC45*AD45,0),0)+IF(Cost_Elements[[#This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5" s="64"/>
      <c r="AG45" s="65"/>
      <c r="AH45" s="76">
        <f ca="1">IF(PRODUCT(Cost_Elements[[#This Row],[BLS or SCLS]]="BLS"),(Cost_Elements[[#This Row],[Rate | 5]]*$AI$4)+Cost_Elements[[#This Row],[Rate | 5]],(Cost_Elements[[#This Row],[Rate | 5]]*$AI$5)+Cost_Elements[[#This Row],[Rate | 5]])</f>
        <v>0</v>
      </c>
      <c r="AI45" s="74"/>
      <c r="AJ45" s="458"/>
      <c r="AK45" s="458"/>
      <c r="AL45" s="75">
        <f ca="1">IFERROR(IF(Cost_Elements[[#This Row],[Row]]&gt;='Do Not Use or Delete'!$L$2, IF(Cost_Elements[[#This Row],[Row]]&lt;='Do Not Use or Delete'!$M$2,AH45*AI45,0),0)+IF(Cost_Elements[[#This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5" s="64"/>
      <c r="AN45" s="65"/>
      <c r="AO45" s="77">
        <f t="shared" si="0"/>
        <v>0</v>
      </c>
      <c r="AP45" s="78">
        <f t="shared" ca="1" si="1"/>
        <v>0</v>
      </c>
      <c r="AQ45" s="68">
        <f ca="1">ROW(Cost_Elements[[#This Row],[Amount | Total]])</f>
        <v>45</v>
      </c>
    </row>
    <row r="46" spans="1:43">
      <c r="A46" s="240" t="s">
        <v>165</v>
      </c>
      <c r="B46" s="275"/>
      <c r="C46" s="276"/>
      <c r="D46" s="71"/>
      <c r="E46" s="71"/>
      <c r="F46" s="71"/>
      <c r="G46" s="71"/>
      <c r="H46" s="72" t="str">
        <f ca="1">IFERROR(INDEX(Labor_Categories[Minimum Direct Labor Rates],MATCH(Cost_Elements[[#This Row],[Government Labor Category]],Labor_Categories[Labor Categories],0)),"")</f>
        <v/>
      </c>
      <c r="I46" s="73"/>
      <c r="J46" s="74"/>
      <c r="K46" s="75">
        <f ca="1">IFERROR(IF(Cost_Elements[[#This Row],[Row]]&gt;='Do Not Use or Delete'!$L$2, IF(Cost_Elements[[#This Row],[Row]]&lt;='Do Not Use or Delete'!$M$2,I46*J46,0),0)+IF(Cost_Elements[[#This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6" s="63"/>
      <c r="M46" s="63"/>
      <c r="N46" s="76">
        <f ca="1">IF(PRODUCT(Cost_Elements[[#This Row],[BLS or SCLS]]="BLS"),(Cost_Elements[[#This Row],[Rate | 1]]*$O$4)+Cost_Elements[[#This Row],[Rate | 1]],(Cost_Elements[[#This Row],[Rate | 1]]*$O$5)+Cost_Elements[[#This Row],[Rate | 1]])</f>
        <v>0</v>
      </c>
      <c r="O46" s="74"/>
      <c r="P46" s="75">
        <f ca="1">IFERROR(IF(Cost_Elements[[#This Row],[Row]]&gt;='Do Not Use or Delete'!$L$2, IF(Cost_Elements[[#This Row],[Row]]&lt;='Do Not Use or Delete'!$M$2,N46*O46,0),0)+IF(Cost_Elements[[#This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6" s="63"/>
      <c r="R46" s="63"/>
      <c r="S46" s="76">
        <f ca="1">IF(PRODUCT(Cost_Elements[[#This Row],[BLS or SCLS]]="BLS"),(Cost_Elements[[#This Row],[Rate | 2]]*$T$4)+Cost_Elements[[#This Row],[Rate | 2]],(Cost_Elements[[#This Row],[Rate | 2]]*$T$5)+Cost_Elements[[#This Row],[Rate | 2]])</f>
        <v>0</v>
      </c>
      <c r="T46" s="74"/>
      <c r="U46" s="75">
        <f ca="1">IFERROR(IF(Cost_Elements[[#This Row],[Row]]&gt;='Do Not Use or Delete'!$L$2, IF(Cost_Elements[[#This Row],[Row]]&lt;='Do Not Use or Delete'!$M$2,S46*T46,0),0)+IF(Cost_Elements[[#This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6" s="63"/>
      <c r="W46" s="63"/>
      <c r="X46" s="76">
        <f ca="1">IF(PRODUCT(Cost_Elements[[#This Row],[BLS or SCLS]]="BLS"),(Cost_Elements[[#This Row],[Rate | 3]]*$Y$4)+Cost_Elements[[#This Row],[Rate | 3]],(Cost_Elements[[#This Row],[Rate | 3]]*$Y$5)+Cost_Elements[[#This Row],[Rate | 3]])</f>
        <v>0</v>
      </c>
      <c r="Y46" s="74"/>
      <c r="Z46" s="75">
        <f ca="1">IFERROR(IF(Cost_Elements[[#This Row],[Row]]&gt;='Do Not Use or Delete'!$L$2, IF(Cost_Elements[[#This Row],[Row]]&lt;='Do Not Use or Delete'!$M$2,X46*Y46,0),0)+IF(Cost_Elements[[#This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6" s="63"/>
      <c r="AB46" s="63"/>
      <c r="AC46" s="76">
        <f ca="1">IF(PRODUCT(Cost_Elements[[#This Row],[BLS or SCLS]]="BLS"),(Cost_Elements[[#This Row],[Rate | 4]]*$AD$4)+Cost_Elements[[#This Row],[Rate | 4]],(Cost_Elements[[#This Row],[Rate | 4]]*$AD$5)+Cost_Elements[[#This Row],[Rate | 4]])</f>
        <v>0</v>
      </c>
      <c r="AD46" s="74"/>
      <c r="AE46" s="75">
        <f ca="1">IFERROR(IF(Cost_Elements[[#This Row],[Row]]&gt;='Do Not Use or Delete'!$L$2, IF(Cost_Elements[[#This Row],[Row]]&lt;='Do Not Use or Delete'!$M$2,AC46*AD46,0),0)+IF(Cost_Elements[[#This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6" s="64"/>
      <c r="AG46" s="65"/>
      <c r="AH46" s="76">
        <f ca="1">IF(PRODUCT(Cost_Elements[[#This Row],[BLS or SCLS]]="BLS"),(Cost_Elements[[#This Row],[Rate | 5]]*$AI$4)+Cost_Elements[[#This Row],[Rate | 5]],(Cost_Elements[[#This Row],[Rate | 5]]*$AI$5)+Cost_Elements[[#This Row],[Rate | 5]])</f>
        <v>0</v>
      </c>
      <c r="AI46" s="74"/>
      <c r="AJ46" s="458"/>
      <c r="AK46" s="458"/>
      <c r="AL46" s="75">
        <f ca="1">IFERROR(IF(Cost_Elements[[#This Row],[Row]]&gt;='Do Not Use or Delete'!$L$2, IF(Cost_Elements[[#This Row],[Row]]&lt;='Do Not Use or Delete'!$M$2,AH46*AI46,0),0)+IF(Cost_Elements[[#This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6" s="64"/>
      <c r="AN46" s="65"/>
      <c r="AO46" s="77">
        <f t="shared" si="0"/>
        <v>0</v>
      </c>
      <c r="AP46" s="78">
        <f t="shared" ca="1" si="1"/>
        <v>0</v>
      </c>
      <c r="AQ46" s="68">
        <f ca="1">ROW(Cost_Elements[[#This Row],[Amount | Total]])</f>
        <v>46</v>
      </c>
    </row>
    <row r="47" spans="1:43">
      <c r="A47" s="240" t="s">
        <v>165</v>
      </c>
      <c r="B47" s="275"/>
      <c r="C47" s="276"/>
      <c r="D47" s="71"/>
      <c r="E47" s="71"/>
      <c r="F47" s="71"/>
      <c r="G47" s="71"/>
      <c r="H47" s="72" t="str">
        <f ca="1">IFERROR(INDEX(Labor_Categories[Minimum Direct Labor Rates],MATCH(Cost_Elements[[#This Row],[Government Labor Category]],Labor_Categories[Labor Categories],0)),"")</f>
        <v/>
      </c>
      <c r="I47" s="73"/>
      <c r="J47" s="74"/>
      <c r="K47" s="75">
        <f ca="1">IFERROR(IF(Cost_Elements[[#This Row],[Row]]&gt;='Do Not Use or Delete'!$L$2, IF(Cost_Elements[[#This Row],[Row]]&lt;='Do Not Use or Delete'!$M$2,I47*J47,0),0)+IF(Cost_Elements[[#This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7" s="63"/>
      <c r="M47" s="63"/>
      <c r="N47" s="76">
        <f ca="1">IF(PRODUCT(Cost_Elements[[#This Row],[BLS or SCLS]]="BLS"),(Cost_Elements[[#This Row],[Rate | 1]]*$O$4)+Cost_Elements[[#This Row],[Rate | 1]],(Cost_Elements[[#This Row],[Rate | 1]]*$O$5)+Cost_Elements[[#This Row],[Rate | 1]])</f>
        <v>0</v>
      </c>
      <c r="O47" s="74"/>
      <c r="P47" s="75">
        <f ca="1">IFERROR(IF(Cost_Elements[[#This Row],[Row]]&gt;='Do Not Use or Delete'!$L$2, IF(Cost_Elements[[#This Row],[Row]]&lt;='Do Not Use or Delete'!$M$2,N47*O47,0),0)+IF(Cost_Elements[[#This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7" s="63"/>
      <c r="R47" s="63"/>
      <c r="S47" s="76">
        <f ca="1">IF(PRODUCT(Cost_Elements[[#This Row],[BLS or SCLS]]="BLS"),(Cost_Elements[[#This Row],[Rate | 2]]*$T$4)+Cost_Elements[[#This Row],[Rate | 2]],(Cost_Elements[[#This Row],[Rate | 2]]*$T$5)+Cost_Elements[[#This Row],[Rate | 2]])</f>
        <v>0</v>
      </c>
      <c r="T47" s="74"/>
      <c r="U47" s="75">
        <f ca="1">IFERROR(IF(Cost_Elements[[#This Row],[Row]]&gt;='Do Not Use or Delete'!$L$2, IF(Cost_Elements[[#This Row],[Row]]&lt;='Do Not Use or Delete'!$M$2,S47*T47,0),0)+IF(Cost_Elements[[#This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7" s="63"/>
      <c r="W47" s="63"/>
      <c r="X47" s="76">
        <f ca="1">IF(PRODUCT(Cost_Elements[[#This Row],[BLS or SCLS]]="BLS"),(Cost_Elements[[#This Row],[Rate | 3]]*$Y$4)+Cost_Elements[[#This Row],[Rate | 3]],(Cost_Elements[[#This Row],[Rate | 3]]*$Y$5)+Cost_Elements[[#This Row],[Rate | 3]])</f>
        <v>0</v>
      </c>
      <c r="Y47" s="74"/>
      <c r="Z47" s="75">
        <f ca="1">IFERROR(IF(Cost_Elements[[#This Row],[Row]]&gt;='Do Not Use or Delete'!$L$2, IF(Cost_Elements[[#This Row],[Row]]&lt;='Do Not Use or Delete'!$M$2,X47*Y47,0),0)+IF(Cost_Elements[[#This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7" s="63"/>
      <c r="AB47" s="63"/>
      <c r="AC47" s="76">
        <f ca="1">IF(PRODUCT(Cost_Elements[[#This Row],[BLS or SCLS]]="BLS"),(Cost_Elements[[#This Row],[Rate | 4]]*$AD$4)+Cost_Elements[[#This Row],[Rate | 4]],(Cost_Elements[[#This Row],[Rate | 4]]*$AD$5)+Cost_Elements[[#This Row],[Rate | 4]])</f>
        <v>0</v>
      </c>
      <c r="AD47" s="74"/>
      <c r="AE47" s="75">
        <f ca="1">IFERROR(IF(Cost_Elements[[#This Row],[Row]]&gt;='Do Not Use or Delete'!$L$2, IF(Cost_Elements[[#This Row],[Row]]&lt;='Do Not Use or Delete'!$M$2,AC47*AD47,0),0)+IF(Cost_Elements[[#This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7" s="64"/>
      <c r="AG47" s="65"/>
      <c r="AH47" s="76">
        <f ca="1">IF(PRODUCT(Cost_Elements[[#This Row],[BLS or SCLS]]="BLS"),(Cost_Elements[[#This Row],[Rate | 5]]*$AI$4)+Cost_Elements[[#This Row],[Rate | 5]],(Cost_Elements[[#This Row],[Rate | 5]]*$AI$5)+Cost_Elements[[#This Row],[Rate | 5]])</f>
        <v>0</v>
      </c>
      <c r="AI47" s="74"/>
      <c r="AJ47" s="458"/>
      <c r="AK47" s="458"/>
      <c r="AL47" s="75">
        <f ca="1">IFERROR(IF(Cost_Elements[[#This Row],[Row]]&gt;='Do Not Use or Delete'!$L$2, IF(Cost_Elements[[#This Row],[Row]]&lt;='Do Not Use or Delete'!$M$2,AH47*AI47,0),0)+IF(Cost_Elements[[#This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7" s="64"/>
      <c r="AN47" s="65"/>
      <c r="AO47" s="77">
        <f t="shared" si="0"/>
        <v>0</v>
      </c>
      <c r="AP47" s="78">
        <f t="shared" ca="1" si="1"/>
        <v>0</v>
      </c>
      <c r="AQ47" s="68">
        <f ca="1">ROW(Cost_Elements[[#This Row],[Amount | Total]])</f>
        <v>47</v>
      </c>
    </row>
    <row r="48" spans="1:43">
      <c r="A48" s="240" t="s">
        <v>165</v>
      </c>
      <c r="B48" s="275"/>
      <c r="C48" s="276"/>
      <c r="D48" s="71"/>
      <c r="E48" s="71"/>
      <c r="F48" s="71"/>
      <c r="G48" s="71"/>
      <c r="H48" s="72" t="str">
        <f ca="1">IFERROR(INDEX(Labor_Categories[Minimum Direct Labor Rates],MATCH(Cost_Elements[[#This Row],[Government Labor Category]],Labor_Categories[Labor Categories],0)),"")</f>
        <v/>
      </c>
      <c r="I48" s="73"/>
      <c r="J48" s="74"/>
      <c r="K48" s="75">
        <f ca="1">IFERROR(IF(Cost_Elements[[#This Row],[Row]]&gt;='Do Not Use or Delete'!$L$2, IF(Cost_Elements[[#This Row],[Row]]&lt;='Do Not Use or Delete'!$M$2,I48*J48,0),0)+IF(Cost_Elements[[#This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8" s="63"/>
      <c r="M48" s="63"/>
      <c r="N48" s="76">
        <f ca="1">IF(PRODUCT(Cost_Elements[[#This Row],[BLS or SCLS]]="BLS"),(Cost_Elements[[#This Row],[Rate | 1]]*$O$4)+Cost_Elements[[#This Row],[Rate | 1]],(Cost_Elements[[#This Row],[Rate | 1]]*$O$5)+Cost_Elements[[#This Row],[Rate | 1]])</f>
        <v>0</v>
      </c>
      <c r="O48" s="74"/>
      <c r="P48" s="75">
        <f ca="1">IFERROR(IF(Cost_Elements[[#This Row],[Row]]&gt;='Do Not Use or Delete'!$L$2, IF(Cost_Elements[[#This Row],[Row]]&lt;='Do Not Use or Delete'!$M$2,N48*O48,0),0)+IF(Cost_Elements[[#This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8" s="63"/>
      <c r="R48" s="63"/>
      <c r="S48" s="76">
        <f ca="1">IF(PRODUCT(Cost_Elements[[#This Row],[BLS or SCLS]]="BLS"),(Cost_Elements[[#This Row],[Rate | 2]]*$T$4)+Cost_Elements[[#This Row],[Rate | 2]],(Cost_Elements[[#This Row],[Rate | 2]]*$T$5)+Cost_Elements[[#This Row],[Rate | 2]])</f>
        <v>0</v>
      </c>
      <c r="T48" s="74"/>
      <c r="U48" s="75">
        <f ca="1">IFERROR(IF(Cost_Elements[[#This Row],[Row]]&gt;='Do Not Use or Delete'!$L$2, IF(Cost_Elements[[#This Row],[Row]]&lt;='Do Not Use or Delete'!$M$2,S48*T48,0),0)+IF(Cost_Elements[[#This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8" s="63"/>
      <c r="W48" s="63"/>
      <c r="X48" s="76">
        <f ca="1">IF(PRODUCT(Cost_Elements[[#This Row],[BLS or SCLS]]="BLS"),(Cost_Elements[[#This Row],[Rate | 3]]*$Y$4)+Cost_Elements[[#This Row],[Rate | 3]],(Cost_Elements[[#This Row],[Rate | 3]]*$Y$5)+Cost_Elements[[#This Row],[Rate | 3]])</f>
        <v>0</v>
      </c>
      <c r="Y48" s="74"/>
      <c r="Z48" s="75">
        <f ca="1">IFERROR(IF(Cost_Elements[[#This Row],[Row]]&gt;='Do Not Use or Delete'!$L$2, IF(Cost_Elements[[#This Row],[Row]]&lt;='Do Not Use or Delete'!$M$2,X48*Y48,0),0)+IF(Cost_Elements[[#This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8" s="63"/>
      <c r="AB48" s="63"/>
      <c r="AC48" s="76">
        <f ca="1">IF(PRODUCT(Cost_Elements[[#This Row],[BLS or SCLS]]="BLS"),(Cost_Elements[[#This Row],[Rate | 4]]*$AD$4)+Cost_Elements[[#This Row],[Rate | 4]],(Cost_Elements[[#This Row],[Rate | 4]]*$AD$5)+Cost_Elements[[#This Row],[Rate | 4]])</f>
        <v>0</v>
      </c>
      <c r="AD48" s="74"/>
      <c r="AE48" s="75">
        <f ca="1">IFERROR(IF(Cost_Elements[[#This Row],[Row]]&gt;='Do Not Use or Delete'!$L$2, IF(Cost_Elements[[#This Row],[Row]]&lt;='Do Not Use or Delete'!$M$2,AC48*AD48,0),0)+IF(Cost_Elements[[#This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8" s="64"/>
      <c r="AG48" s="65"/>
      <c r="AH48" s="76">
        <f ca="1">IF(PRODUCT(Cost_Elements[[#This Row],[BLS or SCLS]]="BLS"),(Cost_Elements[[#This Row],[Rate | 5]]*$AI$4)+Cost_Elements[[#This Row],[Rate | 5]],(Cost_Elements[[#This Row],[Rate | 5]]*$AI$5)+Cost_Elements[[#This Row],[Rate | 5]])</f>
        <v>0</v>
      </c>
      <c r="AI48" s="74"/>
      <c r="AJ48" s="458"/>
      <c r="AK48" s="458"/>
      <c r="AL48" s="75">
        <f ca="1">IFERROR(IF(Cost_Elements[[#This Row],[Row]]&gt;='Do Not Use or Delete'!$L$2, IF(Cost_Elements[[#This Row],[Row]]&lt;='Do Not Use or Delete'!$M$2,AH48*AI48,0),0)+IF(Cost_Elements[[#This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8" s="64"/>
      <c r="AN48" s="65"/>
      <c r="AO48" s="77">
        <f t="shared" si="0"/>
        <v>0</v>
      </c>
      <c r="AP48" s="78">
        <f t="shared" ca="1" si="1"/>
        <v>0</v>
      </c>
      <c r="AQ48" s="68">
        <f ca="1">ROW(Cost_Elements[[#This Row],[Amount | Total]])</f>
        <v>48</v>
      </c>
    </row>
    <row r="49" spans="1:43">
      <c r="A49" s="240" t="s">
        <v>165</v>
      </c>
      <c r="B49" s="275"/>
      <c r="C49" s="276"/>
      <c r="D49" s="71"/>
      <c r="E49" s="71"/>
      <c r="F49" s="71"/>
      <c r="G49" s="71"/>
      <c r="H49" s="72" t="str">
        <f ca="1">IFERROR(INDEX(Labor_Categories[Minimum Direct Labor Rates],MATCH(Cost_Elements[[#This Row],[Government Labor Category]],Labor_Categories[Labor Categories],0)),"")</f>
        <v/>
      </c>
      <c r="I49" s="73"/>
      <c r="J49" s="74"/>
      <c r="K49" s="75">
        <f ca="1">IFERROR(IF(Cost_Elements[[#This Row],[Row]]&gt;='Do Not Use or Delete'!$L$2, IF(Cost_Elements[[#This Row],[Row]]&lt;='Do Not Use or Delete'!$M$2,I49*J49,0),0)+IF(Cost_Elements[[#This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9" s="63"/>
      <c r="M49" s="63"/>
      <c r="N49" s="76">
        <f ca="1">IF(PRODUCT(Cost_Elements[[#This Row],[BLS or SCLS]]="BLS"),(Cost_Elements[[#This Row],[Rate | 1]]*$O$4)+Cost_Elements[[#This Row],[Rate | 1]],(Cost_Elements[[#This Row],[Rate | 1]]*$O$5)+Cost_Elements[[#This Row],[Rate | 1]])</f>
        <v>0</v>
      </c>
      <c r="O49" s="74"/>
      <c r="P49" s="75">
        <f ca="1">IFERROR(IF(Cost_Elements[[#This Row],[Row]]&gt;='Do Not Use or Delete'!$L$2, IF(Cost_Elements[[#This Row],[Row]]&lt;='Do Not Use or Delete'!$M$2,N49*O49,0),0)+IF(Cost_Elements[[#This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9" s="63"/>
      <c r="R49" s="63"/>
      <c r="S49" s="76">
        <f ca="1">IF(PRODUCT(Cost_Elements[[#This Row],[BLS or SCLS]]="BLS"),(Cost_Elements[[#This Row],[Rate | 2]]*$T$4)+Cost_Elements[[#This Row],[Rate | 2]],(Cost_Elements[[#This Row],[Rate | 2]]*$T$5)+Cost_Elements[[#This Row],[Rate | 2]])</f>
        <v>0</v>
      </c>
      <c r="T49" s="74"/>
      <c r="U49" s="75">
        <f ca="1">IFERROR(IF(Cost_Elements[[#This Row],[Row]]&gt;='Do Not Use or Delete'!$L$2, IF(Cost_Elements[[#This Row],[Row]]&lt;='Do Not Use or Delete'!$M$2,S49*T49,0),0)+IF(Cost_Elements[[#This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9" s="63"/>
      <c r="W49" s="63"/>
      <c r="X49" s="76">
        <f ca="1">IF(PRODUCT(Cost_Elements[[#This Row],[BLS or SCLS]]="BLS"),(Cost_Elements[[#This Row],[Rate | 3]]*$Y$4)+Cost_Elements[[#This Row],[Rate | 3]],(Cost_Elements[[#This Row],[Rate | 3]]*$Y$5)+Cost_Elements[[#This Row],[Rate | 3]])</f>
        <v>0</v>
      </c>
      <c r="Y49" s="74"/>
      <c r="Z49" s="75">
        <f ca="1">IFERROR(IF(Cost_Elements[[#This Row],[Row]]&gt;='Do Not Use or Delete'!$L$2, IF(Cost_Elements[[#This Row],[Row]]&lt;='Do Not Use or Delete'!$M$2,X49*Y49,0),0)+IF(Cost_Elements[[#This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9" s="63"/>
      <c r="AB49" s="63"/>
      <c r="AC49" s="76">
        <f ca="1">IF(PRODUCT(Cost_Elements[[#This Row],[BLS or SCLS]]="BLS"),(Cost_Elements[[#This Row],[Rate | 4]]*$AD$4)+Cost_Elements[[#This Row],[Rate | 4]],(Cost_Elements[[#This Row],[Rate | 4]]*$AD$5)+Cost_Elements[[#This Row],[Rate | 4]])</f>
        <v>0</v>
      </c>
      <c r="AD49" s="74"/>
      <c r="AE49" s="75">
        <f ca="1">IFERROR(IF(Cost_Elements[[#This Row],[Row]]&gt;='Do Not Use or Delete'!$L$2, IF(Cost_Elements[[#This Row],[Row]]&lt;='Do Not Use or Delete'!$M$2,AC49*AD49,0),0)+IF(Cost_Elements[[#This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9" s="64"/>
      <c r="AG49" s="65"/>
      <c r="AH49" s="76">
        <f ca="1">IF(PRODUCT(Cost_Elements[[#This Row],[BLS or SCLS]]="BLS"),(Cost_Elements[[#This Row],[Rate | 5]]*$AI$4)+Cost_Elements[[#This Row],[Rate | 5]],(Cost_Elements[[#This Row],[Rate | 5]]*$AI$5)+Cost_Elements[[#This Row],[Rate | 5]])</f>
        <v>0</v>
      </c>
      <c r="AI49" s="74"/>
      <c r="AJ49" s="458"/>
      <c r="AK49" s="458"/>
      <c r="AL49" s="75">
        <f ca="1">IFERROR(IF(Cost_Elements[[#This Row],[Row]]&gt;='Do Not Use or Delete'!$L$2, IF(Cost_Elements[[#This Row],[Row]]&lt;='Do Not Use or Delete'!$M$2,AH49*AI49,0),0)+IF(Cost_Elements[[#This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9" s="64"/>
      <c r="AN49" s="65"/>
      <c r="AO49" s="77">
        <f t="shared" si="0"/>
        <v>0</v>
      </c>
      <c r="AP49" s="78">
        <f t="shared" ca="1" si="1"/>
        <v>0</v>
      </c>
      <c r="AQ49" s="68">
        <f ca="1">ROW(Cost_Elements[[#This Row],[Amount | Total]])</f>
        <v>49</v>
      </c>
    </row>
    <row r="50" spans="1:43">
      <c r="A50" s="240" t="s">
        <v>165</v>
      </c>
      <c r="B50" s="275"/>
      <c r="C50" s="276"/>
      <c r="D50" s="71"/>
      <c r="E50" s="71"/>
      <c r="F50" s="71"/>
      <c r="G50" s="71"/>
      <c r="H50" s="72" t="str">
        <f ca="1">IFERROR(INDEX(Labor_Categories[Minimum Direct Labor Rates],MATCH(Cost_Elements[[#This Row],[Government Labor Category]],Labor_Categories[Labor Categories],0)),"")</f>
        <v/>
      </c>
      <c r="I50" s="73"/>
      <c r="J50" s="74"/>
      <c r="K50" s="75">
        <f ca="1">IFERROR(IF(Cost_Elements[[#This Row],[Row]]&gt;='Do Not Use or Delete'!$L$2, IF(Cost_Elements[[#This Row],[Row]]&lt;='Do Not Use or Delete'!$M$2,I50*J50,0),0)+IF(Cost_Elements[[#This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0" s="63"/>
      <c r="M50" s="63"/>
      <c r="N50" s="76">
        <f ca="1">IF(PRODUCT(Cost_Elements[[#This Row],[BLS or SCLS]]="BLS"),(Cost_Elements[[#This Row],[Rate | 1]]*$O$4)+Cost_Elements[[#This Row],[Rate | 1]],(Cost_Elements[[#This Row],[Rate | 1]]*$O$5)+Cost_Elements[[#This Row],[Rate | 1]])</f>
        <v>0</v>
      </c>
      <c r="O50" s="74"/>
      <c r="P50" s="75">
        <f ca="1">IFERROR(IF(Cost_Elements[[#This Row],[Row]]&gt;='Do Not Use or Delete'!$L$2, IF(Cost_Elements[[#This Row],[Row]]&lt;='Do Not Use or Delete'!$M$2,N50*O50,0),0)+IF(Cost_Elements[[#This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0" s="63"/>
      <c r="R50" s="63"/>
      <c r="S50" s="76">
        <f ca="1">IF(PRODUCT(Cost_Elements[[#This Row],[BLS or SCLS]]="BLS"),(Cost_Elements[[#This Row],[Rate | 2]]*$T$4)+Cost_Elements[[#This Row],[Rate | 2]],(Cost_Elements[[#This Row],[Rate | 2]]*$T$5)+Cost_Elements[[#This Row],[Rate | 2]])</f>
        <v>0</v>
      </c>
      <c r="T50" s="74"/>
      <c r="U50" s="75">
        <f ca="1">IFERROR(IF(Cost_Elements[[#This Row],[Row]]&gt;='Do Not Use or Delete'!$L$2, IF(Cost_Elements[[#This Row],[Row]]&lt;='Do Not Use or Delete'!$M$2,S50*T50,0),0)+IF(Cost_Elements[[#This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0" s="63"/>
      <c r="W50" s="63"/>
      <c r="X50" s="76">
        <f ca="1">IF(PRODUCT(Cost_Elements[[#This Row],[BLS or SCLS]]="BLS"),(Cost_Elements[[#This Row],[Rate | 3]]*$Y$4)+Cost_Elements[[#This Row],[Rate | 3]],(Cost_Elements[[#This Row],[Rate | 3]]*$Y$5)+Cost_Elements[[#This Row],[Rate | 3]])</f>
        <v>0</v>
      </c>
      <c r="Y50" s="74"/>
      <c r="Z50" s="75">
        <f ca="1">IFERROR(IF(Cost_Elements[[#This Row],[Row]]&gt;='Do Not Use or Delete'!$L$2, IF(Cost_Elements[[#This Row],[Row]]&lt;='Do Not Use or Delete'!$M$2,X50*Y50,0),0)+IF(Cost_Elements[[#This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0" s="63"/>
      <c r="AB50" s="63"/>
      <c r="AC50" s="76">
        <f ca="1">IF(PRODUCT(Cost_Elements[[#This Row],[BLS or SCLS]]="BLS"),(Cost_Elements[[#This Row],[Rate | 4]]*$AD$4)+Cost_Elements[[#This Row],[Rate | 4]],(Cost_Elements[[#This Row],[Rate | 4]]*$AD$5)+Cost_Elements[[#This Row],[Rate | 4]])</f>
        <v>0</v>
      </c>
      <c r="AD50" s="74"/>
      <c r="AE50" s="75">
        <f ca="1">IFERROR(IF(Cost_Elements[[#This Row],[Row]]&gt;='Do Not Use or Delete'!$L$2, IF(Cost_Elements[[#This Row],[Row]]&lt;='Do Not Use or Delete'!$M$2,AC50*AD50,0),0)+IF(Cost_Elements[[#This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0" s="64"/>
      <c r="AG50" s="65"/>
      <c r="AH50" s="76">
        <f ca="1">IF(PRODUCT(Cost_Elements[[#This Row],[BLS or SCLS]]="BLS"),(Cost_Elements[[#This Row],[Rate | 5]]*$AI$4)+Cost_Elements[[#This Row],[Rate | 5]],(Cost_Elements[[#This Row],[Rate | 5]]*$AI$5)+Cost_Elements[[#This Row],[Rate | 5]])</f>
        <v>0</v>
      </c>
      <c r="AI50" s="74"/>
      <c r="AJ50" s="458"/>
      <c r="AK50" s="458"/>
      <c r="AL50" s="75">
        <f ca="1">IFERROR(IF(Cost_Elements[[#This Row],[Row]]&gt;='Do Not Use or Delete'!$L$2, IF(Cost_Elements[[#This Row],[Row]]&lt;='Do Not Use or Delete'!$M$2,AH50*AI50,0),0)+IF(Cost_Elements[[#This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0" s="64"/>
      <c r="AN50" s="65"/>
      <c r="AO50" s="77">
        <f t="shared" si="0"/>
        <v>0</v>
      </c>
      <c r="AP50" s="78">
        <f t="shared" ca="1" si="1"/>
        <v>0</v>
      </c>
      <c r="AQ50" s="68">
        <f ca="1">ROW(Cost_Elements[[#This Row],[Amount | Total]])</f>
        <v>50</v>
      </c>
    </row>
    <row r="51" spans="1:43">
      <c r="A51" s="240" t="s">
        <v>165</v>
      </c>
      <c r="B51" s="275"/>
      <c r="C51" s="276"/>
      <c r="D51" s="71"/>
      <c r="E51" s="71"/>
      <c r="F51" s="71"/>
      <c r="G51" s="71"/>
      <c r="H51" s="72" t="str">
        <f ca="1">IFERROR(INDEX(Labor_Categories[Minimum Direct Labor Rates],MATCH(Cost_Elements[[#This Row],[Government Labor Category]],Labor_Categories[Labor Categories],0)),"")</f>
        <v/>
      </c>
      <c r="I51" s="73"/>
      <c r="J51" s="74"/>
      <c r="K51" s="75">
        <f ca="1">IFERROR(IF(Cost_Elements[[#This Row],[Row]]&gt;='Do Not Use or Delete'!$L$2, IF(Cost_Elements[[#This Row],[Row]]&lt;='Do Not Use or Delete'!$M$2,I51*J51,0),0)+IF(Cost_Elements[[#This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1" s="63"/>
      <c r="M51" s="63"/>
      <c r="N51" s="76">
        <f ca="1">IF(PRODUCT(Cost_Elements[[#This Row],[BLS or SCLS]]="BLS"),(Cost_Elements[[#This Row],[Rate | 1]]*$O$4)+Cost_Elements[[#This Row],[Rate | 1]],(Cost_Elements[[#This Row],[Rate | 1]]*$O$5)+Cost_Elements[[#This Row],[Rate | 1]])</f>
        <v>0</v>
      </c>
      <c r="O51" s="74"/>
      <c r="P51" s="75">
        <f ca="1">IFERROR(IF(Cost_Elements[[#This Row],[Row]]&gt;='Do Not Use or Delete'!$L$2, IF(Cost_Elements[[#This Row],[Row]]&lt;='Do Not Use or Delete'!$M$2,N51*O51,0),0)+IF(Cost_Elements[[#This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1" s="63"/>
      <c r="R51" s="63"/>
      <c r="S51" s="76">
        <f ca="1">IF(PRODUCT(Cost_Elements[[#This Row],[BLS or SCLS]]="BLS"),(Cost_Elements[[#This Row],[Rate | 2]]*$T$4)+Cost_Elements[[#This Row],[Rate | 2]],(Cost_Elements[[#This Row],[Rate | 2]]*$T$5)+Cost_Elements[[#This Row],[Rate | 2]])</f>
        <v>0</v>
      </c>
      <c r="T51" s="74"/>
      <c r="U51" s="75">
        <f ca="1">IFERROR(IF(Cost_Elements[[#This Row],[Row]]&gt;='Do Not Use or Delete'!$L$2, IF(Cost_Elements[[#This Row],[Row]]&lt;='Do Not Use or Delete'!$M$2,S51*T51,0),0)+IF(Cost_Elements[[#This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1" s="63"/>
      <c r="W51" s="63"/>
      <c r="X51" s="76">
        <f ca="1">IF(PRODUCT(Cost_Elements[[#This Row],[BLS or SCLS]]="BLS"),(Cost_Elements[[#This Row],[Rate | 3]]*$Y$4)+Cost_Elements[[#This Row],[Rate | 3]],(Cost_Elements[[#This Row],[Rate | 3]]*$Y$5)+Cost_Elements[[#This Row],[Rate | 3]])</f>
        <v>0</v>
      </c>
      <c r="Y51" s="74"/>
      <c r="Z51" s="75">
        <f ca="1">IFERROR(IF(Cost_Elements[[#This Row],[Row]]&gt;='Do Not Use or Delete'!$L$2, IF(Cost_Elements[[#This Row],[Row]]&lt;='Do Not Use or Delete'!$M$2,X51*Y51,0),0)+IF(Cost_Elements[[#This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1" s="63"/>
      <c r="AB51" s="63"/>
      <c r="AC51" s="76">
        <f ca="1">IF(PRODUCT(Cost_Elements[[#This Row],[BLS or SCLS]]="BLS"),(Cost_Elements[[#This Row],[Rate | 4]]*$AD$4)+Cost_Elements[[#This Row],[Rate | 4]],(Cost_Elements[[#This Row],[Rate | 4]]*$AD$5)+Cost_Elements[[#This Row],[Rate | 4]])</f>
        <v>0</v>
      </c>
      <c r="AD51" s="74"/>
      <c r="AE51" s="75">
        <f ca="1">IFERROR(IF(Cost_Elements[[#This Row],[Row]]&gt;='Do Not Use or Delete'!$L$2, IF(Cost_Elements[[#This Row],[Row]]&lt;='Do Not Use or Delete'!$M$2,AC51*AD51,0),0)+IF(Cost_Elements[[#This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1" s="64"/>
      <c r="AG51" s="65"/>
      <c r="AH51" s="76">
        <f ca="1">IF(PRODUCT(Cost_Elements[[#This Row],[BLS or SCLS]]="BLS"),(Cost_Elements[[#This Row],[Rate | 5]]*$AI$4)+Cost_Elements[[#This Row],[Rate | 5]],(Cost_Elements[[#This Row],[Rate | 5]]*$AI$5)+Cost_Elements[[#This Row],[Rate | 5]])</f>
        <v>0</v>
      </c>
      <c r="AI51" s="74"/>
      <c r="AJ51" s="458"/>
      <c r="AK51" s="458"/>
      <c r="AL51" s="75">
        <f ca="1">IFERROR(IF(Cost_Elements[[#This Row],[Row]]&gt;='Do Not Use or Delete'!$L$2, IF(Cost_Elements[[#This Row],[Row]]&lt;='Do Not Use or Delete'!$M$2,AH51*AI51,0),0)+IF(Cost_Elements[[#This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1" s="64"/>
      <c r="AN51" s="65"/>
      <c r="AO51" s="77">
        <f t="shared" si="0"/>
        <v>0</v>
      </c>
      <c r="AP51" s="78">
        <f t="shared" ca="1" si="1"/>
        <v>0</v>
      </c>
      <c r="AQ51" s="68">
        <f ca="1">ROW(Cost_Elements[[#This Row],[Amount | Total]])</f>
        <v>51</v>
      </c>
    </row>
    <row r="52" spans="1:43">
      <c r="A52" s="240" t="s">
        <v>165</v>
      </c>
      <c r="B52" s="275"/>
      <c r="C52" s="276"/>
      <c r="D52" s="71"/>
      <c r="E52" s="71"/>
      <c r="F52" s="71"/>
      <c r="G52" s="71"/>
      <c r="H52" s="72" t="str">
        <f ca="1">IFERROR(INDEX(Labor_Categories[Minimum Direct Labor Rates],MATCH(Cost_Elements[[#This Row],[Government Labor Category]],Labor_Categories[Labor Categories],0)),"")</f>
        <v/>
      </c>
      <c r="I52" s="73"/>
      <c r="J52" s="74"/>
      <c r="K52" s="75">
        <f ca="1">IFERROR(IF(Cost_Elements[[#This Row],[Row]]&gt;='Do Not Use or Delete'!$L$2, IF(Cost_Elements[[#This Row],[Row]]&lt;='Do Not Use or Delete'!$M$2,I52*J52,0),0)+IF(Cost_Elements[[#This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2" s="63"/>
      <c r="M52" s="63"/>
      <c r="N52" s="76">
        <f ca="1">IF(PRODUCT(Cost_Elements[[#This Row],[BLS or SCLS]]="BLS"),(Cost_Elements[[#This Row],[Rate | 1]]*$O$4)+Cost_Elements[[#This Row],[Rate | 1]],(Cost_Elements[[#This Row],[Rate | 1]]*$O$5)+Cost_Elements[[#This Row],[Rate | 1]])</f>
        <v>0</v>
      </c>
      <c r="O52" s="74"/>
      <c r="P52" s="75">
        <f ca="1">IFERROR(IF(Cost_Elements[[#This Row],[Row]]&gt;='Do Not Use or Delete'!$L$2, IF(Cost_Elements[[#This Row],[Row]]&lt;='Do Not Use or Delete'!$M$2,N52*O52,0),0)+IF(Cost_Elements[[#This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2" s="63"/>
      <c r="R52" s="63"/>
      <c r="S52" s="76">
        <f ca="1">IF(PRODUCT(Cost_Elements[[#This Row],[BLS or SCLS]]="BLS"),(Cost_Elements[[#This Row],[Rate | 2]]*$T$4)+Cost_Elements[[#This Row],[Rate | 2]],(Cost_Elements[[#This Row],[Rate | 2]]*$T$5)+Cost_Elements[[#This Row],[Rate | 2]])</f>
        <v>0</v>
      </c>
      <c r="T52" s="74"/>
      <c r="U52" s="75">
        <f ca="1">IFERROR(IF(Cost_Elements[[#This Row],[Row]]&gt;='Do Not Use or Delete'!$L$2, IF(Cost_Elements[[#This Row],[Row]]&lt;='Do Not Use or Delete'!$M$2,S52*T52,0),0)+IF(Cost_Elements[[#This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2" s="63"/>
      <c r="W52" s="63"/>
      <c r="X52" s="76">
        <f ca="1">IF(PRODUCT(Cost_Elements[[#This Row],[BLS or SCLS]]="BLS"),(Cost_Elements[[#This Row],[Rate | 3]]*$Y$4)+Cost_Elements[[#This Row],[Rate | 3]],(Cost_Elements[[#This Row],[Rate | 3]]*$Y$5)+Cost_Elements[[#This Row],[Rate | 3]])</f>
        <v>0</v>
      </c>
      <c r="Y52" s="74"/>
      <c r="Z52" s="75">
        <f ca="1">IFERROR(IF(Cost_Elements[[#This Row],[Row]]&gt;='Do Not Use or Delete'!$L$2, IF(Cost_Elements[[#This Row],[Row]]&lt;='Do Not Use or Delete'!$M$2,X52*Y52,0),0)+IF(Cost_Elements[[#This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2" s="63"/>
      <c r="AB52" s="63"/>
      <c r="AC52" s="76">
        <f ca="1">IF(PRODUCT(Cost_Elements[[#This Row],[BLS or SCLS]]="BLS"),(Cost_Elements[[#This Row],[Rate | 4]]*$AD$4)+Cost_Elements[[#This Row],[Rate | 4]],(Cost_Elements[[#This Row],[Rate | 4]]*$AD$5)+Cost_Elements[[#This Row],[Rate | 4]])</f>
        <v>0</v>
      </c>
      <c r="AD52" s="74"/>
      <c r="AE52" s="75">
        <f ca="1">IFERROR(IF(Cost_Elements[[#This Row],[Row]]&gt;='Do Not Use or Delete'!$L$2, IF(Cost_Elements[[#This Row],[Row]]&lt;='Do Not Use or Delete'!$M$2,AC52*AD52,0),0)+IF(Cost_Elements[[#This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2" s="64"/>
      <c r="AG52" s="65"/>
      <c r="AH52" s="76">
        <f ca="1">IF(PRODUCT(Cost_Elements[[#This Row],[BLS or SCLS]]="BLS"),(Cost_Elements[[#This Row],[Rate | 5]]*$AI$4)+Cost_Elements[[#This Row],[Rate | 5]],(Cost_Elements[[#This Row],[Rate | 5]]*$AI$5)+Cost_Elements[[#This Row],[Rate | 5]])</f>
        <v>0</v>
      </c>
      <c r="AI52" s="74"/>
      <c r="AJ52" s="458"/>
      <c r="AK52" s="458"/>
      <c r="AL52" s="75">
        <f ca="1">IFERROR(IF(Cost_Elements[[#This Row],[Row]]&gt;='Do Not Use or Delete'!$L$2, IF(Cost_Elements[[#This Row],[Row]]&lt;='Do Not Use or Delete'!$M$2,AH52*AI52,0),0)+IF(Cost_Elements[[#This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2" s="64"/>
      <c r="AN52" s="65"/>
      <c r="AO52" s="77">
        <f t="shared" si="0"/>
        <v>0</v>
      </c>
      <c r="AP52" s="78">
        <f t="shared" ca="1" si="1"/>
        <v>0</v>
      </c>
      <c r="AQ52" s="68">
        <f ca="1">ROW(Cost_Elements[[#This Row],[Amount | Total]])</f>
        <v>52</v>
      </c>
    </row>
    <row r="53" spans="1:43">
      <c r="A53" s="240" t="s">
        <v>165</v>
      </c>
      <c r="B53" s="275"/>
      <c r="C53" s="276"/>
      <c r="D53" s="71"/>
      <c r="E53" s="71"/>
      <c r="F53" s="71"/>
      <c r="G53" s="71"/>
      <c r="H53" s="72" t="str">
        <f ca="1">IFERROR(INDEX(Labor_Categories[Minimum Direct Labor Rates],MATCH(Cost_Elements[[#This Row],[Government Labor Category]],Labor_Categories[Labor Categories],0)),"")</f>
        <v/>
      </c>
      <c r="I53" s="73"/>
      <c r="J53" s="74"/>
      <c r="K53" s="75">
        <f ca="1">IFERROR(IF(Cost_Elements[[#This Row],[Row]]&gt;='Do Not Use or Delete'!$L$2, IF(Cost_Elements[[#This Row],[Row]]&lt;='Do Not Use or Delete'!$M$2,I53*J53,0),0)+IF(Cost_Elements[[#This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3" s="63"/>
      <c r="M53" s="63"/>
      <c r="N53" s="76">
        <f ca="1">IF(PRODUCT(Cost_Elements[[#This Row],[BLS or SCLS]]="BLS"),(Cost_Elements[[#This Row],[Rate | 1]]*$O$4)+Cost_Elements[[#This Row],[Rate | 1]],(Cost_Elements[[#This Row],[Rate | 1]]*$O$5)+Cost_Elements[[#This Row],[Rate | 1]])</f>
        <v>0</v>
      </c>
      <c r="O53" s="74"/>
      <c r="P53" s="75">
        <f ca="1">IFERROR(IF(Cost_Elements[[#This Row],[Row]]&gt;='Do Not Use or Delete'!$L$2, IF(Cost_Elements[[#This Row],[Row]]&lt;='Do Not Use or Delete'!$M$2,N53*O53,0),0)+IF(Cost_Elements[[#This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3" s="63"/>
      <c r="R53" s="63"/>
      <c r="S53" s="76">
        <f ca="1">IF(PRODUCT(Cost_Elements[[#This Row],[BLS or SCLS]]="BLS"),(Cost_Elements[[#This Row],[Rate | 2]]*$T$4)+Cost_Elements[[#This Row],[Rate | 2]],(Cost_Elements[[#This Row],[Rate | 2]]*$T$5)+Cost_Elements[[#This Row],[Rate | 2]])</f>
        <v>0</v>
      </c>
      <c r="T53" s="74"/>
      <c r="U53" s="75">
        <f ca="1">IFERROR(IF(Cost_Elements[[#This Row],[Row]]&gt;='Do Not Use or Delete'!$L$2, IF(Cost_Elements[[#This Row],[Row]]&lt;='Do Not Use or Delete'!$M$2,S53*T53,0),0)+IF(Cost_Elements[[#This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3" s="63"/>
      <c r="W53" s="63"/>
      <c r="X53" s="76">
        <f ca="1">IF(PRODUCT(Cost_Elements[[#This Row],[BLS or SCLS]]="BLS"),(Cost_Elements[[#This Row],[Rate | 3]]*$Y$4)+Cost_Elements[[#This Row],[Rate | 3]],(Cost_Elements[[#This Row],[Rate | 3]]*$Y$5)+Cost_Elements[[#This Row],[Rate | 3]])</f>
        <v>0</v>
      </c>
      <c r="Y53" s="74"/>
      <c r="Z53" s="75">
        <f ca="1">IFERROR(IF(Cost_Elements[[#This Row],[Row]]&gt;='Do Not Use or Delete'!$L$2, IF(Cost_Elements[[#This Row],[Row]]&lt;='Do Not Use or Delete'!$M$2,X53*Y53,0),0)+IF(Cost_Elements[[#This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3" s="63"/>
      <c r="AB53" s="63"/>
      <c r="AC53" s="76">
        <f ca="1">IF(PRODUCT(Cost_Elements[[#This Row],[BLS or SCLS]]="BLS"),(Cost_Elements[[#This Row],[Rate | 4]]*$AD$4)+Cost_Elements[[#This Row],[Rate | 4]],(Cost_Elements[[#This Row],[Rate | 4]]*$AD$5)+Cost_Elements[[#This Row],[Rate | 4]])</f>
        <v>0</v>
      </c>
      <c r="AD53" s="74"/>
      <c r="AE53" s="75">
        <f ca="1">IFERROR(IF(Cost_Elements[[#This Row],[Row]]&gt;='Do Not Use or Delete'!$L$2, IF(Cost_Elements[[#This Row],[Row]]&lt;='Do Not Use or Delete'!$M$2,AC53*AD53,0),0)+IF(Cost_Elements[[#This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3" s="64"/>
      <c r="AG53" s="65"/>
      <c r="AH53" s="76">
        <f ca="1">IF(PRODUCT(Cost_Elements[[#This Row],[BLS or SCLS]]="BLS"),(Cost_Elements[[#This Row],[Rate | 5]]*$AI$4)+Cost_Elements[[#This Row],[Rate | 5]],(Cost_Elements[[#This Row],[Rate | 5]]*$AI$5)+Cost_Elements[[#This Row],[Rate | 5]])</f>
        <v>0</v>
      </c>
      <c r="AI53" s="74"/>
      <c r="AJ53" s="458"/>
      <c r="AK53" s="458"/>
      <c r="AL53" s="75">
        <f ca="1">IFERROR(IF(Cost_Elements[[#This Row],[Row]]&gt;='Do Not Use or Delete'!$L$2, IF(Cost_Elements[[#This Row],[Row]]&lt;='Do Not Use or Delete'!$M$2,AH53*AI53,0),0)+IF(Cost_Elements[[#This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3" s="64"/>
      <c r="AN53" s="65"/>
      <c r="AO53" s="77">
        <f t="shared" si="0"/>
        <v>0</v>
      </c>
      <c r="AP53" s="78">
        <f t="shared" ca="1" si="1"/>
        <v>0</v>
      </c>
      <c r="AQ53" s="68">
        <f ca="1">ROW(Cost_Elements[[#This Row],[Amount | Total]])</f>
        <v>53</v>
      </c>
    </row>
    <row r="54" spans="1:43">
      <c r="A54" s="240" t="s">
        <v>165</v>
      </c>
      <c r="B54" s="275"/>
      <c r="C54" s="276"/>
      <c r="D54" s="71"/>
      <c r="E54" s="71"/>
      <c r="F54" s="71"/>
      <c r="G54" s="71"/>
      <c r="H54" s="72" t="str">
        <f ca="1">IFERROR(INDEX(Labor_Categories[Minimum Direct Labor Rates],MATCH(Cost_Elements[[#This Row],[Government Labor Category]],Labor_Categories[Labor Categories],0)),"")</f>
        <v/>
      </c>
      <c r="I54" s="73"/>
      <c r="J54" s="450"/>
      <c r="K54" s="75">
        <f ca="1">IFERROR(IF(Cost_Elements[[#This Row],[Row]]&gt;='Do Not Use or Delete'!$L$2, IF(Cost_Elements[[#This Row],[Row]]&lt;='Do Not Use or Delete'!$M$2,I54*J54,0),0)+IF(Cost_Elements[[#This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4" s="63"/>
      <c r="M54" s="63"/>
      <c r="N54" s="76">
        <f ca="1">IF(PRODUCT(Cost_Elements[[#This Row],[BLS or SCLS]]="BLS"),(Cost_Elements[[#This Row],[Rate | 1]]*$O$4)+Cost_Elements[[#This Row],[Rate | 1]],(Cost_Elements[[#This Row],[Rate | 1]]*$O$5)+Cost_Elements[[#This Row],[Rate | 1]])</f>
        <v>0</v>
      </c>
      <c r="O54" s="452"/>
      <c r="P54" s="75">
        <f ca="1">IFERROR(IF(Cost_Elements[[#This Row],[Row]]&gt;='Do Not Use or Delete'!$L$2, IF(Cost_Elements[[#This Row],[Row]]&lt;='Do Not Use or Delete'!$M$2,N54*O54,0),0)+IF(Cost_Elements[[#This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4" s="63"/>
      <c r="R54" s="63"/>
      <c r="S54" s="76">
        <f ca="1">IF(PRODUCT(Cost_Elements[[#This Row],[BLS or SCLS]]="BLS"),(Cost_Elements[[#This Row],[Rate | 2]]*$T$4)+Cost_Elements[[#This Row],[Rate | 2]],(Cost_Elements[[#This Row],[Rate | 2]]*$T$5)+Cost_Elements[[#This Row],[Rate | 2]])</f>
        <v>0</v>
      </c>
      <c r="T54" s="450"/>
      <c r="U54" s="75">
        <f ca="1">IFERROR(IF(Cost_Elements[[#This Row],[Row]]&gt;='Do Not Use or Delete'!$L$2, IF(Cost_Elements[[#This Row],[Row]]&lt;='Do Not Use or Delete'!$M$2,S54*T54,0),0)+IF(Cost_Elements[[#This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4" s="63"/>
      <c r="W54" s="63"/>
      <c r="X54" s="76">
        <f ca="1">IF(PRODUCT(Cost_Elements[[#This Row],[BLS or SCLS]]="BLS"),(Cost_Elements[[#This Row],[Rate | 3]]*$Y$4)+Cost_Elements[[#This Row],[Rate | 3]],(Cost_Elements[[#This Row],[Rate | 3]]*$Y$5)+Cost_Elements[[#This Row],[Rate | 3]])</f>
        <v>0</v>
      </c>
      <c r="Y54" s="450"/>
      <c r="Z54" s="75">
        <f ca="1">IFERROR(IF(Cost_Elements[[#This Row],[Row]]&gt;='Do Not Use or Delete'!$L$2, IF(Cost_Elements[[#This Row],[Row]]&lt;='Do Not Use or Delete'!$M$2,X54*Y54,0),0)+IF(Cost_Elements[[#This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4" s="63"/>
      <c r="AB54" s="63"/>
      <c r="AC54" s="76">
        <f ca="1">IF(PRODUCT(Cost_Elements[[#This Row],[BLS or SCLS]]="BLS"),(Cost_Elements[[#This Row],[Rate | 4]]*$AD$4)+Cost_Elements[[#This Row],[Rate | 4]],(Cost_Elements[[#This Row],[Rate | 4]]*$AD$5)+Cost_Elements[[#This Row],[Rate | 4]])</f>
        <v>0</v>
      </c>
      <c r="AD54" s="450"/>
      <c r="AE54" s="75">
        <f ca="1">IFERROR(IF(Cost_Elements[[#This Row],[Row]]&gt;='Do Not Use or Delete'!$L$2, IF(Cost_Elements[[#This Row],[Row]]&lt;='Do Not Use or Delete'!$M$2,AC54*AD54,0),0)+IF(Cost_Elements[[#This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4" s="64"/>
      <c r="AG54" s="65"/>
      <c r="AH54" s="76">
        <f ca="1">IF(PRODUCT(Cost_Elements[[#This Row],[BLS or SCLS]]="BLS"),(Cost_Elements[[#This Row],[Rate | 5]]*$AI$4)+Cost_Elements[[#This Row],[Rate | 5]],(Cost_Elements[[#This Row],[Rate | 5]]*$AI$5)+Cost_Elements[[#This Row],[Rate | 5]])</f>
        <v>0</v>
      </c>
      <c r="AI54" s="450"/>
      <c r="AJ54" s="460"/>
      <c r="AK54" s="460"/>
      <c r="AL54" s="75">
        <f ca="1">IFERROR(IF(Cost_Elements[[#This Row],[Row]]&gt;='Do Not Use or Delete'!$L$2, IF(Cost_Elements[[#This Row],[Row]]&lt;='Do Not Use or Delete'!$M$2,AH54*AI54,0),0)+IF(Cost_Elements[[#This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4" s="64"/>
      <c r="AN54" s="65"/>
      <c r="AO54" s="77">
        <f t="shared" si="0"/>
        <v>0</v>
      </c>
      <c r="AP54" s="78">
        <f t="shared" ca="1" si="1"/>
        <v>0</v>
      </c>
      <c r="AQ54" s="68">
        <f ca="1">ROW(Cost_Elements[[#This Row],[Amount | Total]])</f>
        <v>54</v>
      </c>
    </row>
    <row r="55" spans="1:43">
      <c r="A55" s="240" t="s">
        <v>165</v>
      </c>
      <c r="B55" s="275"/>
      <c r="C55" s="276"/>
      <c r="D55" s="71"/>
      <c r="E55" s="71"/>
      <c r="F55" s="71"/>
      <c r="G55" s="71"/>
      <c r="H55" s="72" t="str">
        <f ca="1">IFERROR(INDEX(Labor_Categories[Minimum Direct Labor Rates],MATCH(Cost_Elements[[#This Row],[Government Labor Category]],Labor_Categories[Labor Categories],0)),"")</f>
        <v/>
      </c>
      <c r="I55" s="73"/>
      <c r="J55" s="450"/>
      <c r="K55" s="75">
        <f ca="1">IFERROR(IF(Cost_Elements[[#This Row],[Row]]&gt;='Do Not Use or Delete'!$L$2, IF(Cost_Elements[[#This Row],[Row]]&lt;='Do Not Use or Delete'!$M$2,I55*J55,0),0)+IF(Cost_Elements[[#This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5" s="63"/>
      <c r="M55" s="63"/>
      <c r="N55" s="76">
        <f ca="1">IF(PRODUCT(Cost_Elements[[#This Row],[BLS or SCLS]]="BLS"),(Cost_Elements[[#This Row],[Rate | 1]]*$O$4)+Cost_Elements[[#This Row],[Rate | 1]],(Cost_Elements[[#This Row],[Rate | 1]]*$O$5)+Cost_Elements[[#This Row],[Rate | 1]])</f>
        <v>0</v>
      </c>
      <c r="O55" s="452"/>
      <c r="P55" s="75">
        <f ca="1">IFERROR(IF(Cost_Elements[[#This Row],[Row]]&gt;='Do Not Use or Delete'!$L$2, IF(Cost_Elements[[#This Row],[Row]]&lt;='Do Not Use or Delete'!$M$2,N55*O55,0),0)+IF(Cost_Elements[[#This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5" s="63"/>
      <c r="R55" s="63"/>
      <c r="S55" s="76">
        <f ca="1">IF(PRODUCT(Cost_Elements[[#This Row],[BLS or SCLS]]="BLS"),(Cost_Elements[[#This Row],[Rate | 2]]*$T$4)+Cost_Elements[[#This Row],[Rate | 2]],(Cost_Elements[[#This Row],[Rate | 2]]*$T$5)+Cost_Elements[[#This Row],[Rate | 2]])</f>
        <v>0</v>
      </c>
      <c r="T55" s="450"/>
      <c r="U55" s="75">
        <f ca="1">IFERROR(IF(Cost_Elements[[#This Row],[Row]]&gt;='Do Not Use or Delete'!$L$2, IF(Cost_Elements[[#This Row],[Row]]&lt;='Do Not Use or Delete'!$M$2,S55*T55,0),0)+IF(Cost_Elements[[#This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5" s="63"/>
      <c r="W55" s="63"/>
      <c r="X55" s="76">
        <f ca="1">IF(PRODUCT(Cost_Elements[[#This Row],[BLS or SCLS]]="BLS"),(Cost_Elements[[#This Row],[Rate | 3]]*$Y$4)+Cost_Elements[[#This Row],[Rate | 3]],(Cost_Elements[[#This Row],[Rate | 3]]*$Y$5)+Cost_Elements[[#This Row],[Rate | 3]])</f>
        <v>0</v>
      </c>
      <c r="Y55" s="450"/>
      <c r="Z55" s="75">
        <f ca="1">IFERROR(IF(Cost_Elements[[#This Row],[Row]]&gt;='Do Not Use or Delete'!$L$2, IF(Cost_Elements[[#This Row],[Row]]&lt;='Do Not Use or Delete'!$M$2,X55*Y55,0),0)+IF(Cost_Elements[[#This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5" s="63"/>
      <c r="AB55" s="63"/>
      <c r="AC55" s="76">
        <f ca="1">IF(PRODUCT(Cost_Elements[[#This Row],[BLS or SCLS]]="BLS"),(Cost_Elements[[#This Row],[Rate | 4]]*$AD$4)+Cost_Elements[[#This Row],[Rate | 4]],(Cost_Elements[[#This Row],[Rate | 4]]*$AD$5)+Cost_Elements[[#This Row],[Rate | 4]])</f>
        <v>0</v>
      </c>
      <c r="AD55" s="450"/>
      <c r="AE55" s="75">
        <f ca="1">IFERROR(IF(Cost_Elements[[#This Row],[Row]]&gt;='Do Not Use or Delete'!$L$2, IF(Cost_Elements[[#This Row],[Row]]&lt;='Do Not Use or Delete'!$M$2,AC55*AD55,0),0)+IF(Cost_Elements[[#This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5" s="64"/>
      <c r="AG55" s="65"/>
      <c r="AH55" s="76">
        <f ca="1">IF(PRODUCT(Cost_Elements[[#This Row],[BLS or SCLS]]="BLS"),(Cost_Elements[[#This Row],[Rate | 5]]*$AI$4)+Cost_Elements[[#This Row],[Rate | 5]],(Cost_Elements[[#This Row],[Rate | 5]]*$AI$5)+Cost_Elements[[#This Row],[Rate | 5]])</f>
        <v>0</v>
      </c>
      <c r="AI55" s="450"/>
      <c r="AJ55" s="460"/>
      <c r="AK55" s="460"/>
      <c r="AL55" s="75">
        <f ca="1">IFERROR(IF(Cost_Elements[[#This Row],[Row]]&gt;='Do Not Use or Delete'!$L$2, IF(Cost_Elements[[#This Row],[Row]]&lt;='Do Not Use or Delete'!$M$2,AH55*AI55,0),0)+IF(Cost_Elements[[#This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5" s="64"/>
      <c r="AN55" s="65"/>
      <c r="AO55" s="77">
        <f t="shared" si="0"/>
        <v>0</v>
      </c>
      <c r="AP55" s="78">
        <f t="shared" ca="1" si="1"/>
        <v>0</v>
      </c>
      <c r="AQ55" s="68">
        <f ca="1">ROW(Cost_Elements[[#This Row],[Amount | Total]])</f>
        <v>55</v>
      </c>
    </row>
    <row r="56" spans="1:43">
      <c r="A56" s="240" t="s">
        <v>165</v>
      </c>
      <c r="B56" s="275"/>
      <c r="C56" s="276"/>
      <c r="D56" s="71"/>
      <c r="E56" s="71"/>
      <c r="F56" s="71"/>
      <c r="G56" s="71"/>
      <c r="H56" s="72" t="str">
        <f ca="1">IFERROR(INDEX(Labor_Categories[Minimum Direct Labor Rates],MATCH(Cost_Elements[[#This Row],[Government Labor Category]],Labor_Categories[Labor Categories],0)),"")</f>
        <v/>
      </c>
      <c r="I56" s="73"/>
      <c r="J56" s="450"/>
      <c r="K56" s="75">
        <f ca="1">IFERROR(IF(Cost_Elements[[#This Row],[Row]]&gt;='Do Not Use or Delete'!$L$2, IF(Cost_Elements[[#This Row],[Row]]&lt;='Do Not Use or Delete'!$M$2,I56*J56,0),0)+IF(Cost_Elements[[#This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6" s="63"/>
      <c r="M56" s="63"/>
      <c r="N56" s="76">
        <f ca="1">IF(PRODUCT(Cost_Elements[[#This Row],[BLS or SCLS]]="BLS"),(Cost_Elements[[#This Row],[Rate | 1]]*$O$4)+Cost_Elements[[#This Row],[Rate | 1]],(Cost_Elements[[#This Row],[Rate | 1]]*$O$5)+Cost_Elements[[#This Row],[Rate | 1]])</f>
        <v>0</v>
      </c>
      <c r="O56" s="452"/>
      <c r="P56" s="75">
        <f ca="1">IFERROR(IF(Cost_Elements[[#This Row],[Row]]&gt;='Do Not Use or Delete'!$L$2, IF(Cost_Elements[[#This Row],[Row]]&lt;='Do Not Use or Delete'!$M$2,N56*O56,0),0)+IF(Cost_Elements[[#This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6" s="63"/>
      <c r="R56" s="63"/>
      <c r="S56" s="76">
        <f ca="1">IF(PRODUCT(Cost_Elements[[#This Row],[BLS or SCLS]]="BLS"),(Cost_Elements[[#This Row],[Rate | 2]]*$T$4)+Cost_Elements[[#This Row],[Rate | 2]],(Cost_Elements[[#This Row],[Rate | 2]]*$T$5)+Cost_Elements[[#This Row],[Rate | 2]])</f>
        <v>0</v>
      </c>
      <c r="T56" s="450"/>
      <c r="U56" s="75">
        <f ca="1">IFERROR(IF(Cost_Elements[[#This Row],[Row]]&gt;='Do Not Use or Delete'!$L$2, IF(Cost_Elements[[#This Row],[Row]]&lt;='Do Not Use or Delete'!$M$2,S56*T56,0),0)+IF(Cost_Elements[[#This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6" s="63"/>
      <c r="W56" s="63"/>
      <c r="X56" s="76">
        <f ca="1">IF(PRODUCT(Cost_Elements[[#This Row],[BLS or SCLS]]="BLS"),(Cost_Elements[[#This Row],[Rate | 3]]*$Y$4)+Cost_Elements[[#This Row],[Rate | 3]],(Cost_Elements[[#This Row],[Rate | 3]]*$Y$5)+Cost_Elements[[#This Row],[Rate | 3]])</f>
        <v>0</v>
      </c>
      <c r="Y56" s="450"/>
      <c r="Z56" s="75">
        <f ca="1">IFERROR(IF(Cost_Elements[[#This Row],[Row]]&gt;='Do Not Use or Delete'!$L$2, IF(Cost_Elements[[#This Row],[Row]]&lt;='Do Not Use or Delete'!$M$2,X56*Y56,0),0)+IF(Cost_Elements[[#This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6" s="63"/>
      <c r="AB56" s="63"/>
      <c r="AC56" s="76">
        <f ca="1">IF(PRODUCT(Cost_Elements[[#This Row],[BLS or SCLS]]="BLS"),(Cost_Elements[[#This Row],[Rate | 4]]*$AD$4)+Cost_Elements[[#This Row],[Rate | 4]],(Cost_Elements[[#This Row],[Rate | 4]]*$AD$5)+Cost_Elements[[#This Row],[Rate | 4]])</f>
        <v>0</v>
      </c>
      <c r="AD56" s="450"/>
      <c r="AE56" s="75">
        <f ca="1">IFERROR(IF(Cost_Elements[[#This Row],[Row]]&gt;='Do Not Use or Delete'!$L$2, IF(Cost_Elements[[#This Row],[Row]]&lt;='Do Not Use or Delete'!$M$2,AC56*AD56,0),0)+IF(Cost_Elements[[#This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6" s="64"/>
      <c r="AG56" s="65"/>
      <c r="AH56" s="76">
        <f ca="1">IF(PRODUCT(Cost_Elements[[#This Row],[BLS or SCLS]]="BLS"),(Cost_Elements[[#This Row],[Rate | 5]]*$AI$4)+Cost_Elements[[#This Row],[Rate | 5]],(Cost_Elements[[#This Row],[Rate | 5]]*$AI$5)+Cost_Elements[[#This Row],[Rate | 5]])</f>
        <v>0</v>
      </c>
      <c r="AI56" s="450"/>
      <c r="AJ56" s="460"/>
      <c r="AK56" s="460"/>
      <c r="AL56" s="75">
        <f ca="1">IFERROR(IF(Cost_Elements[[#This Row],[Row]]&gt;='Do Not Use or Delete'!$L$2, IF(Cost_Elements[[#This Row],[Row]]&lt;='Do Not Use or Delete'!$M$2,AH56*AI56,0),0)+IF(Cost_Elements[[#This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6" s="64"/>
      <c r="AN56" s="65"/>
      <c r="AO56" s="77">
        <f t="shared" si="0"/>
        <v>0</v>
      </c>
      <c r="AP56" s="78">
        <f t="shared" ca="1" si="1"/>
        <v>0</v>
      </c>
      <c r="AQ56" s="68">
        <f ca="1">ROW(Cost_Elements[[#This Row],[Amount | Total]])</f>
        <v>56</v>
      </c>
    </row>
    <row r="57" spans="1:43">
      <c r="A57" s="240" t="s">
        <v>165</v>
      </c>
      <c r="B57" s="275"/>
      <c r="C57" s="276"/>
      <c r="D57" s="71"/>
      <c r="E57" s="71"/>
      <c r="F57" s="71"/>
      <c r="G57" s="71"/>
      <c r="H57" s="72" t="str">
        <f ca="1">IFERROR(INDEX(Labor_Categories[Minimum Direct Labor Rates],MATCH(Cost_Elements[[#This Row],[Government Labor Category]],Labor_Categories[Labor Categories],0)),"")</f>
        <v/>
      </c>
      <c r="I57" s="73"/>
      <c r="J57" s="450"/>
      <c r="K57" s="75">
        <f ca="1">IFERROR(IF(Cost_Elements[[#This Row],[Row]]&gt;='Do Not Use or Delete'!$L$2, IF(Cost_Elements[[#This Row],[Row]]&lt;='Do Not Use or Delete'!$M$2,I57*J57,0),0)+IF(Cost_Elements[[#This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7" s="63"/>
      <c r="M57" s="63"/>
      <c r="N57" s="76">
        <f ca="1">IF(PRODUCT(Cost_Elements[[#This Row],[BLS or SCLS]]="BLS"),(Cost_Elements[[#This Row],[Rate | 1]]*$O$4)+Cost_Elements[[#This Row],[Rate | 1]],(Cost_Elements[[#This Row],[Rate | 1]]*$O$5)+Cost_Elements[[#This Row],[Rate | 1]])</f>
        <v>0</v>
      </c>
      <c r="O57" s="452"/>
      <c r="P57" s="75">
        <f ca="1">IFERROR(IF(Cost_Elements[[#This Row],[Row]]&gt;='Do Not Use or Delete'!$L$2, IF(Cost_Elements[[#This Row],[Row]]&lt;='Do Not Use or Delete'!$M$2,N57*O57,0),0)+IF(Cost_Elements[[#This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7" s="63"/>
      <c r="R57" s="63"/>
      <c r="S57" s="76">
        <f ca="1">IF(PRODUCT(Cost_Elements[[#This Row],[BLS or SCLS]]="BLS"),(Cost_Elements[[#This Row],[Rate | 2]]*$T$4)+Cost_Elements[[#This Row],[Rate | 2]],(Cost_Elements[[#This Row],[Rate | 2]]*$T$5)+Cost_Elements[[#This Row],[Rate | 2]])</f>
        <v>0</v>
      </c>
      <c r="T57" s="450"/>
      <c r="U57" s="75">
        <f ca="1">IFERROR(IF(Cost_Elements[[#This Row],[Row]]&gt;='Do Not Use or Delete'!$L$2, IF(Cost_Elements[[#This Row],[Row]]&lt;='Do Not Use or Delete'!$M$2,S57*T57,0),0)+IF(Cost_Elements[[#This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7" s="63"/>
      <c r="W57" s="63"/>
      <c r="X57" s="76">
        <f ca="1">IF(PRODUCT(Cost_Elements[[#This Row],[BLS or SCLS]]="BLS"),(Cost_Elements[[#This Row],[Rate | 3]]*$Y$4)+Cost_Elements[[#This Row],[Rate | 3]],(Cost_Elements[[#This Row],[Rate | 3]]*$Y$5)+Cost_Elements[[#This Row],[Rate | 3]])</f>
        <v>0</v>
      </c>
      <c r="Y57" s="450"/>
      <c r="Z57" s="75">
        <f ca="1">IFERROR(IF(Cost_Elements[[#This Row],[Row]]&gt;='Do Not Use or Delete'!$L$2, IF(Cost_Elements[[#This Row],[Row]]&lt;='Do Not Use or Delete'!$M$2,X57*Y57,0),0)+IF(Cost_Elements[[#This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7" s="63"/>
      <c r="AB57" s="63"/>
      <c r="AC57" s="76">
        <f ca="1">IF(PRODUCT(Cost_Elements[[#This Row],[BLS or SCLS]]="BLS"),(Cost_Elements[[#This Row],[Rate | 4]]*$AD$4)+Cost_Elements[[#This Row],[Rate | 4]],(Cost_Elements[[#This Row],[Rate | 4]]*$AD$5)+Cost_Elements[[#This Row],[Rate | 4]])</f>
        <v>0</v>
      </c>
      <c r="AD57" s="450"/>
      <c r="AE57" s="75">
        <f ca="1">IFERROR(IF(Cost_Elements[[#This Row],[Row]]&gt;='Do Not Use or Delete'!$L$2, IF(Cost_Elements[[#This Row],[Row]]&lt;='Do Not Use or Delete'!$M$2,AC57*AD57,0),0)+IF(Cost_Elements[[#This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7" s="64"/>
      <c r="AG57" s="65"/>
      <c r="AH57" s="76">
        <f ca="1">IF(PRODUCT(Cost_Elements[[#This Row],[BLS or SCLS]]="BLS"),(Cost_Elements[[#This Row],[Rate | 5]]*$AI$4)+Cost_Elements[[#This Row],[Rate | 5]],(Cost_Elements[[#This Row],[Rate | 5]]*$AI$5)+Cost_Elements[[#This Row],[Rate | 5]])</f>
        <v>0</v>
      </c>
      <c r="AI57" s="450"/>
      <c r="AJ57" s="460"/>
      <c r="AK57" s="460"/>
      <c r="AL57" s="75">
        <f ca="1">IFERROR(IF(Cost_Elements[[#This Row],[Row]]&gt;='Do Not Use or Delete'!$L$2, IF(Cost_Elements[[#This Row],[Row]]&lt;='Do Not Use or Delete'!$M$2,AH57*AI57,0),0)+IF(Cost_Elements[[#This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7" s="64"/>
      <c r="AN57" s="65"/>
      <c r="AO57" s="77">
        <f t="shared" si="0"/>
        <v>0</v>
      </c>
      <c r="AP57" s="78">
        <f t="shared" ca="1" si="1"/>
        <v>0</v>
      </c>
      <c r="AQ57" s="68">
        <f ca="1">ROW(Cost_Elements[[#This Row],[Amount | Total]])</f>
        <v>57</v>
      </c>
    </row>
    <row r="58" spans="1:43">
      <c r="A58" s="240" t="s">
        <v>165</v>
      </c>
      <c r="B58" s="275"/>
      <c r="C58" s="276"/>
      <c r="D58" s="71"/>
      <c r="E58" s="71"/>
      <c r="F58" s="71"/>
      <c r="G58" s="71"/>
      <c r="H58" s="72" t="str">
        <f ca="1">IFERROR(INDEX(Labor_Categories[Minimum Direct Labor Rates],MATCH(Cost_Elements[[#This Row],[Government Labor Category]],Labor_Categories[Labor Categories],0)),"")</f>
        <v/>
      </c>
      <c r="I58" s="73"/>
      <c r="J58" s="450"/>
      <c r="K58" s="75">
        <f ca="1">IFERROR(IF(Cost_Elements[[#This Row],[Row]]&gt;='Do Not Use or Delete'!$L$2, IF(Cost_Elements[[#This Row],[Row]]&lt;='Do Not Use or Delete'!$M$2,I58*J58,0),0)+IF(Cost_Elements[[#This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8" s="63"/>
      <c r="M58" s="63"/>
      <c r="N58" s="76">
        <f ca="1">IF(PRODUCT(Cost_Elements[[#This Row],[BLS or SCLS]]="BLS"),(Cost_Elements[[#This Row],[Rate | 1]]*$O$4)+Cost_Elements[[#This Row],[Rate | 1]],(Cost_Elements[[#This Row],[Rate | 1]]*$O$5)+Cost_Elements[[#This Row],[Rate | 1]])</f>
        <v>0</v>
      </c>
      <c r="O58" s="452"/>
      <c r="P58" s="75">
        <f ca="1">IFERROR(IF(Cost_Elements[[#This Row],[Row]]&gt;='Do Not Use or Delete'!$L$2, IF(Cost_Elements[[#This Row],[Row]]&lt;='Do Not Use or Delete'!$M$2,N58*O58,0),0)+IF(Cost_Elements[[#This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8" s="63"/>
      <c r="R58" s="63"/>
      <c r="S58" s="76">
        <f ca="1">IF(PRODUCT(Cost_Elements[[#This Row],[BLS or SCLS]]="BLS"),(Cost_Elements[[#This Row],[Rate | 2]]*$T$4)+Cost_Elements[[#This Row],[Rate | 2]],(Cost_Elements[[#This Row],[Rate | 2]]*$T$5)+Cost_Elements[[#This Row],[Rate | 2]])</f>
        <v>0</v>
      </c>
      <c r="T58" s="450"/>
      <c r="U58" s="75">
        <f ca="1">IFERROR(IF(Cost_Elements[[#This Row],[Row]]&gt;='Do Not Use or Delete'!$L$2, IF(Cost_Elements[[#This Row],[Row]]&lt;='Do Not Use or Delete'!$M$2,S58*T58,0),0)+IF(Cost_Elements[[#This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8" s="63"/>
      <c r="W58" s="63"/>
      <c r="X58" s="76">
        <f ca="1">IF(PRODUCT(Cost_Elements[[#This Row],[BLS or SCLS]]="BLS"),(Cost_Elements[[#This Row],[Rate | 3]]*$Y$4)+Cost_Elements[[#This Row],[Rate | 3]],(Cost_Elements[[#This Row],[Rate | 3]]*$Y$5)+Cost_Elements[[#This Row],[Rate | 3]])</f>
        <v>0</v>
      </c>
      <c r="Y58" s="450"/>
      <c r="Z58" s="75">
        <f ca="1">IFERROR(IF(Cost_Elements[[#This Row],[Row]]&gt;='Do Not Use or Delete'!$L$2, IF(Cost_Elements[[#This Row],[Row]]&lt;='Do Not Use or Delete'!$M$2,X58*Y58,0),0)+IF(Cost_Elements[[#This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8" s="63"/>
      <c r="AB58" s="63"/>
      <c r="AC58" s="76">
        <f ca="1">IF(PRODUCT(Cost_Elements[[#This Row],[BLS or SCLS]]="BLS"),(Cost_Elements[[#This Row],[Rate | 4]]*$AD$4)+Cost_Elements[[#This Row],[Rate | 4]],(Cost_Elements[[#This Row],[Rate | 4]]*$AD$5)+Cost_Elements[[#This Row],[Rate | 4]])</f>
        <v>0</v>
      </c>
      <c r="AD58" s="450"/>
      <c r="AE58" s="75">
        <f ca="1">IFERROR(IF(Cost_Elements[[#This Row],[Row]]&gt;='Do Not Use or Delete'!$L$2, IF(Cost_Elements[[#This Row],[Row]]&lt;='Do Not Use or Delete'!$M$2,AC58*AD58,0),0)+IF(Cost_Elements[[#This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8" s="64"/>
      <c r="AG58" s="65"/>
      <c r="AH58" s="76">
        <f ca="1">IF(PRODUCT(Cost_Elements[[#This Row],[BLS or SCLS]]="BLS"),(Cost_Elements[[#This Row],[Rate | 5]]*$AI$4)+Cost_Elements[[#This Row],[Rate | 5]],(Cost_Elements[[#This Row],[Rate | 5]]*$AI$5)+Cost_Elements[[#This Row],[Rate | 5]])</f>
        <v>0</v>
      </c>
      <c r="AI58" s="450"/>
      <c r="AJ58" s="460"/>
      <c r="AK58" s="460"/>
      <c r="AL58" s="75">
        <f ca="1">IFERROR(IF(Cost_Elements[[#This Row],[Row]]&gt;='Do Not Use or Delete'!$L$2, IF(Cost_Elements[[#This Row],[Row]]&lt;='Do Not Use or Delete'!$M$2,AH58*AI58,0),0)+IF(Cost_Elements[[#This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8" s="64"/>
      <c r="AN58" s="65"/>
      <c r="AO58" s="77">
        <f t="shared" si="0"/>
        <v>0</v>
      </c>
      <c r="AP58" s="78">
        <f t="shared" ca="1" si="1"/>
        <v>0</v>
      </c>
      <c r="AQ58" s="68">
        <f ca="1">ROW(Cost_Elements[[#This Row],[Amount | Total]])</f>
        <v>58</v>
      </c>
    </row>
    <row r="59" spans="1:43">
      <c r="A59" s="240" t="s">
        <v>165</v>
      </c>
      <c r="B59" s="275"/>
      <c r="C59" s="276"/>
      <c r="D59" s="71"/>
      <c r="E59" s="71"/>
      <c r="F59" s="71"/>
      <c r="G59" s="71"/>
      <c r="H59" s="72" t="str">
        <f ca="1">IFERROR(INDEX(Labor_Categories[Minimum Direct Labor Rates],MATCH(Cost_Elements[[#This Row],[Government Labor Category]],Labor_Categories[Labor Categories],0)),"")</f>
        <v/>
      </c>
      <c r="I59" s="73"/>
      <c r="J59" s="450"/>
      <c r="K59" s="75">
        <f ca="1">IFERROR(IF(Cost_Elements[[#This Row],[Row]]&gt;='Do Not Use or Delete'!$L$2, IF(Cost_Elements[[#This Row],[Row]]&lt;='Do Not Use or Delete'!$M$2,I59*J59,0),0)+IF(Cost_Elements[[#This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9" s="63"/>
      <c r="M59" s="63"/>
      <c r="N59" s="76">
        <f ca="1">IF(PRODUCT(Cost_Elements[[#This Row],[BLS or SCLS]]="BLS"),(Cost_Elements[[#This Row],[Rate | 1]]*$O$4)+Cost_Elements[[#This Row],[Rate | 1]],(Cost_Elements[[#This Row],[Rate | 1]]*$O$5)+Cost_Elements[[#This Row],[Rate | 1]])</f>
        <v>0</v>
      </c>
      <c r="O59" s="452"/>
      <c r="P59" s="75">
        <f ca="1">IFERROR(IF(Cost_Elements[[#This Row],[Row]]&gt;='Do Not Use or Delete'!$L$2, IF(Cost_Elements[[#This Row],[Row]]&lt;='Do Not Use or Delete'!$M$2,N59*O59,0),0)+IF(Cost_Elements[[#This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9" s="63"/>
      <c r="R59" s="63"/>
      <c r="S59" s="76">
        <f ca="1">IF(PRODUCT(Cost_Elements[[#This Row],[BLS or SCLS]]="BLS"),(Cost_Elements[[#This Row],[Rate | 2]]*$T$4)+Cost_Elements[[#This Row],[Rate | 2]],(Cost_Elements[[#This Row],[Rate | 2]]*$T$5)+Cost_Elements[[#This Row],[Rate | 2]])</f>
        <v>0</v>
      </c>
      <c r="T59" s="450"/>
      <c r="U59" s="75">
        <f ca="1">IFERROR(IF(Cost_Elements[[#This Row],[Row]]&gt;='Do Not Use or Delete'!$L$2, IF(Cost_Elements[[#This Row],[Row]]&lt;='Do Not Use or Delete'!$M$2,S59*T59,0),0)+IF(Cost_Elements[[#This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9" s="63"/>
      <c r="W59" s="63"/>
      <c r="X59" s="76">
        <f ca="1">IF(PRODUCT(Cost_Elements[[#This Row],[BLS or SCLS]]="BLS"),(Cost_Elements[[#This Row],[Rate | 3]]*$Y$4)+Cost_Elements[[#This Row],[Rate | 3]],(Cost_Elements[[#This Row],[Rate | 3]]*$Y$5)+Cost_Elements[[#This Row],[Rate | 3]])</f>
        <v>0</v>
      </c>
      <c r="Y59" s="450"/>
      <c r="Z59" s="75">
        <f ca="1">IFERROR(IF(Cost_Elements[[#This Row],[Row]]&gt;='Do Not Use or Delete'!$L$2, IF(Cost_Elements[[#This Row],[Row]]&lt;='Do Not Use or Delete'!$M$2,X59*Y59,0),0)+IF(Cost_Elements[[#This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9" s="63"/>
      <c r="AB59" s="63"/>
      <c r="AC59" s="76">
        <f ca="1">IF(PRODUCT(Cost_Elements[[#This Row],[BLS or SCLS]]="BLS"),(Cost_Elements[[#This Row],[Rate | 4]]*$AD$4)+Cost_Elements[[#This Row],[Rate | 4]],(Cost_Elements[[#This Row],[Rate | 4]]*$AD$5)+Cost_Elements[[#This Row],[Rate | 4]])</f>
        <v>0</v>
      </c>
      <c r="AD59" s="450"/>
      <c r="AE59" s="75">
        <f ca="1">IFERROR(IF(Cost_Elements[[#This Row],[Row]]&gt;='Do Not Use or Delete'!$L$2, IF(Cost_Elements[[#This Row],[Row]]&lt;='Do Not Use or Delete'!$M$2,AC59*AD59,0),0)+IF(Cost_Elements[[#This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9" s="64"/>
      <c r="AG59" s="65"/>
      <c r="AH59" s="76">
        <f ca="1">IF(PRODUCT(Cost_Elements[[#This Row],[BLS or SCLS]]="BLS"),(Cost_Elements[[#This Row],[Rate | 5]]*$AI$4)+Cost_Elements[[#This Row],[Rate | 5]],(Cost_Elements[[#This Row],[Rate | 5]]*$AI$5)+Cost_Elements[[#This Row],[Rate | 5]])</f>
        <v>0</v>
      </c>
      <c r="AI59" s="450"/>
      <c r="AJ59" s="460"/>
      <c r="AK59" s="460"/>
      <c r="AL59" s="75">
        <f ca="1">IFERROR(IF(Cost_Elements[[#This Row],[Row]]&gt;='Do Not Use or Delete'!$L$2, IF(Cost_Elements[[#This Row],[Row]]&lt;='Do Not Use or Delete'!$M$2,AH59*AI59,0),0)+IF(Cost_Elements[[#This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9" s="64"/>
      <c r="AN59" s="65"/>
      <c r="AO59" s="77">
        <f t="shared" si="0"/>
        <v>0</v>
      </c>
      <c r="AP59" s="78">
        <f t="shared" ca="1" si="1"/>
        <v>0</v>
      </c>
      <c r="AQ59" s="68">
        <f ca="1">ROW(Cost_Elements[[#This Row],[Amount | Total]])</f>
        <v>59</v>
      </c>
    </row>
    <row r="60" spans="1:43">
      <c r="A60" s="240" t="s">
        <v>165</v>
      </c>
      <c r="B60" s="275"/>
      <c r="C60" s="276"/>
      <c r="D60" s="71"/>
      <c r="E60" s="71"/>
      <c r="F60" s="71"/>
      <c r="G60" s="71"/>
      <c r="H60" s="72" t="str">
        <f ca="1">IFERROR(INDEX(Labor_Categories[Minimum Direct Labor Rates],MATCH(Cost_Elements[[#This Row],[Government Labor Category]],Labor_Categories[Labor Categories],0)),"")</f>
        <v/>
      </c>
      <c r="I60" s="73"/>
      <c r="J60" s="450"/>
      <c r="K60" s="75">
        <f ca="1">IFERROR(IF(Cost_Elements[[#This Row],[Row]]&gt;='Do Not Use or Delete'!$L$2, IF(Cost_Elements[[#This Row],[Row]]&lt;='Do Not Use or Delete'!$M$2,I60*J60,0),0)+IF(Cost_Elements[[#This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0" s="63"/>
      <c r="M60" s="63"/>
      <c r="N60" s="76">
        <f ca="1">IF(PRODUCT(Cost_Elements[[#This Row],[BLS or SCLS]]="BLS"),(Cost_Elements[[#This Row],[Rate | 1]]*$O$4)+Cost_Elements[[#This Row],[Rate | 1]],(Cost_Elements[[#This Row],[Rate | 1]]*$O$5)+Cost_Elements[[#This Row],[Rate | 1]])</f>
        <v>0</v>
      </c>
      <c r="O60" s="452"/>
      <c r="P60" s="75">
        <f ca="1">IFERROR(IF(Cost_Elements[[#This Row],[Row]]&gt;='Do Not Use or Delete'!$L$2, IF(Cost_Elements[[#This Row],[Row]]&lt;='Do Not Use or Delete'!$M$2,N60*O60,0),0)+IF(Cost_Elements[[#This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0" s="63"/>
      <c r="R60" s="63"/>
      <c r="S60" s="76">
        <f ca="1">IF(PRODUCT(Cost_Elements[[#This Row],[BLS or SCLS]]="BLS"),(Cost_Elements[[#This Row],[Rate | 2]]*$T$4)+Cost_Elements[[#This Row],[Rate | 2]],(Cost_Elements[[#This Row],[Rate | 2]]*$T$5)+Cost_Elements[[#This Row],[Rate | 2]])</f>
        <v>0</v>
      </c>
      <c r="T60" s="450"/>
      <c r="U60" s="75">
        <f ca="1">IFERROR(IF(Cost_Elements[[#This Row],[Row]]&gt;='Do Not Use or Delete'!$L$2, IF(Cost_Elements[[#This Row],[Row]]&lt;='Do Not Use or Delete'!$M$2,S60*T60,0),0)+IF(Cost_Elements[[#This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0" s="63"/>
      <c r="W60" s="63"/>
      <c r="X60" s="76">
        <f ca="1">IF(PRODUCT(Cost_Elements[[#This Row],[BLS or SCLS]]="BLS"),(Cost_Elements[[#This Row],[Rate | 3]]*$Y$4)+Cost_Elements[[#This Row],[Rate | 3]],(Cost_Elements[[#This Row],[Rate | 3]]*$Y$5)+Cost_Elements[[#This Row],[Rate | 3]])</f>
        <v>0</v>
      </c>
      <c r="Y60" s="450"/>
      <c r="Z60" s="75">
        <f ca="1">IFERROR(IF(Cost_Elements[[#This Row],[Row]]&gt;='Do Not Use or Delete'!$L$2, IF(Cost_Elements[[#This Row],[Row]]&lt;='Do Not Use or Delete'!$M$2,X60*Y60,0),0)+IF(Cost_Elements[[#This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0" s="63"/>
      <c r="AB60" s="63"/>
      <c r="AC60" s="76">
        <f ca="1">IF(PRODUCT(Cost_Elements[[#This Row],[BLS or SCLS]]="BLS"),(Cost_Elements[[#This Row],[Rate | 4]]*$AD$4)+Cost_Elements[[#This Row],[Rate | 4]],(Cost_Elements[[#This Row],[Rate | 4]]*$AD$5)+Cost_Elements[[#This Row],[Rate | 4]])</f>
        <v>0</v>
      </c>
      <c r="AD60" s="450"/>
      <c r="AE60" s="75">
        <f ca="1">IFERROR(IF(Cost_Elements[[#This Row],[Row]]&gt;='Do Not Use or Delete'!$L$2, IF(Cost_Elements[[#This Row],[Row]]&lt;='Do Not Use or Delete'!$M$2,AC60*AD60,0),0)+IF(Cost_Elements[[#This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0" s="64"/>
      <c r="AG60" s="65"/>
      <c r="AH60" s="76">
        <f ca="1">IF(PRODUCT(Cost_Elements[[#This Row],[BLS or SCLS]]="BLS"),(Cost_Elements[[#This Row],[Rate | 5]]*$AI$4)+Cost_Elements[[#This Row],[Rate | 5]],(Cost_Elements[[#This Row],[Rate | 5]]*$AI$5)+Cost_Elements[[#This Row],[Rate | 5]])</f>
        <v>0</v>
      </c>
      <c r="AI60" s="450"/>
      <c r="AJ60" s="460"/>
      <c r="AK60" s="460"/>
      <c r="AL60" s="75">
        <f ca="1">IFERROR(IF(Cost_Elements[[#This Row],[Row]]&gt;='Do Not Use or Delete'!$L$2, IF(Cost_Elements[[#This Row],[Row]]&lt;='Do Not Use or Delete'!$M$2,AH60*AI60,0),0)+IF(Cost_Elements[[#This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0" s="64"/>
      <c r="AN60" s="65"/>
      <c r="AO60" s="77">
        <f t="shared" si="0"/>
        <v>0</v>
      </c>
      <c r="AP60" s="78">
        <f t="shared" ca="1" si="1"/>
        <v>0</v>
      </c>
      <c r="AQ60" s="68">
        <f ca="1">ROW(Cost_Elements[[#This Row],[Amount | Total]])</f>
        <v>60</v>
      </c>
    </row>
    <row r="61" spans="1:43">
      <c r="A61" s="240" t="s">
        <v>165</v>
      </c>
      <c r="B61" s="275"/>
      <c r="C61" s="276"/>
      <c r="D61" s="71"/>
      <c r="E61" s="71"/>
      <c r="F61" s="71"/>
      <c r="G61" s="71"/>
      <c r="H61" s="72" t="str">
        <f ca="1">IFERROR(INDEX(Labor_Categories[Minimum Direct Labor Rates],MATCH(Cost_Elements[[#This Row],[Government Labor Category]],Labor_Categories[Labor Categories],0)),"")</f>
        <v/>
      </c>
      <c r="I61" s="73"/>
      <c r="J61" s="450"/>
      <c r="K61" s="75">
        <f ca="1">IFERROR(IF(Cost_Elements[[#This Row],[Row]]&gt;='Do Not Use or Delete'!$L$2, IF(Cost_Elements[[#This Row],[Row]]&lt;='Do Not Use or Delete'!$M$2,I61*J61,0),0)+IF(Cost_Elements[[#This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1" s="63"/>
      <c r="M61" s="63"/>
      <c r="N61" s="76">
        <f ca="1">IF(PRODUCT(Cost_Elements[[#This Row],[BLS or SCLS]]="BLS"),(Cost_Elements[[#This Row],[Rate | 1]]*$O$4)+Cost_Elements[[#This Row],[Rate | 1]],(Cost_Elements[[#This Row],[Rate | 1]]*$O$5)+Cost_Elements[[#This Row],[Rate | 1]])</f>
        <v>0</v>
      </c>
      <c r="O61" s="452"/>
      <c r="P61" s="75">
        <f ca="1">IFERROR(IF(Cost_Elements[[#This Row],[Row]]&gt;='Do Not Use or Delete'!$L$2, IF(Cost_Elements[[#This Row],[Row]]&lt;='Do Not Use or Delete'!$M$2,N61*O61,0),0)+IF(Cost_Elements[[#This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1" s="63"/>
      <c r="R61" s="63"/>
      <c r="S61" s="76">
        <f ca="1">IF(PRODUCT(Cost_Elements[[#This Row],[BLS or SCLS]]="BLS"),(Cost_Elements[[#This Row],[Rate | 2]]*$T$4)+Cost_Elements[[#This Row],[Rate | 2]],(Cost_Elements[[#This Row],[Rate | 2]]*$T$5)+Cost_Elements[[#This Row],[Rate | 2]])</f>
        <v>0</v>
      </c>
      <c r="T61" s="450"/>
      <c r="U61" s="75">
        <f ca="1">IFERROR(IF(Cost_Elements[[#This Row],[Row]]&gt;='Do Not Use or Delete'!$L$2, IF(Cost_Elements[[#This Row],[Row]]&lt;='Do Not Use or Delete'!$M$2,S61*T61,0),0)+IF(Cost_Elements[[#This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1" s="63"/>
      <c r="W61" s="63"/>
      <c r="X61" s="76">
        <f ca="1">IF(PRODUCT(Cost_Elements[[#This Row],[BLS or SCLS]]="BLS"),(Cost_Elements[[#This Row],[Rate | 3]]*$Y$4)+Cost_Elements[[#This Row],[Rate | 3]],(Cost_Elements[[#This Row],[Rate | 3]]*$Y$5)+Cost_Elements[[#This Row],[Rate | 3]])</f>
        <v>0</v>
      </c>
      <c r="Y61" s="450"/>
      <c r="Z61" s="75">
        <f ca="1">IFERROR(IF(Cost_Elements[[#This Row],[Row]]&gt;='Do Not Use or Delete'!$L$2, IF(Cost_Elements[[#This Row],[Row]]&lt;='Do Not Use or Delete'!$M$2,X61*Y61,0),0)+IF(Cost_Elements[[#This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1" s="63"/>
      <c r="AB61" s="63"/>
      <c r="AC61" s="76">
        <f ca="1">IF(PRODUCT(Cost_Elements[[#This Row],[BLS or SCLS]]="BLS"),(Cost_Elements[[#This Row],[Rate | 4]]*$AD$4)+Cost_Elements[[#This Row],[Rate | 4]],(Cost_Elements[[#This Row],[Rate | 4]]*$AD$5)+Cost_Elements[[#This Row],[Rate | 4]])</f>
        <v>0</v>
      </c>
      <c r="AD61" s="450"/>
      <c r="AE61" s="75">
        <f ca="1">IFERROR(IF(Cost_Elements[[#This Row],[Row]]&gt;='Do Not Use or Delete'!$L$2, IF(Cost_Elements[[#This Row],[Row]]&lt;='Do Not Use or Delete'!$M$2,AC61*AD61,0),0)+IF(Cost_Elements[[#This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1" s="64"/>
      <c r="AG61" s="65"/>
      <c r="AH61" s="76">
        <f ca="1">IF(PRODUCT(Cost_Elements[[#This Row],[BLS or SCLS]]="BLS"),(Cost_Elements[[#This Row],[Rate | 5]]*$AI$4)+Cost_Elements[[#This Row],[Rate | 5]],(Cost_Elements[[#This Row],[Rate | 5]]*$AI$5)+Cost_Elements[[#This Row],[Rate | 5]])</f>
        <v>0</v>
      </c>
      <c r="AI61" s="450"/>
      <c r="AJ61" s="460"/>
      <c r="AK61" s="460"/>
      <c r="AL61" s="75">
        <f ca="1">IFERROR(IF(Cost_Elements[[#This Row],[Row]]&gt;='Do Not Use or Delete'!$L$2, IF(Cost_Elements[[#This Row],[Row]]&lt;='Do Not Use or Delete'!$M$2,AH61*AI61,0),0)+IF(Cost_Elements[[#This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1" s="64"/>
      <c r="AN61" s="65"/>
      <c r="AO61" s="77">
        <f t="shared" si="0"/>
        <v>0</v>
      </c>
      <c r="AP61" s="78">
        <f t="shared" ca="1" si="1"/>
        <v>0</v>
      </c>
      <c r="AQ61" s="68">
        <f ca="1">ROW(Cost_Elements[[#This Row],[Amount | Total]])</f>
        <v>61</v>
      </c>
    </row>
    <row r="62" spans="1:43">
      <c r="A62" s="240" t="s">
        <v>165</v>
      </c>
      <c r="B62" s="275"/>
      <c r="C62" s="276"/>
      <c r="D62" s="71"/>
      <c r="E62" s="71"/>
      <c r="F62" s="71"/>
      <c r="G62" s="71"/>
      <c r="H62" s="72" t="str">
        <f ca="1">IFERROR(INDEX(Labor_Categories[Minimum Direct Labor Rates],MATCH(Cost_Elements[[#This Row],[Government Labor Category]],Labor_Categories[Labor Categories],0)),"")</f>
        <v/>
      </c>
      <c r="I62" s="73"/>
      <c r="J62" s="450"/>
      <c r="K62" s="75">
        <f ca="1">IFERROR(IF(Cost_Elements[[#This Row],[Row]]&gt;='Do Not Use or Delete'!$L$2, IF(Cost_Elements[[#This Row],[Row]]&lt;='Do Not Use or Delete'!$M$2,I62*J62,0),0)+IF(Cost_Elements[[#This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2" s="63"/>
      <c r="M62" s="63"/>
      <c r="N62" s="76">
        <f ca="1">IF(PRODUCT(Cost_Elements[[#This Row],[BLS or SCLS]]="BLS"),(Cost_Elements[[#This Row],[Rate | 1]]*$O$4)+Cost_Elements[[#This Row],[Rate | 1]],(Cost_Elements[[#This Row],[Rate | 1]]*$O$5)+Cost_Elements[[#This Row],[Rate | 1]])</f>
        <v>0</v>
      </c>
      <c r="O62" s="452"/>
      <c r="P62" s="75">
        <f ca="1">IFERROR(IF(Cost_Elements[[#This Row],[Row]]&gt;='Do Not Use or Delete'!$L$2, IF(Cost_Elements[[#This Row],[Row]]&lt;='Do Not Use or Delete'!$M$2,N62*O62,0),0)+IF(Cost_Elements[[#This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2" s="63"/>
      <c r="R62" s="63"/>
      <c r="S62" s="76">
        <f ca="1">IF(PRODUCT(Cost_Elements[[#This Row],[BLS or SCLS]]="BLS"),(Cost_Elements[[#This Row],[Rate | 2]]*$T$4)+Cost_Elements[[#This Row],[Rate | 2]],(Cost_Elements[[#This Row],[Rate | 2]]*$T$5)+Cost_Elements[[#This Row],[Rate | 2]])</f>
        <v>0</v>
      </c>
      <c r="T62" s="450"/>
      <c r="U62" s="75">
        <f ca="1">IFERROR(IF(Cost_Elements[[#This Row],[Row]]&gt;='Do Not Use or Delete'!$L$2, IF(Cost_Elements[[#This Row],[Row]]&lt;='Do Not Use or Delete'!$M$2,S62*T62,0),0)+IF(Cost_Elements[[#This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2" s="63"/>
      <c r="W62" s="63"/>
      <c r="X62" s="76">
        <f ca="1">IF(PRODUCT(Cost_Elements[[#This Row],[BLS or SCLS]]="BLS"),(Cost_Elements[[#This Row],[Rate | 3]]*$Y$4)+Cost_Elements[[#This Row],[Rate | 3]],(Cost_Elements[[#This Row],[Rate | 3]]*$Y$5)+Cost_Elements[[#This Row],[Rate | 3]])</f>
        <v>0</v>
      </c>
      <c r="Y62" s="450"/>
      <c r="Z62" s="75">
        <f ca="1">IFERROR(IF(Cost_Elements[[#This Row],[Row]]&gt;='Do Not Use or Delete'!$L$2, IF(Cost_Elements[[#This Row],[Row]]&lt;='Do Not Use or Delete'!$M$2,X62*Y62,0),0)+IF(Cost_Elements[[#This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2" s="63"/>
      <c r="AB62" s="63"/>
      <c r="AC62" s="76">
        <f ca="1">IF(PRODUCT(Cost_Elements[[#This Row],[BLS or SCLS]]="BLS"),(Cost_Elements[[#This Row],[Rate | 4]]*$AD$4)+Cost_Elements[[#This Row],[Rate | 4]],(Cost_Elements[[#This Row],[Rate | 4]]*$AD$5)+Cost_Elements[[#This Row],[Rate | 4]])</f>
        <v>0</v>
      </c>
      <c r="AD62" s="450"/>
      <c r="AE62" s="75">
        <f ca="1">IFERROR(IF(Cost_Elements[[#This Row],[Row]]&gt;='Do Not Use or Delete'!$L$2, IF(Cost_Elements[[#This Row],[Row]]&lt;='Do Not Use or Delete'!$M$2,AC62*AD62,0),0)+IF(Cost_Elements[[#This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2" s="64"/>
      <c r="AG62" s="65"/>
      <c r="AH62" s="76">
        <f ca="1">IF(PRODUCT(Cost_Elements[[#This Row],[BLS or SCLS]]="BLS"),(Cost_Elements[[#This Row],[Rate | 5]]*$AI$4)+Cost_Elements[[#This Row],[Rate | 5]],(Cost_Elements[[#This Row],[Rate | 5]]*$AI$5)+Cost_Elements[[#This Row],[Rate | 5]])</f>
        <v>0</v>
      </c>
      <c r="AI62" s="450"/>
      <c r="AJ62" s="460"/>
      <c r="AK62" s="460"/>
      <c r="AL62" s="75">
        <f ca="1">IFERROR(IF(Cost_Elements[[#This Row],[Row]]&gt;='Do Not Use or Delete'!$L$2, IF(Cost_Elements[[#This Row],[Row]]&lt;='Do Not Use or Delete'!$M$2,AH62*AI62,0),0)+IF(Cost_Elements[[#This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2" s="64"/>
      <c r="AN62" s="65"/>
      <c r="AO62" s="77">
        <f t="shared" si="0"/>
        <v>0</v>
      </c>
      <c r="AP62" s="78">
        <f t="shared" ca="1" si="1"/>
        <v>0</v>
      </c>
      <c r="AQ62" s="68">
        <f ca="1">ROW(Cost_Elements[[#This Row],[Amount | Total]])</f>
        <v>62</v>
      </c>
    </row>
    <row r="63" spans="1:43">
      <c r="A63" s="240" t="s">
        <v>165</v>
      </c>
      <c r="B63" s="275"/>
      <c r="C63" s="276"/>
      <c r="D63" s="71"/>
      <c r="E63" s="71"/>
      <c r="F63" s="71"/>
      <c r="G63" s="71"/>
      <c r="H63" s="72" t="str">
        <f ca="1">IFERROR(INDEX(Labor_Categories[Minimum Direct Labor Rates],MATCH(Cost_Elements[[#This Row],[Government Labor Category]],Labor_Categories[Labor Categories],0)),"")</f>
        <v/>
      </c>
      <c r="I63" s="73"/>
      <c r="J63" s="450"/>
      <c r="K63" s="75">
        <f ca="1">IFERROR(IF(Cost_Elements[[#This Row],[Row]]&gt;='Do Not Use or Delete'!$L$2, IF(Cost_Elements[[#This Row],[Row]]&lt;='Do Not Use or Delete'!$M$2,I63*J63,0),0)+IF(Cost_Elements[[#This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3" s="63"/>
      <c r="M63" s="63"/>
      <c r="N63" s="76">
        <f ca="1">IF(PRODUCT(Cost_Elements[[#This Row],[BLS or SCLS]]="BLS"),(Cost_Elements[[#This Row],[Rate | 1]]*$O$4)+Cost_Elements[[#This Row],[Rate | 1]],(Cost_Elements[[#This Row],[Rate | 1]]*$O$5)+Cost_Elements[[#This Row],[Rate | 1]])</f>
        <v>0</v>
      </c>
      <c r="O63" s="452"/>
      <c r="P63" s="75">
        <f ca="1">IFERROR(IF(Cost_Elements[[#This Row],[Row]]&gt;='Do Not Use or Delete'!$L$2, IF(Cost_Elements[[#This Row],[Row]]&lt;='Do Not Use or Delete'!$M$2,N63*O63,0),0)+IF(Cost_Elements[[#This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3" s="63"/>
      <c r="R63" s="63"/>
      <c r="S63" s="76">
        <f ca="1">IF(PRODUCT(Cost_Elements[[#This Row],[BLS or SCLS]]="BLS"),(Cost_Elements[[#This Row],[Rate | 2]]*$T$4)+Cost_Elements[[#This Row],[Rate | 2]],(Cost_Elements[[#This Row],[Rate | 2]]*$T$5)+Cost_Elements[[#This Row],[Rate | 2]])</f>
        <v>0</v>
      </c>
      <c r="T63" s="450"/>
      <c r="U63" s="75">
        <f ca="1">IFERROR(IF(Cost_Elements[[#This Row],[Row]]&gt;='Do Not Use or Delete'!$L$2, IF(Cost_Elements[[#This Row],[Row]]&lt;='Do Not Use or Delete'!$M$2,S63*T63,0),0)+IF(Cost_Elements[[#This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3" s="63"/>
      <c r="W63" s="63"/>
      <c r="X63" s="76">
        <f ca="1">IF(PRODUCT(Cost_Elements[[#This Row],[BLS or SCLS]]="BLS"),(Cost_Elements[[#This Row],[Rate | 3]]*$Y$4)+Cost_Elements[[#This Row],[Rate | 3]],(Cost_Elements[[#This Row],[Rate | 3]]*$Y$5)+Cost_Elements[[#This Row],[Rate | 3]])</f>
        <v>0</v>
      </c>
      <c r="Y63" s="450"/>
      <c r="Z63" s="75">
        <f ca="1">IFERROR(IF(Cost_Elements[[#This Row],[Row]]&gt;='Do Not Use or Delete'!$L$2, IF(Cost_Elements[[#This Row],[Row]]&lt;='Do Not Use or Delete'!$M$2,X63*Y63,0),0)+IF(Cost_Elements[[#This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3" s="63"/>
      <c r="AB63" s="63"/>
      <c r="AC63" s="76">
        <f ca="1">IF(PRODUCT(Cost_Elements[[#This Row],[BLS or SCLS]]="BLS"),(Cost_Elements[[#This Row],[Rate | 4]]*$AD$4)+Cost_Elements[[#This Row],[Rate | 4]],(Cost_Elements[[#This Row],[Rate | 4]]*$AD$5)+Cost_Elements[[#This Row],[Rate | 4]])</f>
        <v>0</v>
      </c>
      <c r="AD63" s="450"/>
      <c r="AE63" s="75">
        <f ca="1">IFERROR(IF(Cost_Elements[[#This Row],[Row]]&gt;='Do Not Use or Delete'!$L$2, IF(Cost_Elements[[#This Row],[Row]]&lt;='Do Not Use or Delete'!$M$2,AC63*AD63,0),0)+IF(Cost_Elements[[#This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3" s="64"/>
      <c r="AG63" s="65"/>
      <c r="AH63" s="76">
        <f ca="1">IF(PRODUCT(Cost_Elements[[#This Row],[BLS or SCLS]]="BLS"),(Cost_Elements[[#This Row],[Rate | 5]]*$AI$4)+Cost_Elements[[#This Row],[Rate | 5]],(Cost_Elements[[#This Row],[Rate | 5]]*$AI$5)+Cost_Elements[[#This Row],[Rate | 5]])</f>
        <v>0</v>
      </c>
      <c r="AI63" s="450"/>
      <c r="AJ63" s="460"/>
      <c r="AK63" s="460"/>
      <c r="AL63" s="75">
        <f ca="1">IFERROR(IF(Cost_Elements[[#This Row],[Row]]&gt;='Do Not Use or Delete'!$L$2, IF(Cost_Elements[[#This Row],[Row]]&lt;='Do Not Use or Delete'!$M$2,AH63*AI63,0),0)+IF(Cost_Elements[[#This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3" s="64"/>
      <c r="AN63" s="65"/>
      <c r="AO63" s="77">
        <f t="shared" si="0"/>
        <v>0</v>
      </c>
      <c r="AP63" s="78">
        <f t="shared" ca="1" si="1"/>
        <v>0</v>
      </c>
      <c r="AQ63" s="68">
        <f ca="1">ROW(Cost_Elements[[#This Row],[Amount | Total]])</f>
        <v>63</v>
      </c>
    </row>
    <row r="64" spans="1:43">
      <c r="A64" s="240" t="s">
        <v>165</v>
      </c>
      <c r="B64" s="275"/>
      <c r="C64" s="276"/>
      <c r="D64" s="71"/>
      <c r="E64" s="71"/>
      <c r="F64" s="71"/>
      <c r="G64" s="71"/>
      <c r="H64" s="72" t="str">
        <f ca="1">IFERROR(INDEX(Labor_Categories[Minimum Direct Labor Rates],MATCH(Cost_Elements[[#This Row],[Government Labor Category]],Labor_Categories[Labor Categories],0)),"")</f>
        <v/>
      </c>
      <c r="I64" s="73"/>
      <c r="J64" s="450"/>
      <c r="K64" s="75">
        <f ca="1">IFERROR(IF(Cost_Elements[[#This Row],[Row]]&gt;='Do Not Use or Delete'!$L$2, IF(Cost_Elements[[#This Row],[Row]]&lt;='Do Not Use or Delete'!$M$2,I64*J64,0),0)+IF(Cost_Elements[[#This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4" s="63"/>
      <c r="M64" s="63"/>
      <c r="N64" s="76">
        <f ca="1">IF(PRODUCT(Cost_Elements[[#This Row],[BLS or SCLS]]="BLS"),(Cost_Elements[[#This Row],[Rate | 1]]*$O$4)+Cost_Elements[[#This Row],[Rate | 1]],(Cost_Elements[[#This Row],[Rate | 1]]*$O$5)+Cost_Elements[[#This Row],[Rate | 1]])</f>
        <v>0</v>
      </c>
      <c r="O64" s="452"/>
      <c r="P64" s="75">
        <f ca="1">IFERROR(IF(Cost_Elements[[#This Row],[Row]]&gt;='Do Not Use or Delete'!$L$2, IF(Cost_Elements[[#This Row],[Row]]&lt;='Do Not Use or Delete'!$M$2,N64*O64,0),0)+IF(Cost_Elements[[#This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4" s="63"/>
      <c r="R64" s="63"/>
      <c r="S64" s="76">
        <f ca="1">IF(PRODUCT(Cost_Elements[[#This Row],[BLS or SCLS]]="BLS"),(Cost_Elements[[#This Row],[Rate | 2]]*$T$4)+Cost_Elements[[#This Row],[Rate | 2]],(Cost_Elements[[#This Row],[Rate | 2]]*$T$5)+Cost_Elements[[#This Row],[Rate | 2]])</f>
        <v>0</v>
      </c>
      <c r="T64" s="450"/>
      <c r="U64" s="75">
        <f ca="1">IFERROR(IF(Cost_Elements[[#This Row],[Row]]&gt;='Do Not Use or Delete'!$L$2, IF(Cost_Elements[[#This Row],[Row]]&lt;='Do Not Use or Delete'!$M$2,S64*T64,0),0)+IF(Cost_Elements[[#This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4" s="63"/>
      <c r="W64" s="63"/>
      <c r="X64" s="76">
        <f ca="1">IF(PRODUCT(Cost_Elements[[#This Row],[BLS or SCLS]]="BLS"),(Cost_Elements[[#This Row],[Rate | 3]]*$Y$4)+Cost_Elements[[#This Row],[Rate | 3]],(Cost_Elements[[#This Row],[Rate | 3]]*$Y$5)+Cost_Elements[[#This Row],[Rate | 3]])</f>
        <v>0</v>
      </c>
      <c r="Y64" s="450"/>
      <c r="Z64" s="75">
        <f ca="1">IFERROR(IF(Cost_Elements[[#This Row],[Row]]&gt;='Do Not Use or Delete'!$L$2, IF(Cost_Elements[[#This Row],[Row]]&lt;='Do Not Use or Delete'!$M$2,X64*Y64,0),0)+IF(Cost_Elements[[#This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4" s="63"/>
      <c r="AB64" s="63"/>
      <c r="AC64" s="76">
        <f ca="1">IF(PRODUCT(Cost_Elements[[#This Row],[BLS or SCLS]]="BLS"),(Cost_Elements[[#This Row],[Rate | 4]]*$AD$4)+Cost_Elements[[#This Row],[Rate | 4]],(Cost_Elements[[#This Row],[Rate | 4]]*$AD$5)+Cost_Elements[[#This Row],[Rate | 4]])</f>
        <v>0</v>
      </c>
      <c r="AD64" s="450"/>
      <c r="AE64" s="75">
        <f ca="1">IFERROR(IF(Cost_Elements[[#This Row],[Row]]&gt;='Do Not Use or Delete'!$L$2, IF(Cost_Elements[[#This Row],[Row]]&lt;='Do Not Use or Delete'!$M$2,AC64*AD64,0),0)+IF(Cost_Elements[[#This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4" s="64"/>
      <c r="AG64" s="65"/>
      <c r="AH64" s="76">
        <f ca="1">IF(PRODUCT(Cost_Elements[[#This Row],[BLS or SCLS]]="BLS"),(Cost_Elements[[#This Row],[Rate | 5]]*$AI$4)+Cost_Elements[[#This Row],[Rate | 5]],(Cost_Elements[[#This Row],[Rate | 5]]*$AI$5)+Cost_Elements[[#This Row],[Rate | 5]])</f>
        <v>0</v>
      </c>
      <c r="AI64" s="450"/>
      <c r="AJ64" s="460"/>
      <c r="AK64" s="460"/>
      <c r="AL64" s="75">
        <f ca="1">IFERROR(IF(Cost_Elements[[#This Row],[Row]]&gt;='Do Not Use or Delete'!$L$2, IF(Cost_Elements[[#This Row],[Row]]&lt;='Do Not Use or Delete'!$M$2,AH64*AI64,0),0)+IF(Cost_Elements[[#This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4" s="64"/>
      <c r="AN64" s="65"/>
      <c r="AO64" s="77">
        <f t="shared" si="0"/>
        <v>0</v>
      </c>
      <c r="AP64" s="78">
        <f t="shared" ca="1" si="1"/>
        <v>0</v>
      </c>
      <c r="AQ64" s="68">
        <f ca="1">ROW(Cost_Elements[[#This Row],[Amount | Total]])</f>
        <v>64</v>
      </c>
    </row>
    <row r="65" spans="1:43">
      <c r="A65" s="240" t="s">
        <v>165</v>
      </c>
      <c r="B65" s="275"/>
      <c r="C65" s="276"/>
      <c r="D65" s="71"/>
      <c r="E65" s="71"/>
      <c r="F65" s="71"/>
      <c r="G65" s="71"/>
      <c r="H65" s="72" t="str">
        <f ca="1">IFERROR(INDEX(Labor_Categories[Minimum Direct Labor Rates],MATCH(Cost_Elements[[#This Row],[Government Labor Category]],Labor_Categories[Labor Categories],0)),"")</f>
        <v/>
      </c>
      <c r="I65" s="73"/>
      <c r="J65" s="450"/>
      <c r="K65" s="75">
        <f ca="1">IFERROR(IF(Cost_Elements[[#This Row],[Row]]&gt;='Do Not Use or Delete'!$L$2, IF(Cost_Elements[[#This Row],[Row]]&lt;='Do Not Use or Delete'!$M$2,I65*J65,0),0)+IF(Cost_Elements[[#This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5" s="63"/>
      <c r="M65" s="63"/>
      <c r="N65" s="76">
        <f ca="1">IF(PRODUCT(Cost_Elements[[#This Row],[BLS or SCLS]]="BLS"),(Cost_Elements[[#This Row],[Rate | 1]]*$O$4)+Cost_Elements[[#This Row],[Rate | 1]],(Cost_Elements[[#This Row],[Rate | 1]]*$O$5)+Cost_Elements[[#This Row],[Rate | 1]])</f>
        <v>0</v>
      </c>
      <c r="O65" s="452"/>
      <c r="P65" s="75">
        <f ca="1">IFERROR(IF(Cost_Elements[[#This Row],[Row]]&gt;='Do Not Use or Delete'!$L$2, IF(Cost_Elements[[#This Row],[Row]]&lt;='Do Not Use or Delete'!$M$2,N65*O65,0),0)+IF(Cost_Elements[[#This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5" s="63"/>
      <c r="R65" s="63"/>
      <c r="S65" s="76">
        <f ca="1">IF(PRODUCT(Cost_Elements[[#This Row],[BLS or SCLS]]="BLS"),(Cost_Elements[[#This Row],[Rate | 2]]*$T$4)+Cost_Elements[[#This Row],[Rate | 2]],(Cost_Elements[[#This Row],[Rate | 2]]*$T$5)+Cost_Elements[[#This Row],[Rate | 2]])</f>
        <v>0</v>
      </c>
      <c r="T65" s="450"/>
      <c r="U65" s="75">
        <f ca="1">IFERROR(IF(Cost_Elements[[#This Row],[Row]]&gt;='Do Not Use or Delete'!$L$2, IF(Cost_Elements[[#This Row],[Row]]&lt;='Do Not Use or Delete'!$M$2,S65*T65,0),0)+IF(Cost_Elements[[#This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5" s="63"/>
      <c r="W65" s="63"/>
      <c r="X65" s="76">
        <f ca="1">IF(PRODUCT(Cost_Elements[[#This Row],[BLS or SCLS]]="BLS"),(Cost_Elements[[#This Row],[Rate | 3]]*$Y$4)+Cost_Elements[[#This Row],[Rate | 3]],(Cost_Elements[[#This Row],[Rate | 3]]*$Y$5)+Cost_Elements[[#This Row],[Rate | 3]])</f>
        <v>0</v>
      </c>
      <c r="Y65" s="450"/>
      <c r="Z65" s="75">
        <f ca="1">IFERROR(IF(Cost_Elements[[#This Row],[Row]]&gt;='Do Not Use or Delete'!$L$2, IF(Cost_Elements[[#This Row],[Row]]&lt;='Do Not Use or Delete'!$M$2,X65*Y65,0),0)+IF(Cost_Elements[[#This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5" s="63"/>
      <c r="AB65" s="63"/>
      <c r="AC65" s="76">
        <f ca="1">IF(PRODUCT(Cost_Elements[[#This Row],[BLS or SCLS]]="BLS"),(Cost_Elements[[#This Row],[Rate | 4]]*$AD$4)+Cost_Elements[[#This Row],[Rate | 4]],(Cost_Elements[[#This Row],[Rate | 4]]*$AD$5)+Cost_Elements[[#This Row],[Rate | 4]])</f>
        <v>0</v>
      </c>
      <c r="AD65" s="450"/>
      <c r="AE65" s="75">
        <f ca="1">IFERROR(IF(Cost_Elements[[#This Row],[Row]]&gt;='Do Not Use or Delete'!$L$2, IF(Cost_Elements[[#This Row],[Row]]&lt;='Do Not Use or Delete'!$M$2,AC65*AD65,0),0)+IF(Cost_Elements[[#This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5" s="64"/>
      <c r="AG65" s="65"/>
      <c r="AH65" s="76">
        <f ca="1">IF(PRODUCT(Cost_Elements[[#This Row],[BLS or SCLS]]="BLS"),(Cost_Elements[[#This Row],[Rate | 5]]*$AI$4)+Cost_Elements[[#This Row],[Rate | 5]],(Cost_Elements[[#This Row],[Rate | 5]]*$AI$5)+Cost_Elements[[#This Row],[Rate | 5]])</f>
        <v>0</v>
      </c>
      <c r="AI65" s="450"/>
      <c r="AJ65" s="460"/>
      <c r="AK65" s="460"/>
      <c r="AL65" s="75">
        <f ca="1">IFERROR(IF(Cost_Elements[[#This Row],[Row]]&gt;='Do Not Use or Delete'!$L$2, IF(Cost_Elements[[#This Row],[Row]]&lt;='Do Not Use or Delete'!$M$2,AH65*AI65,0),0)+IF(Cost_Elements[[#This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5" s="64"/>
      <c r="AN65" s="65"/>
      <c r="AO65" s="77">
        <f t="shared" si="0"/>
        <v>0</v>
      </c>
      <c r="AP65" s="78">
        <f t="shared" ca="1" si="1"/>
        <v>0</v>
      </c>
      <c r="AQ65" s="68">
        <f ca="1">ROW(Cost_Elements[[#This Row],[Amount | Total]])</f>
        <v>65</v>
      </c>
    </row>
    <row r="66" spans="1:43">
      <c r="A66" s="240" t="s">
        <v>165</v>
      </c>
      <c r="B66" s="275"/>
      <c r="C66" s="276"/>
      <c r="D66" s="71"/>
      <c r="E66" s="71"/>
      <c r="F66" s="71"/>
      <c r="G66" s="71"/>
      <c r="H66" s="72" t="str">
        <f ca="1">IFERROR(INDEX(Labor_Categories[Minimum Direct Labor Rates],MATCH(Cost_Elements[[#This Row],[Government Labor Category]],Labor_Categories[Labor Categories],0)),"")</f>
        <v/>
      </c>
      <c r="I66" s="73"/>
      <c r="J66" s="450"/>
      <c r="K66" s="75">
        <f ca="1">IFERROR(IF(Cost_Elements[[#This Row],[Row]]&gt;='Do Not Use or Delete'!$L$2, IF(Cost_Elements[[#This Row],[Row]]&lt;='Do Not Use or Delete'!$M$2,I66*J66,0),0)+IF(Cost_Elements[[#This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6" s="63"/>
      <c r="M66" s="63"/>
      <c r="N66" s="76">
        <f ca="1">IF(PRODUCT(Cost_Elements[[#This Row],[BLS or SCLS]]="BLS"),(Cost_Elements[[#This Row],[Rate | 1]]*$O$4)+Cost_Elements[[#This Row],[Rate | 1]],(Cost_Elements[[#This Row],[Rate | 1]]*$O$5)+Cost_Elements[[#This Row],[Rate | 1]])</f>
        <v>0</v>
      </c>
      <c r="O66" s="452"/>
      <c r="P66" s="75">
        <f ca="1">IFERROR(IF(Cost_Elements[[#This Row],[Row]]&gt;='Do Not Use or Delete'!$L$2, IF(Cost_Elements[[#This Row],[Row]]&lt;='Do Not Use or Delete'!$M$2,N66*O66,0),0)+IF(Cost_Elements[[#This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6" s="63"/>
      <c r="R66" s="63"/>
      <c r="S66" s="76">
        <f ca="1">IF(PRODUCT(Cost_Elements[[#This Row],[BLS or SCLS]]="BLS"),(Cost_Elements[[#This Row],[Rate | 2]]*$T$4)+Cost_Elements[[#This Row],[Rate | 2]],(Cost_Elements[[#This Row],[Rate | 2]]*$T$5)+Cost_Elements[[#This Row],[Rate | 2]])</f>
        <v>0</v>
      </c>
      <c r="T66" s="450"/>
      <c r="U66" s="75">
        <f ca="1">IFERROR(IF(Cost_Elements[[#This Row],[Row]]&gt;='Do Not Use or Delete'!$L$2, IF(Cost_Elements[[#This Row],[Row]]&lt;='Do Not Use or Delete'!$M$2,S66*T66,0),0)+IF(Cost_Elements[[#This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6" s="63"/>
      <c r="W66" s="63"/>
      <c r="X66" s="76">
        <f ca="1">IF(PRODUCT(Cost_Elements[[#This Row],[BLS or SCLS]]="BLS"),(Cost_Elements[[#This Row],[Rate | 3]]*$Y$4)+Cost_Elements[[#This Row],[Rate | 3]],(Cost_Elements[[#This Row],[Rate | 3]]*$Y$5)+Cost_Elements[[#This Row],[Rate | 3]])</f>
        <v>0</v>
      </c>
      <c r="Y66" s="450"/>
      <c r="Z66" s="75">
        <f ca="1">IFERROR(IF(Cost_Elements[[#This Row],[Row]]&gt;='Do Not Use or Delete'!$L$2, IF(Cost_Elements[[#This Row],[Row]]&lt;='Do Not Use or Delete'!$M$2,X66*Y66,0),0)+IF(Cost_Elements[[#This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6" s="63"/>
      <c r="AB66" s="63"/>
      <c r="AC66" s="76">
        <f ca="1">IF(PRODUCT(Cost_Elements[[#This Row],[BLS or SCLS]]="BLS"),(Cost_Elements[[#This Row],[Rate | 4]]*$AD$4)+Cost_Elements[[#This Row],[Rate | 4]],(Cost_Elements[[#This Row],[Rate | 4]]*$AD$5)+Cost_Elements[[#This Row],[Rate | 4]])</f>
        <v>0</v>
      </c>
      <c r="AD66" s="450"/>
      <c r="AE66" s="75">
        <f ca="1">IFERROR(IF(Cost_Elements[[#This Row],[Row]]&gt;='Do Not Use or Delete'!$L$2, IF(Cost_Elements[[#This Row],[Row]]&lt;='Do Not Use or Delete'!$M$2,AC66*AD66,0),0)+IF(Cost_Elements[[#This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6" s="64"/>
      <c r="AG66" s="65"/>
      <c r="AH66" s="76">
        <f ca="1">IF(PRODUCT(Cost_Elements[[#This Row],[BLS or SCLS]]="BLS"),(Cost_Elements[[#This Row],[Rate | 5]]*$AI$4)+Cost_Elements[[#This Row],[Rate | 5]],(Cost_Elements[[#This Row],[Rate | 5]]*$AI$5)+Cost_Elements[[#This Row],[Rate | 5]])</f>
        <v>0</v>
      </c>
      <c r="AI66" s="450"/>
      <c r="AJ66" s="460"/>
      <c r="AK66" s="460"/>
      <c r="AL66" s="75">
        <f ca="1">IFERROR(IF(Cost_Elements[[#This Row],[Row]]&gt;='Do Not Use or Delete'!$L$2, IF(Cost_Elements[[#This Row],[Row]]&lt;='Do Not Use or Delete'!$M$2,AH66*AI66,0),0)+IF(Cost_Elements[[#This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6" s="64"/>
      <c r="AN66" s="65"/>
      <c r="AO66" s="77">
        <f t="shared" si="0"/>
        <v>0</v>
      </c>
      <c r="AP66" s="78">
        <f t="shared" ca="1" si="1"/>
        <v>0</v>
      </c>
      <c r="AQ66" s="68">
        <f ca="1">ROW(Cost_Elements[[#This Row],[Amount | Total]])</f>
        <v>66</v>
      </c>
    </row>
    <row r="67" spans="1:43">
      <c r="A67" s="240" t="s">
        <v>165</v>
      </c>
      <c r="B67" s="275"/>
      <c r="C67" s="276"/>
      <c r="D67" s="71"/>
      <c r="E67" s="71"/>
      <c r="F67" s="71"/>
      <c r="G67" s="71"/>
      <c r="H67" s="72" t="str">
        <f ca="1">IFERROR(INDEX(Labor_Categories[Minimum Direct Labor Rates],MATCH(Cost_Elements[[#This Row],[Government Labor Category]],Labor_Categories[Labor Categories],0)),"")</f>
        <v/>
      </c>
      <c r="I67" s="73"/>
      <c r="J67" s="450"/>
      <c r="K67" s="75">
        <f ca="1">IFERROR(IF(Cost_Elements[[#This Row],[Row]]&gt;='Do Not Use or Delete'!$L$2, IF(Cost_Elements[[#This Row],[Row]]&lt;='Do Not Use or Delete'!$M$2,I67*J67,0),0)+IF(Cost_Elements[[#This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7" s="63"/>
      <c r="M67" s="63"/>
      <c r="N67" s="76">
        <f ca="1">IF(PRODUCT(Cost_Elements[[#This Row],[BLS or SCLS]]="BLS"),(Cost_Elements[[#This Row],[Rate | 1]]*$O$4)+Cost_Elements[[#This Row],[Rate | 1]],(Cost_Elements[[#This Row],[Rate | 1]]*$O$5)+Cost_Elements[[#This Row],[Rate | 1]])</f>
        <v>0</v>
      </c>
      <c r="O67" s="452"/>
      <c r="P67" s="75">
        <f ca="1">IFERROR(IF(Cost_Elements[[#This Row],[Row]]&gt;='Do Not Use or Delete'!$L$2, IF(Cost_Elements[[#This Row],[Row]]&lt;='Do Not Use or Delete'!$M$2,N67*O67,0),0)+IF(Cost_Elements[[#This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7" s="63"/>
      <c r="R67" s="63"/>
      <c r="S67" s="76">
        <f ca="1">IF(PRODUCT(Cost_Elements[[#This Row],[BLS or SCLS]]="BLS"),(Cost_Elements[[#This Row],[Rate | 2]]*$T$4)+Cost_Elements[[#This Row],[Rate | 2]],(Cost_Elements[[#This Row],[Rate | 2]]*$T$5)+Cost_Elements[[#This Row],[Rate | 2]])</f>
        <v>0</v>
      </c>
      <c r="T67" s="450"/>
      <c r="U67" s="75">
        <f ca="1">IFERROR(IF(Cost_Elements[[#This Row],[Row]]&gt;='Do Not Use or Delete'!$L$2, IF(Cost_Elements[[#This Row],[Row]]&lt;='Do Not Use or Delete'!$M$2,S67*T67,0),0)+IF(Cost_Elements[[#This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7" s="63"/>
      <c r="W67" s="63"/>
      <c r="X67" s="76">
        <f ca="1">IF(PRODUCT(Cost_Elements[[#This Row],[BLS or SCLS]]="BLS"),(Cost_Elements[[#This Row],[Rate | 3]]*$Y$4)+Cost_Elements[[#This Row],[Rate | 3]],(Cost_Elements[[#This Row],[Rate | 3]]*$Y$5)+Cost_Elements[[#This Row],[Rate | 3]])</f>
        <v>0</v>
      </c>
      <c r="Y67" s="450"/>
      <c r="Z67" s="75">
        <f ca="1">IFERROR(IF(Cost_Elements[[#This Row],[Row]]&gt;='Do Not Use or Delete'!$L$2, IF(Cost_Elements[[#This Row],[Row]]&lt;='Do Not Use or Delete'!$M$2,X67*Y67,0),0)+IF(Cost_Elements[[#This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7" s="63"/>
      <c r="AB67" s="63"/>
      <c r="AC67" s="76">
        <f ca="1">IF(PRODUCT(Cost_Elements[[#This Row],[BLS or SCLS]]="BLS"),(Cost_Elements[[#This Row],[Rate | 4]]*$AD$4)+Cost_Elements[[#This Row],[Rate | 4]],(Cost_Elements[[#This Row],[Rate | 4]]*$AD$5)+Cost_Elements[[#This Row],[Rate | 4]])</f>
        <v>0</v>
      </c>
      <c r="AD67" s="450"/>
      <c r="AE67" s="75">
        <f ca="1">IFERROR(IF(Cost_Elements[[#This Row],[Row]]&gt;='Do Not Use or Delete'!$L$2, IF(Cost_Elements[[#This Row],[Row]]&lt;='Do Not Use or Delete'!$M$2,AC67*AD67,0),0)+IF(Cost_Elements[[#This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7" s="64"/>
      <c r="AG67" s="65"/>
      <c r="AH67" s="76">
        <f ca="1">IF(PRODUCT(Cost_Elements[[#This Row],[BLS or SCLS]]="BLS"),(Cost_Elements[[#This Row],[Rate | 5]]*$AI$4)+Cost_Elements[[#This Row],[Rate | 5]],(Cost_Elements[[#This Row],[Rate | 5]]*$AI$5)+Cost_Elements[[#This Row],[Rate | 5]])</f>
        <v>0</v>
      </c>
      <c r="AI67" s="450"/>
      <c r="AJ67" s="460"/>
      <c r="AK67" s="460"/>
      <c r="AL67" s="75">
        <f ca="1">IFERROR(IF(Cost_Elements[[#This Row],[Row]]&gt;='Do Not Use or Delete'!$L$2, IF(Cost_Elements[[#This Row],[Row]]&lt;='Do Not Use or Delete'!$M$2,AH67*AI67,0),0)+IF(Cost_Elements[[#This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7" s="64"/>
      <c r="AN67" s="65"/>
      <c r="AO67" s="77">
        <f t="shared" si="0"/>
        <v>0</v>
      </c>
      <c r="AP67" s="78">
        <f t="shared" ca="1" si="1"/>
        <v>0</v>
      </c>
      <c r="AQ67" s="68">
        <f ca="1">ROW(Cost_Elements[[#This Row],[Amount | Total]])</f>
        <v>67</v>
      </c>
    </row>
    <row r="68" spans="1:43">
      <c r="A68" s="240" t="s">
        <v>165</v>
      </c>
      <c r="B68" s="275"/>
      <c r="C68" s="276"/>
      <c r="D68" s="71"/>
      <c r="E68" s="71"/>
      <c r="F68" s="71"/>
      <c r="G68" s="71"/>
      <c r="H68" s="72" t="str">
        <f ca="1">IFERROR(INDEX(Labor_Categories[Minimum Direct Labor Rates],MATCH(Cost_Elements[[#This Row],[Government Labor Category]],Labor_Categories[Labor Categories],0)),"")</f>
        <v/>
      </c>
      <c r="I68" s="73"/>
      <c r="J68" s="450"/>
      <c r="K68" s="75">
        <f ca="1">IFERROR(IF(Cost_Elements[[#This Row],[Row]]&gt;='Do Not Use or Delete'!$L$2, IF(Cost_Elements[[#This Row],[Row]]&lt;='Do Not Use or Delete'!$M$2,I68*J68,0),0)+IF(Cost_Elements[[#This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8" s="63"/>
      <c r="M68" s="63"/>
      <c r="N68" s="76">
        <f ca="1">IF(PRODUCT(Cost_Elements[[#This Row],[BLS or SCLS]]="BLS"),(Cost_Elements[[#This Row],[Rate | 1]]*$O$4)+Cost_Elements[[#This Row],[Rate | 1]],(Cost_Elements[[#This Row],[Rate | 1]]*$O$5)+Cost_Elements[[#This Row],[Rate | 1]])</f>
        <v>0</v>
      </c>
      <c r="O68" s="452"/>
      <c r="P68" s="75">
        <f ca="1">IFERROR(IF(Cost_Elements[[#This Row],[Row]]&gt;='Do Not Use or Delete'!$L$2, IF(Cost_Elements[[#This Row],[Row]]&lt;='Do Not Use or Delete'!$M$2,N68*O68,0),0)+IF(Cost_Elements[[#This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8" s="63"/>
      <c r="R68" s="63"/>
      <c r="S68" s="76">
        <f ca="1">IF(PRODUCT(Cost_Elements[[#This Row],[BLS or SCLS]]="BLS"),(Cost_Elements[[#This Row],[Rate | 2]]*$T$4)+Cost_Elements[[#This Row],[Rate | 2]],(Cost_Elements[[#This Row],[Rate | 2]]*$T$5)+Cost_Elements[[#This Row],[Rate | 2]])</f>
        <v>0</v>
      </c>
      <c r="T68" s="450"/>
      <c r="U68" s="75">
        <f ca="1">IFERROR(IF(Cost_Elements[[#This Row],[Row]]&gt;='Do Not Use or Delete'!$L$2, IF(Cost_Elements[[#This Row],[Row]]&lt;='Do Not Use or Delete'!$M$2,S68*T68,0),0)+IF(Cost_Elements[[#This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8" s="63"/>
      <c r="W68" s="63"/>
      <c r="X68" s="76">
        <f ca="1">IF(PRODUCT(Cost_Elements[[#This Row],[BLS or SCLS]]="BLS"),(Cost_Elements[[#This Row],[Rate | 3]]*$Y$4)+Cost_Elements[[#This Row],[Rate | 3]],(Cost_Elements[[#This Row],[Rate | 3]]*$Y$5)+Cost_Elements[[#This Row],[Rate | 3]])</f>
        <v>0</v>
      </c>
      <c r="Y68" s="450"/>
      <c r="Z68" s="75">
        <f ca="1">IFERROR(IF(Cost_Elements[[#This Row],[Row]]&gt;='Do Not Use or Delete'!$L$2, IF(Cost_Elements[[#This Row],[Row]]&lt;='Do Not Use or Delete'!$M$2,X68*Y68,0),0)+IF(Cost_Elements[[#This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8" s="63"/>
      <c r="AB68" s="63"/>
      <c r="AC68" s="76">
        <f ca="1">IF(PRODUCT(Cost_Elements[[#This Row],[BLS or SCLS]]="BLS"),(Cost_Elements[[#This Row],[Rate | 4]]*$AD$4)+Cost_Elements[[#This Row],[Rate | 4]],(Cost_Elements[[#This Row],[Rate | 4]]*$AD$5)+Cost_Elements[[#This Row],[Rate | 4]])</f>
        <v>0</v>
      </c>
      <c r="AD68" s="450"/>
      <c r="AE68" s="75">
        <f ca="1">IFERROR(IF(Cost_Elements[[#This Row],[Row]]&gt;='Do Not Use or Delete'!$L$2, IF(Cost_Elements[[#This Row],[Row]]&lt;='Do Not Use or Delete'!$M$2,AC68*AD68,0),0)+IF(Cost_Elements[[#This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8" s="64"/>
      <c r="AG68" s="65"/>
      <c r="AH68" s="76">
        <f ca="1">IF(PRODUCT(Cost_Elements[[#This Row],[BLS or SCLS]]="BLS"),(Cost_Elements[[#This Row],[Rate | 5]]*$AI$4)+Cost_Elements[[#This Row],[Rate | 5]],(Cost_Elements[[#This Row],[Rate | 5]]*$AI$5)+Cost_Elements[[#This Row],[Rate | 5]])</f>
        <v>0</v>
      </c>
      <c r="AI68" s="450"/>
      <c r="AJ68" s="460"/>
      <c r="AK68" s="460"/>
      <c r="AL68" s="75">
        <f ca="1">IFERROR(IF(Cost_Elements[[#This Row],[Row]]&gt;='Do Not Use or Delete'!$L$2, IF(Cost_Elements[[#This Row],[Row]]&lt;='Do Not Use or Delete'!$M$2,AH68*AI68,0),0)+IF(Cost_Elements[[#This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8" s="64"/>
      <c r="AN68" s="65"/>
      <c r="AO68" s="77">
        <f t="shared" si="0"/>
        <v>0</v>
      </c>
      <c r="AP68" s="78">
        <f t="shared" ca="1" si="1"/>
        <v>0</v>
      </c>
      <c r="AQ68" s="68">
        <f ca="1">ROW(Cost_Elements[[#This Row],[Amount | Total]])</f>
        <v>68</v>
      </c>
    </row>
    <row r="69" spans="1:43">
      <c r="A69" s="240" t="s">
        <v>165</v>
      </c>
      <c r="B69" s="275"/>
      <c r="C69" s="276"/>
      <c r="D69" s="71"/>
      <c r="E69" s="71"/>
      <c r="F69" s="71"/>
      <c r="G69" s="71"/>
      <c r="H69" s="72" t="str">
        <f ca="1">IFERROR(INDEX(Labor_Categories[Minimum Direct Labor Rates],MATCH(Cost_Elements[[#This Row],[Government Labor Category]],Labor_Categories[Labor Categories],0)),"")</f>
        <v/>
      </c>
      <c r="I69" s="73"/>
      <c r="J69" s="450"/>
      <c r="K69" s="75">
        <f ca="1">IFERROR(IF(Cost_Elements[[#This Row],[Row]]&gt;='Do Not Use or Delete'!$L$2, IF(Cost_Elements[[#This Row],[Row]]&lt;='Do Not Use or Delete'!$M$2,I69*J69,0),0)+IF(Cost_Elements[[#This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9" s="63"/>
      <c r="M69" s="63"/>
      <c r="N69" s="76">
        <f ca="1">IF(PRODUCT(Cost_Elements[[#This Row],[BLS or SCLS]]="BLS"),(Cost_Elements[[#This Row],[Rate | 1]]*$O$4)+Cost_Elements[[#This Row],[Rate | 1]],(Cost_Elements[[#This Row],[Rate | 1]]*$O$5)+Cost_Elements[[#This Row],[Rate | 1]])</f>
        <v>0</v>
      </c>
      <c r="O69" s="452"/>
      <c r="P69" s="75">
        <f ca="1">IFERROR(IF(Cost_Elements[[#This Row],[Row]]&gt;='Do Not Use or Delete'!$L$2, IF(Cost_Elements[[#This Row],[Row]]&lt;='Do Not Use or Delete'!$M$2,N69*O69,0),0)+IF(Cost_Elements[[#This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9" s="63"/>
      <c r="R69" s="63"/>
      <c r="S69" s="76">
        <f ca="1">IF(PRODUCT(Cost_Elements[[#This Row],[BLS or SCLS]]="BLS"),(Cost_Elements[[#This Row],[Rate | 2]]*$T$4)+Cost_Elements[[#This Row],[Rate | 2]],(Cost_Elements[[#This Row],[Rate | 2]]*$T$5)+Cost_Elements[[#This Row],[Rate | 2]])</f>
        <v>0</v>
      </c>
      <c r="T69" s="450"/>
      <c r="U69" s="75">
        <f ca="1">IFERROR(IF(Cost_Elements[[#This Row],[Row]]&gt;='Do Not Use or Delete'!$L$2, IF(Cost_Elements[[#This Row],[Row]]&lt;='Do Not Use or Delete'!$M$2,S69*T69,0),0)+IF(Cost_Elements[[#This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9" s="63"/>
      <c r="W69" s="63"/>
      <c r="X69" s="76">
        <f ca="1">IF(PRODUCT(Cost_Elements[[#This Row],[BLS or SCLS]]="BLS"),(Cost_Elements[[#This Row],[Rate | 3]]*$Y$4)+Cost_Elements[[#This Row],[Rate | 3]],(Cost_Elements[[#This Row],[Rate | 3]]*$Y$5)+Cost_Elements[[#This Row],[Rate | 3]])</f>
        <v>0</v>
      </c>
      <c r="Y69" s="450"/>
      <c r="Z69" s="75">
        <f ca="1">IFERROR(IF(Cost_Elements[[#This Row],[Row]]&gt;='Do Not Use or Delete'!$L$2, IF(Cost_Elements[[#This Row],[Row]]&lt;='Do Not Use or Delete'!$M$2,X69*Y69,0),0)+IF(Cost_Elements[[#This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9" s="63"/>
      <c r="AB69" s="63"/>
      <c r="AC69" s="76">
        <f ca="1">IF(PRODUCT(Cost_Elements[[#This Row],[BLS or SCLS]]="BLS"),(Cost_Elements[[#This Row],[Rate | 4]]*$AD$4)+Cost_Elements[[#This Row],[Rate | 4]],(Cost_Elements[[#This Row],[Rate | 4]]*$AD$5)+Cost_Elements[[#This Row],[Rate | 4]])</f>
        <v>0</v>
      </c>
      <c r="AD69" s="450"/>
      <c r="AE69" s="75">
        <f ca="1">IFERROR(IF(Cost_Elements[[#This Row],[Row]]&gt;='Do Not Use or Delete'!$L$2, IF(Cost_Elements[[#This Row],[Row]]&lt;='Do Not Use or Delete'!$M$2,AC69*AD69,0),0)+IF(Cost_Elements[[#This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9" s="64"/>
      <c r="AG69" s="65"/>
      <c r="AH69" s="76">
        <f ca="1">IF(PRODUCT(Cost_Elements[[#This Row],[BLS or SCLS]]="BLS"),(Cost_Elements[[#This Row],[Rate | 5]]*$AI$4)+Cost_Elements[[#This Row],[Rate | 5]],(Cost_Elements[[#This Row],[Rate | 5]]*$AI$5)+Cost_Elements[[#This Row],[Rate | 5]])</f>
        <v>0</v>
      </c>
      <c r="AI69" s="450"/>
      <c r="AJ69" s="460"/>
      <c r="AK69" s="460"/>
      <c r="AL69" s="75">
        <f ca="1">IFERROR(IF(Cost_Elements[[#This Row],[Row]]&gt;='Do Not Use or Delete'!$L$2, IF(Cost_Elements[[#This Row],[Row]]&lt;='Do Not Use or Delete'!$M$2,AH69*AI69,0),0)+IF(Cost_Elements[[#This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9" s="64"/>
      <c r="AN69" s="65"/>
      <c r="AO69" s="77">
        <f t="shared" si="0"/>
        <v>0</v>
      </c>
      <c r="AP69" s="78">
        <f t="shared" ca="1" si="1"/>
        <v>0</v>
      </c>
      <c r="AQ69" s="68">
        <f ca="1">ROW(Cost_Elements[[#This Row],[Amount | Total]])</f>
        <v>69</v>
      </c>
    </row>
    <row r="70" spans="1:43" ht="15.6" customHeight="1">
      <c r="A70" s="240" t="s">
        <v>165</v>
      </c>
      <c r="B70" s="275"/>
      <c r="C70" s="276"/>
      <c r="D70" s="71"/>
      <c r="E70" s="71"/>
      <c r="F70" s="71"/>
      <c r="G70" s="71"/>
      <c r="H70" s="72" t="str">
        <f ca="1">IFERROR(INDEX(Labor_Categories[Minimum Direct Labor Rates],MATCH(Cost_Elements[[#This Row],[Government Labor Category]],Labor_Categories[Labor Categories],0)),"")</f>
        <v/>
      </c>
      <c r="I70" s="73"/>
      <c r="J70" s="450"/>
      <c r="K70" s="75">
        <f ca="1">IFERROR(IF(Cost_Elements[[#This Row],[Row]]&gt;='Do Not Use or Delete'!$L$2, IF(Cost_Elements[[#This Row],[Row]]&lt;='Do Not Use or Delete'!$M$2,I70*J70,0),0)+IF(Cost_Elements[[#This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0" s="63"/>
      <c r="M70" s="63"/>
      <c r="N70" s="76">
        <f ca="1">IF(PRODUCT(Cost_Elements[[#This Row],[BLS or SCLS]]="BLS"),(Cost_Elements[[#This Row],[Rate | 1]]*$O$4)+Cost_Elements[[#This Row],[Rate | 1]],(Cost_Elements[[#This Row],[Rate | 1]]*$O$5)+Cost_Elements[[#This Row],[Rate | 1]])</f>
        <v>0</v>
      </c>
      <c r="O70" s="452"/>
      <c r="P70" s="75">
        <f ca="1">IFERROR(IF(Cost_Elements[[#This Row],[Row]]&gt;='Do Not Use or Delete'!$L$2, IF(Cost_Elements[[#This Row],[Row]]&lt;='Do Not Use or Delete'!$M$2,N70*O70,0),0)+IF(Cost_Elements[[#This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0" s="63"/>
      <c r="R70" s="63"/>
      <c r="S70" s="76">
        <f ca="1">IF(PRODUCT(Cost_Elements[[#This Row],[BLS or SCLS]]="BLS"),(Cost_Elements[[#This Row],[Rate | 2]]*$T$4)+Cost_Elements[[#This Row],[Rate | 2]],(Cost_Elements[[#This Row],[Rate | 2]]*$T$5)+Cost_Elements[[#This Row],[Rate | 2]])</f>
        <v>0</v>
      </c>
      <c r="T70" s="450"/>
      <c r="U70" s="75">
        <f ca="1">IFERROR(IF(Cost_Elements[[#This Row],[Row]]&gt;='Do Not Use or Delete'!$L$2, IF(Cost_Elements[[#This Row],[Row]]&lt;='Do Not Use or Delete'!$M$2,S70*T70,0),0)+IF(Cost_Elements[[#This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0" s="63"/>
      <c r="W70" s="63"/>
      <c r="X70" s="76">
        <f ca="1">IF(PRODUCT(Cost_Elements[[#This Row],[BLS or SCLS]]="BLS"),(Cost_Elements[[#This Row],[Rate | 3]]*$Y$4)+Cost_Elements[[#This Row],[Rate | 3]],(Cost_Elements[[#This Row],[Rate | 3]]*$Y$5)+Cost_Elements[[#This Row],[Rate | 3]])</f>
        <v>0</v>
      </c>
      <c r="Y70" s="450"/>
      <c r="Z70" s="75">
        <f ca="1">IFERROR(IF(Cost_Elements[[#This Row],[Row]]&gt;='Do Not Use or Delete'!$L$2, IF(Cost_Elements[[#This Row],[Row]]&lt;='Do Not Use or Delete'!$M$2,X70*Y70,0),0)+IF(Cost_Elements[[#This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0" s="63"/>
      <c r="AB70" s="63"/>
      <c r="AC70" s="76">
        <f ca="1">IF(PRODUCT(Cost_Elements[[#This Row],[BLS or SCLS]]="BLS"),(Cost_Elements[[#This Row],[Rate | 4]]*$AD$4)+Cost_Elements[[#This Row],[Rate | 4]],(Cost_Elements[[#This Row],[Rate | 4]]*$AD$5)+Cost_Elements[[#This Row],[Rate | 4]])</f>
        <v>0</v>
      </c>
      <c r="AD70" s="450"/>
      <c r="AE70" s="75">
        <f ca="1">IFERROR(IF(Cost_Elements[[#This Row],[Row]]&gt;='Do Not Use or Delete'!$L$2, IF(Cost_Elements[[#This Row],[Row]]&lt;='Do Not Use or Delete'!$M$2,AC70*AD70,0),0)+IF(Cost_Elements[[#This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0" s="64"/>
      <c r="AG70" s="65"/>
      <c r="AH70" s="76">
        <f ca="1">IF(PRODUCT(Cost_Elements[[#This Row],[BLS or SCLS]]="BLS"),(Cost_Elements[[#This Row],[Rate | 5]]*$AI$4)+Cost_Elements[[#This Row],[Rate | 5]],(Cost_Elements[[#This Row],[Rate | 5]]*$AI$5)+Cost_Elements[[#This Row],[Rate | 5]])</f>
        <v>0</v>
      </c>
      <c r="AI70" s="450"/>
      <c r="AJ70" s="460"/>
      <c r="AK70" s="460"/>
      <c r="AL70" s="75">
        <f ca="1">IFERROR(IF(Cost_Elements[[#This Row],[Row]]&gt;='Do Not Use or Delete'!$L$2, IF(Cost_Elements[[#This Row],[Row]]&lt;='Do Not Use or Delete'!$M$2,AH70*AI70,0),0)+IF(Cost_Elements[[#This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0" s="64"/>
      <c r="AN70" s="65"/>
      <c r="AO70" s="77">
        <f t="shared" si="0"/>
        <v>0</v>
      </c>
      <c r="AP70" s="78">
        <f t="shared" ca="1" si="1"/>
        <v>0</v>
      </c>
      <c r="AQ70" s="68">
        <f ca="1">ROW(Cost_Elements[[#This Row],[Amount | Total]])</f>
        <v>70</v>
      </c>
    </row>
    <row r="71" spans="1:43">
      <c r="A71" s="240" t="s">
        <v>165</v>
      </c>
      <c r="B71" s="275"/>
      <c r="C71" s="276"/>
      <c r="D71" s="71"/>
      <c r="E71" s="71"/>
      <c r="F71" s="71"/>
      <c r="G71" s="71"/>
      <c r="H71" s="72" t="str">
        <f ca="1">IFERROR(INDEX(Labor_Categories[Minimum Direct Labor Rates],MATCH(Cost_Elements[[#This Row],[Government Labor Category]],Labor_Categories[Labor Categories],0)),"")</f>
        <v/>
      </c>
      <c r="I71" s="73"/>
      <c r="J71" s="450"/>
      <c r="K71" s="75">
        <f ca="1">IFERROR(IF(Cost_Elements[[#This Row],[Row]]&gt;='Do Not Use or Delete'!$L$2, IF(Cost_Elements[[#This Row],[Row]]&lt;='Do Not Use or Delete'!$M$2,I71*J71,0),0)+IF(Cost_Elements[[#This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1" s="63"/>
      <c r="M71" s="63"/>
      <c r="N71" s="76">
        <f ca="1">IF(PRODUCT(Cost_Elements[[#This Row],[BLS or SCLS]]="BLS"),(Cost_Elements[[#This Row],[Rate | 1]]*$O$4)+Cost_Elements[[#This Row],[Rate | 1]],(Cost_Elements[[#This Row],[Rate | 1]]*$O$5)+Cost_Elements[[#This Row],[Rate | 1]])</f>
        <v>0</v>
      </c>
      <c r="O71" s="452"/>
      <c r="P71" s="75">
        <f ca="1">IFERROR(IF(Cost_Elements[[#This Row],[Row]]&gt;='Do Not Use or Delete'!$L$2, IF(Cost_Elements[[#This Row],[Row]]&lt;='Do Not Use or Delete'!$M$2,N71*O71,0),0)+IF(Cost_Elements[[#This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1" s="63"/>
      <c r="R71" s="63"/>
      <c r="S71" s="76">
        <f ca="1">IF(PRODUCT(Cost_Elements[[#This Row],[BLS or SCLS]]="BLS"),(Cost_Elements[[#This Row],[Rate | 2]]*$T$4)+Cost_Elements[[#This Row],[Rate | 2]],(Cost_Elements[[#This Row],[Rate | 2]]*$T$5)+Cost_Elements[[#This Row],[Rate | 2]])</f>
        <v>0</v>
      </c>
      <c r="T71" s="450"/>
      <c r="U71" s="75">
        <f ca="1">IFERROR(IF(Cost_Elements[[#This Row],[Row]]&gt;='Do Not Use or Delete'!$L$2, IF(Cost_Elements[[#This Row],[Row]]&lt;='Do Not Use or Delete'!$M$2,S71*T71,0),0)+IF(Cost_Elements[[#This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1" s="63"/>
      <c r="W71" s="63"/>
      <c r="X71" s="76">
        <f ca="1">IF(PRODUCT(Cost_Elements[[#This Row],[BLS or SCLS]]="BLS"),(Cost_Elements[[#This Row],[Rate | 3]]*$Y$4)+Cost_Elements[[#This Row],[Rate | 3]],(Cost_Elements[[#This Row],[Rate | 3]]*$Y$5)+Cost_Elements[[#This Row],[Rate | 3]])</f>
        <v>0</v>
      </c>
      <c r="Y71" s="450"/>
      <c r="Z71" s="75">
        <f ca="1">IFERROR(IF(Cost_Elements[[#This Row],[Row]]&gt;='Do Not Use or Delete'!$L$2, IF(Cost_Elements[[#This Row],[Row]]&lt;='Do Not Use or Delete'!$M$2,X71*Y71,0),0)+IF(Cost_Elements[[#This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1" s="63"/>
      <c r="AB71" s="63"/>
      <c r="AC71" s="76">
        <f ca="1">IF(PRODUCT(Cost_Elements[[#This Row],[BLS or SCLS]]="BLS"),(Cost_Elements[[#This Row],[Rate | 4]]*$AD$4)+Cost_Elements[[#This Row],[Rate | 4]],(Cost_Elements[[#This Row],[Rate | 4]]*$AD$5)+Cost_Elements[[#This Row],[Rate | 4]])</f>
        <v>0</v>
      </c>
      <c r="AD71" s="450"/>
      <c r="AE71" s="75">
        <f ca="1">IFERROR(IF(Cost_Elements[[#This Row],[Row]]&gt;='Do Not Use or Delete'!$L$2, IF(Cost_Elements[[#This Row],[Row]]&lt;='Do Not Use or Delete'!$M$2,AC71*AD71,0),0)+IF(Cost_Elements[[#This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1" s="64"/>
      <c r="AG71" s="65"/>
      <c r="AH71" s="76">
        <f ca="1">IF(PRODUCT(Cost_Elements[[#This Row],[BLS or SCLS]]="BLS"),(Cost_Elements[[#This Row],[Rate | 5]]*$AI$4)+Cost_Elements[[#This Row],[Rate | 5]],(Cost_Elements[[#This Row],[Rate | 5]]*$AI$5)+Cost_Elements[[#This Row],[Rate | 5]])</f>
        <v>0</v>
      </c>
      <c r="AI71" s="450"/>
      <c r="AJ71" s="460"/>
      <c r="AK71" s="460"/>
      <c r="AL71" s="75">
        <f ca="1">IFERROR(IF(Cost_Elements[[#This Row],[Row]]&gt;='Do Not Use or Delete'!$L$2, IF(Cost_Elements[[#This Row],[Row]]&lt;='Do Not Use or Delete'!$M$2,AH71*AI71,0),0)+IF(Cost_Elements[[#This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1" s="64"/>
      <c r="AN71" s="65"/>
      <c r="AO71" s="77">
        <f t="shared" si="0"/>
        <v>0</v>
      </c>
      <c r="AP71" s="78">
        <f t="shared" ca="1" si="1"/>
        <v>0</v>
      </c>
      <c r="AQ71" s="68">
        <f ca="1">ROW(Cost_Elements[[#This Row],[Amount | Total]])</f>
        <v>71</v>
      </c>
    </row>
    <row r="72" spans="1:43">
      <c r="A72" s="240" t="s">
        <v>165</v>
      </c>
      <c r="B72" s="275"/>
      <c r="C72" s="276"/>
      <c r="D72" s="71"/>
      <c r="E72" s="71"/>
      <c r="F72" s="71"/>
      <c r="G72" s="71"/>
      <c r="H72" s="72" t="str">
        <f ca="1">IFERROR(INDEX(Labor_Categories[Minimum Direct Labor Rates],MATCH(Cost_Elements[[#This Row],[Government Labor Category]],Labor_Categories[Labor Categories],0)),"")</f>
        <v/>
      </c>
      <c r="I72" s="73"/>
      <c r="J72" s="450"/>
      <c r="K72" s="75">
        <f ca="1">IFERROR(IF(Cost_Elements[[#This Row],[Row]]&gt;='Do Not Use or Delete'!$L$2, IF(Cost_Elements[[#This Row],[Row]]&lt;='Do Not Use or Delete'!$M$2,I72*J72,0),0)+IF(Cost_Elements[[#This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2" s="63"/>
      <c r="M72" s="63"/>
      <c r="N72" s="76">
        <f ca="1">IF(PRODUCT(Cost_Elements[[#This Row],[BLS or SCLS]]="BLS"),(Cost_Elements[[#This Row],[Rate | 1]]*$O$4)+Cost_Elements[[#This Row],[Rate | 1]],(Cost_Elements[[#This Row],[Rate | 1]]*$O$5)+Cost_Elements[[#This Row],[Rate | 1]])</f>
        <v>0</v>
      </c>
      <c r="O72" s="452"/>
      <c r="P72" s="75">
        <f ca="1">IFERROR(IF(Cost_Elements[[#This Row],[Row]]&gt;='Do Not Use or Delete'!$L$2, IF(Cost_Elements[[#This Row],[Row]]&lt;='Do Not Use or Delete'!$M$2,N72*O72,0),0)+IF(Cost_Elements[[#This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2" s="63"/>
      <c r="R72" s="63"/>
      <c r="S72" s="76">
        <f ca="1">IF(PRODUCT(Cost_Elements[[#This Row],[BLS or SCLS]]="BLS"),(Cost_Elements[[#This Row],[Rate | 2]]*$T$4)+Cost_Elements[[#This Row],[Rate | 2]],(Cost_Elements[[#This Row],[Rate | 2]]*$T$5)+Cost_Elements[[#This Row],[Rate | 2]])</f>
        <v>0</v>
      </c>
      <c r="T72" s="450"/>
      <c r="U72" s="75">
        <f ca="1">IFERROR(IF(Cost_Elements[[#This Row],[Row]]&gt;='Do Not Use or Delete'!$L$2, IF(Cost_Elements[[#This Row],[Row]]&lt;='Do Not Use or Delete'!$M$2,S72*T72,0),0)+IF(Cost_Elements[[#This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2" s="63"/>
      <c r="W72" s="63"/>
      <c r="X72" s="76">
        <f ca="1">IF(PRODUCT(Cost_Elements[[#This Row],[BLS or SCLS]]="BLS"),(Cost_Elements[[#This Row],[Rate | 3]]*$Y$4)+Cost_Elements[[#This Row],[Rate | 3]],(Cost_Elements[[#This Row],[Rate | 3]]*$Y$5)+Cost_Elements[[#This Row],[Rate | 3]])</f>
        <v>0</v>
      </c>
      <c r="Y72" s="450"/>
      <c r="Z72" s="75">
        <f ca="1">IFERROR(IF(Cost_Elements[[#This Row],[Row]]&gt;='Do Not Use or Delete'!$L$2, IF(Cost_Elements[[#This Row],[Row]]&lt;='Do Not Use or Delete'!$M$2,X72*Y72,0),0)+IF(Cost_Elements[[#This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2" s="63"/>
      <c r="AB72" s="63"/>
      <c r="AC72" s="76">
        <f ca="1">IF(PRODUCT(Cost_Elements[[#This Row],[BLS or SCLS]]="BLS"),(Cost_Elements[[#This Row],[Rate | 4]]*$AD$4)+Cost_Elements[[#This Row],[Rate | 4]],(Cost_Elements[[#This Row],[Rate | 4]]*$AD$5)+Cost_Elements[[#This Row],[Rate | 4]])</f>
        <v>0</v>
      </c>
      <c r="AD72" s="450"/>
      <c r="AE72" s="75">
        <f ca="1">IFERROR(IF(Cost_Elements[[#This Row],[Row]]&gt;='Do Not Use or Delete'!$L$2, IF(Cost_Elements[[#This Row],[Row]]&lt;='Do Not Use or Delete'!$M$2,AC72*AD72,0),0)+IF(Cost_Elements[[#This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2" s="64"/>
      <c r="AG72" s="65"/>
      <c r="AH72" s="76">
        <f ca="1">IF(PRODUCT(Cost_Elements[[#This Row],[BLS or SCLS]]="BLS"),(Cost_Elements[[#This Row],[Rate | 5]]*$AI$4)+Cost_Elements[[#This Row],[Rate | 5]],(Cost_Elements[[#This Row],[Rate | 5]]*$AI$5)+Cost_Elements[[#This Row],[Rate | 5]])</f>
        <v>0</v>
      </c>
      <c r="AI72" s="450"/>
      <c r="AJ72" s="460"/>
      <c r="AK72" s="460"/>
      <c r="AL72" s="75">
        <f ca="1">IFERROR(IF(Cost_Elements[[#This Row],[Row]]&gt;='Do Not Use or Delete'!$L$2, IF(Cost_Elements[[#This Row],[Row]]&lt;='Do Not Use or Delete'!$M$2,AH72*AI72,0),0)+IF(Cost_Elements[[#This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2" s="64"/>
      <c r="AN72" s="65"/>
      <c r="AO72" s="77">
        <f t="shared" si="0"/>
        <v>0</v>
      </c>
      <c r="AP72" s="78">
        <f t="shared" ca="1" si="1"/>
        <v>0</v>
      </c>
      <c r="AQ72" s="68">
        <f ca="1">ROW(Cost_Elements[[#This Row],[Amount | Total]])</f>
        <v>72</v>
      </c>
    </row>
    <row r="73" spans="1:43">
      <c r="A73" s="240" t="s">
        <v>165</v>
      </c>
      <c r="B73" s="275"/>
      <c r="C73" s="276"/>
      <c r="D73" s="71"/>
      <c r="E73" s="71"/>
      <c r="F73" s="71"/>
      <c r="G73" s="71"/>
      <c r="H73" s="72" t="str">
        <f ca="1">IFERROR(INDEX(Labor_Categories[Minimum Direct Labor Rates],MATCH(Cost_Elements[[#This Row],[Government Labor Category]],Labor_Categories[Labor Categories],0)),"")</f>
        <v/>
      </c>
      <c r="I73" s="79"/>
      <c r="J73" s="450"/>
      <c r="K73" s="75">
        <f ca="1">IFERROR(IF(Cost_Elements[[#This Row],[Row]]&gt;='Do Not Use or Delete'!$L$2, IF(Cost_Elements[[#This Row],[Row]]&lt;='Do Not Use or Delete'!$M$2,I73*J73,0),0)+IF(Cost_Elements[[#This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3" s="63"/>
      <c r="M73" s="63"/>
      <c r="N73" s="76">
        <f ca="1">IF(PRODUCT(Cost_Elements[[#This Row],[BLS or SCLS]]="BLS"),(Cost_Elements[[#This Row],[Rate | 1]]*$O$4)+Cost_Elements[[#This Row],[Rate | 1]],(Cost_Elements[[#This Row],[Rate | 1]]*$O$5)+Cost_Elements[[#This Row],[Rate | 1]])</f>
        <v>0</v>
      </c>
      <c r="O73" s="452"/>
      <c r="P73" s="75">
        <f ca="1">IFERROR(IF(Cost_Elements[[#This Row],[Row]]&gt;='Do Not Use or Delete'!$L$2, IF(Cost_Elements[[#This Row],[Row]]&lt;='Do Not Use or Delete'!$M$2,N73*O73,0),0)+IF(Cost_Elements[[#This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3" s="63"/>
      <c r="R73" s="63"/>
      <c r="S73" s="76">
        <f ca="1">IF(PRODUCT(Cost_Elements[[#This Row],[BLS or SCLS]]="BLS"),(Cost_Elements[[#This Row],[Rate | 2]]*$T$4)+Cost_Elements[[#This Row],[Rate | 2]],(Cost_Elements[[#This Row],[Rate | 2]]*$T$5)+Cost_Elements[[#This Row],[Rate | 2]])</f>
        <v>0</v>
      </c>
      <c r="T73" s="450"/>
      <c r="U73" s="75">
        <f ca="1">IFERROR(IF(Cost_Elements[[#This Row],[Row]]&gt;='Do Not Use or Delete'!$L$2, IF(Cost_Elements[[#This Row],[Row]]&lt;='Do Not Use or Delete'!$M$2,S73*T73,0),0)+IF(Cost_Elements[[#This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3" s="63"/>
      <c r="W73" s="63"/>
      <c r="X73" s="76">
        <f ca="1">IF(PRODUCT(Cost_Elements[[#This Row],[BLS or SCLS]]="BLS"),(Cost_Elements[[#This Row],[Rate | 3]]*$Y$4)+Cost_Elements[[#This Row],[Rate | 3]],(Cost_Elements[[#This Row],[Rate | 3]]*$Y$5)+Cost_Elements[[#This Row],[Rate | 3]])</f>
        <v>0</v>
      </c>
      <c r="Y73" s="450"/>
      <c r="Z73" s="75">
        <f ca="1">IFERROR(IF(Cost_Elements[[#This Row],[Row]]&gt;='Do Not Use or Delete'!$L$2, IF(Cost_Elements[[#This Row],[Row]]&lt;='Do Not Use or Delete'!$M$2,X73*Y73,0),0)+IF(Cost_Elements[[#This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3" s="63"/>
      <c r="AB73" s="63"/>
      <c r="AC73" s="76">
        <f ca="1">IF(PRODUCT(Cost_Elements[[#This Row],[BLS or SCLS]]="BLS"),(Cost_Elements[[#This Row],[Rate | 4]]*$AD$4)+Cost_Elements[[#This Row],[Rate | 4]],(Cost_Elements[[#This Row],[Rate | 4]]*$AD$5)+Cost_Elements[[#This Row],[Rate | 4]])</f>
        <v>0</v>
      </c>
      <c r="AD73" s="450"/>
      <c r="AE73" s="75">
        <f ca="1">IFERROR(IF(Cost_Elements[[#This Row],[Row]]&gt;='Do Not Use or Delete'!$L$2, IF(Cost_Elements[[#This Row],[Row]]&lt;='Do Not Use or Delete'!$M$2,AC73*AD73,0),0)+IF(Cost_Elements[[#This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3" s="64"/>
      <c r="AG73" s="65"/>
      <c r="AH73" s="76">
        <f ca="1">IF(PRODUCT(Cost_Elements[[#This Row],[BLS or SCLS]]="BLS"),(Cost_Elements[[#This Row],[Rate | 5]]*$AI$4)+Cost_Elements[[#This Row],[Rate | 5]],(Cost_Elements[[#This Row],[Rate | 5]]*$AI$5)+Cost_Elements[[#This Row],[Rate | 5]])</f>
        <v>0</v>
      </c>
      <c r="AI73" s="450"/>
      <c r="AJ73" s="460"/>
      <c r="AK73" s="460"/>
      <c r="AL73" s="75">
        <f ca="1">IFERROR(IF(Cost_Elements[[#This Row],[Row]]&gt;='Do Not Use or Delete'!$L$2, IF(Cost_Elements[[#This Row],[Row]]&lt;='Do Not Use or Delete'!$M$2,AH73*AI73,0),0)+IF(Cost_Elements[[#This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3" s="64"/>
      <c r="AN73" s="65"/>
      <c r="AO73" s="77">
        <f t="shared" si="0"/>
        <v>0</v>
      </c>
      <c r="AP73" s="78">
        <f t="shared" ca="1" si="1"/>
        <v>0</v>
      </c>
      <c r="AQ73" s="68">
        <f ca="1">ROW(Cost_Elements[[#This Row],[Amount | Total]])</f>
        <v>73</v>
      </c>
    </row>
    <row r="74" spans="1:43">
      <c r="A74" s="240" t="s">
        <v>165</v>
      </c>
      <c r="B74" s="278"/>
      <c r="C74" s="276"/>
      <c r="D74" s="71"/>
      <c r="E74" s="71"/>
      <c r="F74" s="71"/>
      <c r="G74" s="71"/>
      <c r="H74" s="72" t="str">
        <f ca="1">IFERROR(INDEX(Labor_Categories[Minimum Direct Labor Rates],MATCH(Cost_Elements[[#This Row],[Government Labor Category]],Labor_Categories[Labor Categories],0)),"")</f>
        <v/>
      </c>
      <c r="I74" s="79"/>
      <c r="J74" s="450"/>
      <c r="K74" s="75">
        <f ca="1">IFERROR(IF(Cost_Elements[[#This Row],[Row]]&gt;='Do Not Use or Delete'!$L$2, IF(Cost_Elements[[#This Row],[Row]]&lt;='Do Not Use or Delete'!$M$2,I74*J74,0),0)+IF(Cost_Elements[[#This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4" s="63"/>
      <c r="M74" s="63"/>
      <c r="N74" s="76">
        <f ca="1">IF(PRODUCT(Cost_Elements[[#This Row],[BLS or SCLS]]="BLS"),(Cost_Elements[[#This Row],[Rate | 1]]*$O$4)+Cost_Elements[[#This Row],[Rate | 1]],(Cost_Elements[[#This Row],[Rate | 1]]*$O$5)+Cost_Elements[[#This Row],[Rate | 1]])</f>
        <v>0</v>
      </c>
      <c r="O74" s="452"/>
      <c r="P74" s="75">
        <f ca="1">IFERROR(IF(Cost_Elements[[#This Row],[Row]]&gt;='Do Not Use or Delete'!$L$2, IF(Cost_Elements[[#This Row],[Row]]&lt;='Do Not Use or Delete'!$M$2,N74*O74,0),0)+IF(Cost_Elements[[#This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4" s="63"/>
      <c r="R74" s="63"/>
      <c r="S74" s="76">
        <f ca="1">IF(PRODUCT(Cost_Elements[[#This Row],[BLS or SCLS]]="BLS"),(Cost_Elements[[#This Row],[Rate | 2]]*$T$4)+Cost_Elements[[#This Row],[Rate | 2]],(Cost_Elements[[#This Row],[Rate | 2]]*$T$5)+Cost_Elements[[#This Row],[Rate | 2]])</f>
        <v>0</v>
      </c>
      <c r="T74" s="450"/>
      <c r="U74" s="75">
        <f ca="1">IFERROR(IF(Cost_Elements[[#This Row],[Row]]&gt;='Do Not Use or Delete'!$L$2, IF(Cost_Elements[[#This Row],[Row]]&lt;='Do Not Use or Delete'!$M$2,S74*T74,0),0)+IF(Cost_Elements[[#This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4" s="63"/>
      <c r="W74" s="63"/>
      <c r="X74" s="76">
        <f ca="1">IF(PRODUCT(Cost_Elements[[#This Row],[BLS or SCLS]]="BLS"),(Cost_Elements[[#This Row],[Rate | 3]]*$Y$4)+Cost_Elements[[#This Row],[Rate | 3]],(Cost_Elements[[#This Row],[Rate | 3]]*$Y$5)+Cost_Elements[[#This Row],[Rate | 3]])</f>
        <v>0</v>
      </c>
      <c r="Y74" s="450"/>
      <c r="Z74" s="75">
        <f ca="1">IFERROR(IF(Cost_Elements[[#This Row],[Row]]&gt;='Do Not Use or Delete'!$L$2, IF(Cost_Elements[[#This Row],[Row]]&lt;='Do Not Use or Delete'!$M$2,X74*Y74,0),0)+IF(Cost_Elements[[#This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4" s="63"/>
      <c r="AB74" s="63"/>
      <c r="AC74" s="76">
        <f ca="1">IF(PRODUCT(Cost_Elements[[#This Row],[BLS or SCLS]]="BLS"),(Cost_Elements[[#This Row],[Rate | 4]]*$AD$4)+Cost_Elements[[#This Row],[Rate | 4]],(Cost_Elements[[#This Row],[Rate | 4]]*$AD$5)+Cost_Elements[[#This Row],[Rate | 4]])</f>
        <v>0</v>
      </c>
      <c r="AD74" s="450"/>
      <c r="AE74" s="75">
        <f ca="1">IFERROR(IF(Cost_Elements[[#This Row],[Row]]&gt;='Do Not Use or Delete'!$L$2, IF(Cost_Elements[[#This Row],[Row]]&lt;='Do Not Use or Delete'!$M$2,AC74*AD74,0),0)+IF(Cost_Elements[[#This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4" s="64"/>
      <c r="AG74" s="65"/>
      <c r="AH74" s="76">
        <f ca="1">IF(PRODUCT(Cost_Elements[[#This Row],[BLS or SCLS]]="BLS"),(Cost_Elements[[#This Row],[Rate | 5]]*$AI$4)+Cost_Elements[[#This Row],[Rate | 5]],(Cost_Elements[[#This Row],[Rate | 5]]*$AI$5)+Cost_Elements[[#This Row],[Rate | 5]])</f>
        <v>0</v>
      </c>
      <c r="AI74" s="450"/>
      <c r="AJ74" s="460"/>
      <c r="AK74" s="460"/>
      <c r="AL74" s="75">
        <f ca="1">IFERROR(IF(Cost_Elements[[#This Row],[Row]]&gt;='Do Not Use or Delete'!$L$2, IF(Cost_Elements[[#This Row],[Row]]&lt;='Do Not Use or Delete'!$M$2,AH74*AI74,0),0)+IF(Cost_Elements[[#This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4" s="64"/>
      <c r="AN74" s="65"/>
      <c r="AO74" s="77">
        <f t="shared" si="0"/>
        <v>0</v>
      </c>
      <c r="AP74" s="78">
        <f t="shared" ca="1" si="1"/>
        <v>0</v>
      </c>
      <c r="AQ74" s="68">
        <f ca="1">ROW(Cost_Elements[[#This Row],[Amount | Total]])</f>
        <v>74</v>
      </c>
    </row>
    <row r="75" spans="1:43">
      <c r="A75" s="240" t="s">
        <v>165</v>
      </c>
      <c r="B75" s="279"/>
      <c r="C75" s="276"/>
      <c r="D75" s="71"/>
      <c r="E75" s="71"/>
      <c r="F75" s="71"/>
      <c r="G75" s="71"/>
      <c r="H75" s="72" t="str">
        <f ca="1">IFERROR(INDEX(Labor_Categories[Minimum Direct Labor Rates],MATCH(Cost_Elements[[#This Row],[Government Labor Category]],Labor_Categories[Labor Categories],0)),"")</f>
        <v/>
      </c>
      <c r="I75" s="79"/>
      <c r="J75" s="450"/>
      <c r="K75" s="75">
        <f ca="1">IFERROR(IF(Cost_Elements[[#This Row],[Row]]&gt;='Do Not Use or Delete'!$L$2, IF(Cost_Elements[[#This Row],[Row]]&lt;='Do Not Use or Delete'!$M$2,I75*J75,0),0)+IF(Cost_Elements[[#This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5" s="63"/>
      <c r="M75" s="63"/>
      <c r="N75" s="76">
        <f ca="1">IF(PRODUCT(Cost_Elements[[#This Row],[BLS or SCLS]]="BLS"),(Cost_Elements[[#This Row],[Rate | 1]]*$O$4)+Cost_Elements[[#This Row],[Rate | 1]],(Cost_Elements[[#This Row],[Rate | 1]]*$O$5)+Cost_Elements[[#This Row],[Rate | 1]])</f>
        <v>0</v>
      </c>
      <c r="O75" s="452"/>
      <c r="P75" s="75">
        <f ca="1">IFERROR(IF(Cost_Elements[[#This Row],[Row]]&gt;='Do Not Use or Delete'!$L$2, IF(Cost_Elements[[#This Row],[Row]]&lt;='Do Not Use or Delete'!$M$2,N75*O75,0),0)+IF(Cost_Elements[[#This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5" s="63"/>
      <c r="R75" s="63"/>
      <c r="S75" s="76">
        <f ca="1">IF(PRODUCT(Cost_Elements[[#This Row],[BLS or SCLS]]="BLS"),(Cost_Elements[[#This Row],[Rate | 2]]*$T$4)+Cost_Elements[[#This Row],[Rate | 2]],(Cost_Elements[[#This Row],[Rate | 2]]*$T$5)+Cost_Elements[[#This Row],[Rate | 2]])</f>
        <v>0</v>
      </c>
      <c r="T75" s="450"/>
      <c r="U75" s="75">
        <f ca="1">IFERROR(IF(Cost_Elements[[#This Row],[Row]]&gt;='Do Not Use or Delete'!$L$2, IF(Cost_Elements[[#This Row],[Row]]&lt;='Do Not Use or Delete'!$M$2,S75*T75,0),0)+IF(Cost_Elements[[#This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5" s="63"/>
      <c r="W75" s="63"/>
      <c r="X75" s="76">
        <f ca="1">IF(PRODUCT(Cost_Elements[[#This Row],[BLS or SCLS]]="BLS"),(Cost_Elements[[#This Row],[Rate | 3]]*$Y$4)+Cost_Elements[[#This Row],[Rate | 3]],(Cost_Elements[[#This Row],[Rate | 3]]*$Y$5)+Cost_Elements[[#This Row],[Rate | 3]])</f>
        <v>0</v>
      </c>
      <c r="Y75" s="450"/>
      <c r="Z75" s="75">
        <f ca="1">IFERROR(IF(Cost_Elements[[#This Row],[Row]]&gt;='Do Not Use or Delete'!$L$2, IF(Cost_Elements[[#This Row],[Row]]&lt;='Do Not Use or Delete'!$M$2,X75*Y75,0),0)+IF(Cost_Elements[[#This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5" s="63"/>
      <c r="AB75" s="63"/>
      <c r="AC75" s="76">
        <f ca="1">IF(PRODUCT(Cost_Elements[[#This Row],[BLS or SCLS]]="BLS"),(Cost_Elements[[#This Row],[Rate | 4]]*$AD$4)+Cost_Elements[[#This Row],[Rate | 4]],(Cost_Elements[[#This Row],[Rate | 4]]*$AD$5)+Cost_Elements[[#This Row],[Rate | 4]])</f>
        <v>0</v>
      </c>
      <c r="AD75" s="450"/>
      <c r="AE75" s="75">
        <f ca="1">IFERROR(IF(Cost_Elements[[#This Row],[Row]]&gt;='Do Not Use or Delete'!$L$2, IF(Cost_Elements[[#This Row],[Row]]&lt;='Do Not Use or Delete'!$M$2,AC75*AD75,0),0)+IF(Cost_Elements[[#This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5" s="64"/>
      <c r="AG75" s="65"/>
      <c r="AH75" s="76">
        <f ca="1">IF(PRODUCT(Cost_Elements[[#This Row],[BLS or SCLS]]="BLS"),(Cost_Elements[[#This Row],[Rate | 5]]*$AI$4)+Cost_Elements[[#This Row],[Rate | 5]],(Cost_Elements[[#This Row],[Rate | 5]]*$AI$5)+Cost_Elements[[#This Row],[Rate | 5]])</f>
        <v>0</v>
      </c>
      <c r="AI75" s="450"/>
      <c r="AJ75" s="460"/>
      <c r="AK75" s="460"/>
      <c r="AL75" s="75">
        <f ca="1">IFERROR(IF(Cost_Elements[[#This Row],[Row]]&gt;='Do Not Use or Delete'!$L$2, IF(Cost_Elements[[#This Row],[Row]]&lt;='Do Not Use or Delete'!$M$2,AH75*AI75,0),0)+IF(Cost_Elements[[#This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5" s="64"/>
      <c r="AN75" s="65"/>
      <c r="AO75" s="77">
        <f t="shared" ref="AO75:AO79" si="2">J75+O75+T75+Y75+AD75+AI75</f>
        <v>0</v>
      </c>
      <c r="AP75" s="78">
        <f t="shared" ref="AP75:AP79" ca="1" si="3">K75+P75+U75+Z75+AE75+AL75</f>
        <v>0</v>
      </c>
      <c r="AQ75" s="68">
        <f ca="1">ROW(Cost_Elements[[#This Row],[Amount | Total]])</f>
        <v>75</v>
      </c>
    </row>
    <row r="76" spans="1:43">
      <c r="A76" s="240" t="s">
        <v>165</v>
      </c>
      <c r="B76" s="275"/>
      <c r="C76" s="276"/>
      <c r="D76" s="71"/>
      <c r="E76" s="71"/>
      <c r="F76" s="71"/>
      <c r="G76" s="71"/>
      <c r="H76" s="72" t="str">
        <f ca="1">IFERROR(INDEX(Labor_Categories[Minimum Direct Labor Rates],MATCH(Cost_Elements[[#This Row],[Government Labor Category]],Labor_Categories[Labor Categories],0)),"")</f>
        <v/>
      </c>
      <c r="I76" s="79"/>
      <c r="J76" s="450"/>
      <c r="K76" s="75">
        <f ca="1">IFERROR(IF(Cost_Elements[[#This Row],[Row]]&gt;='Do Not Use or Delete'!$L$2, IF(Cost_Elements[[#This Row],[Row]]&lt;='Do Not Use or Delete'!$M$2,I76*J76,0),0)+IF(Cost_Elements[[#This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6" s="63"/>
      <c r="M76" s="63"/>
      <c r="N76" s="76">
        <f ca="1">IF(PRODUCT(Cost_Elements[[#This Row],[BLS or SCLS]]="BLS"),(Cost_Elements[[#This Row],[Rate | 1]]*$O$4)+Cost_Elements[[#This Row],[Rate | 1]],(Cost_Elements[[#This Row],[Rate | 1]]*$O$5)+Cost_Elements[[#This Row],[Rate | 1]])</f>
        <v>0</v>
      </c>
      <c r="O76" s="452"/>
      <c r="P76" s="75">
        <f ca="1">IFERROR(IF(Cost_Elements[[#This Row],[Row]]&gt;='Do Not Use or Delete'!$L$2, IF(Cost_Elements[[#This Row],[Row]]&lt;='Do Not Use or Delete'!$M$2,N76*O76,0),0)+IF(Cost_Elements[[#This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6" s="63"/>
      <c r="R76" s="63"/>
      <c r="S76" s="76">
        <f ca="1">IF(PRODUCT(Cost_Elements[[#This Row],[BLS or SCLS]]="BLS"),(Cost_Elements[[#This Row],[Rate | 2]]*$T$4)+Cost_Elements[[#This Row],[Rate | 2]],(Cost_Elements[[#This Row],[Rate | 2]]*$T$5)+Cost_Elements[[#This Row],[Rate | 2]])</f>
        <v>0</v>
      </c>
      <c r="T76" s="450"/>
      <c r="U76" s="75">
        <f ca="1">IFERROR(IF(Cost_Elements[[#This Row],[Row]]&gt;='Do Not Use or Delete'!$L$2, IF(Cost_Elements[[#This Row],[Row]]&lt;='Do Not Use or Delete'!$M$2,S76*T76,0),0)+IF(Cost_Elements[[#This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6" s="63"/>
      <c r="W76" s="63"/>
      <c r="X76" s="76">
        <f ca="1">IF(PRODUCT(Cost_Elements[[#This Row],[BLS or SCLS]]="BLS"),(Cost_Elements[[#This Row],[Rate | 3]]*$Y$4)+Cost_Elements[[#This Row],[Rate | 3]],(Cost_Elements[[#This Row],[Rate | 3]]*$Y$5)+Cost_Elements[[#This Row],[Rate | 3]])</f>
        <v>0</v>
      </c>
      <c r="Y76" s="450"/>
      <c r="Z76" s="75">
        <f ca="1">IFERROR(IF(Cost_Elements[[#This Row],[Row]]&gt;='Do Not Use or Delete'!$L$2, IF(Cost_Elements[[#This Row],[Row]]&lt;='Do Not Use or Delete'!$M$2,X76*Y76,0),0)+IF(Cost_Elements[[#This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6" s="63"/>
      <c r="AB76" s="63"/>
      <c r="AC76" s="76">
        <f ca="1">IF(PRODUCT(Cost_Elements[[#This Row],[BLS or SCLS]]="BLS"),(Cost_Elements[[#This Row],[Rate | 4]]*$AD$4)+Cost_Elements[[#This Row],[Rate | 4]],(Cost_Elements[[#This Row],[Rate | 4]]*$AD$5)+Cost_Elements[[#This Row],[Rate | 4]])</f>
        <v>0</v>
      </c>
      <c r="AD76" s="450"/>
      <c r="AE76" s="75">
        <f ca="1">IFERROR(IF(Cost_Elements[[#This Row],[Row]]&gt;='Do Not Use or Delete'!$L$2, IF(Cost_Elements[[#This Row],[Row]]&lt;='Do Not Use or Delete'!$M$2,AC76*AD76,0),0)+IF(Cost_Elements[[#This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6" s="64"/>
      <c r="AG76" s="65"/>
      <c r="AH76" s="76">
        <f ca="1">IF(PRODUCT(Cost_Elements[[#This Row],[BLS or SCLS]]="BLS"),(Cost_Elements[[#This Row],[Rate | 5]]*$AI$4)+Cost_Elements[[#This Row],[Rate | 5]],(Cost_Elements[[#This Row],[Rate | 5]]*$AI$5)+Cost_Elements[[#This Row],[Rate | 5]])</f>
        <v>0</v>
      </c>
      <c r="AI76" s="450"/>
      <c r="AJ76" s="460"/>
      <c r="AK76" s="460"/>
      <c r="AL76" s="75">
        <f ca="1">IFERROR(IF(Cost_Elements[[#This Row],[Row]]&gt;='Do Not Use or Delete'!$L$2, IF(Cost_Elements[[#This Row],[Row]]&lt;='Do Not Use or Delete'!$M$2,AH76*AI76,0),0)+IF(Cost_Elements[[#This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6" s="64"/>
      <c r="AN76" s="65"/>
      <c r="AO76" s="77">
        <f t="shared" si="2"/>
        <v>0</v>
      </c>
      <c r="AP76" s="78">
        <f t="shared" ca="1" si="3"/>
        <v>0</v>
      </c>
      <c r="AQ76" s="68">
        <f ca="1">ROW(Cost_Elements[[#This Row],[Amount | Total]])</f>
        <v>76</v>
      </c>
    </row>
    <row r="77" spans="1:43">
      <c r="A77" s="240" t="s">
        <v>165</v>
      </c>
      <c r="B77" s="275"/>
      <c r="C77" s="276"/>
      <c r="D77" s="71"/>
      <c r="E77" s="71"/>
      <c r="F77" s="71"/>
      <c r="G77" s="71"/>
      <c r="H77" s="72" t="str">
        <f ca="1">IFERROR(INDEX(Labor_Categories[Minimum Direct Labor Rates],MATCH(Cost_Elements[[#This Row],[Government Labor Category]],Labor_Categories[Labor Categories],0)),"")</f>
        <v/>
      </c>
      <c r="I77" s="79"/>
      <c r="J77" s="450"/>
      <c r="K77" s="75">
        <f ca="1">IFERROR(IF(Cost_Elements[[#This Row],[Row]]&gt;='Do Not Use or Delete'!$L$2, IF(Cost_Elements[[#This Row],[Row]]&lt;='Do Not Use or Delete'!$M$2,I77*J77,0),0)+IF(Cost_Elements[[#This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7" s="63"/>
      <c r="M77" s="63"/>
      <c r="N77" s="76">
        <f ca="1">IF(PRODUCT(Cost_Elements[[#This Row],[BLS or SCLS]]="BLS"),(Cost_Elements[[#This Row],[Rate | 1]]*$O$4)+Cost_Elements[[#This Row],[Rate | 1]],(Cost_Elements[[#This Row],[Rate | 1]]*$O$5)+Cost_Elements[[#This Row],[Rate | 1]])</f>
        <v>0</v>
      </c>
      <c r="O77" s="452"/>
      <c r="P77" s="75">
        <f ca="1">IFERROR(IF(Cost_Elements[[#This Row],[Row]]&gt;='Do Not Use or Delete'!$L$2, IF(Cost_Elements[[#This Row],[Row]]&lt;='Do Not Use or Delete'!$M$2,N77*O77,0),0)+IF(Cost_Elements[[#This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7" s="63"/>
      <c r="R77" s="63"/>
      <c r="S77" s="76">
        <f ca="1">IF(PRODUCT(Cost_Elements[[#This Row],[BLS or SCLS]]="BLS"),(Cost_Elements[[#This Row],[Rate | 2]]*$T$4)+Cost_Elements[[#This Row],[Rate | 2]],(Cost_Elements[[#This Row],[Rate | 2]]*$T$5)+Cost_Elements[[#This Row],[Rate | 2]])</f>
        <v>0</v>
      </c>
      <c r="T77" s="450"/>
      <c r="U77" s="75">
        <f ca="1">IFERROR(IF(Cost_Elements[[#This Row],[Row]]&gt;='Do Not Use or Delete'!$L$2, IF(Cost_Elements[[#This Row],[Row]]&lt;='Do Not Use or Delete'!$M$2,S77*T77,0),0)+IF(Cost_Elements[[#This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7" s="63"/>
      <c r="W77" s="63"/>
      <c r="X77" s="76">
        <f ca="1">IF(PRODUCT(Cost_Elements[[#This Row],[BLS or SCLS]]="BLS"),(Cost_Elements[[#This Row],[Rate | 3]]*$Y$4)+Cost_Elements[[#This Row],[Rate | 3]],(Cost_Elements[[#This Row],[Rate | 3]]*$Y$5)+Cost_Elements[[#This Row],[Rate | 3]])</f>
        <v>0</v>
      </c>
      <c r="Y77" s="450"/>
      <c r="Z77" s="75">
        <f ca="1">IFERROR(IF(Cost_Elements[[#This Row],[Row]]&gt;='Do Not Use or Delete'!$L$2, IF(Cost_Elements[[#This Row],[Row]]&lt;='Do Not Use or Delete'!$M$2,X77*Y77,0),0)+IF(Cost_Elements[[#This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7" s="63"/>
      <c r="AB77" s="63"/>
      <c r="AC77" s="76">
        <f ca="1">IF(PRODUCT(Cost_Elements[[#This Row],[BLS or SCLS]]="BLS"),(Cost_Elements[[#This Row],[Rate | 4]]*$AD$4)+Cost_Elements[[#This Row],[Rate | 4]],(Cost_Elements[[#This Row],[Rate | 4]]*$AD$5)+Cost_Elements[[#This Row],[Rate | 4]])</f>
        <v>0</v>
      </c>
      <c r="AD77" s="450"/>
      <c r="AE77" s="75">
        <f ca="1">IFERROR(IF(Cost_Elements[[#This Row],[Row]]&gt;='Do Not Use or Delete'!$L$2, IF(Cost_Elements[[#This Row],[Row]]&lt;='Do Not Use or Delete'!$M$2,AC77*AD77,0),0)+IF(Cost_Elements[[#This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7" s="64"/>
      <c r="AG77" s="65"/>
      <c r="AH77" s="76">
        <f ca="1">IF(PRODUCT(Cost_Elements[[#This Row],[BLS or SCLS]]="BLS"),(Cost_Elements[[#This Row],[Rate | 5]]*$AI$4)+Cost_Elements[[#This Row],[Rate | 5]],(Cost_Elements[[#This Row],[Rate | 5]]*$AI$5)+Cost_Elements[[#This Row],[Rate | 5]])</f>
        <v>0</v>
      </c>
      <c r="AI77" s="450"/>
      <c r="AJ77" s="460"/>
      <c r="AK77" s="460"/>
      <c r="AL77" s="75">
        <f ca="1">IFERROR(IF(Cost_Elements[[#This Row],[Row]]&gt;='Do Not Use or Delete'!$L$2, IF(Cost_Elements[[#This Row],[Row]]&lt;='Do Not Use or Delete'!$M$2,AH77*AI77,0),0)+IF(Cost_Elements[[#This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7" s="64"/>
      <c r="AN77" s="65"/>
      <c r="AO77" s="77">
        <f>J77+O77+T77+Y77+AD77+AI77</f>
        <v>0</v>
      </c>
      <c r="AP77" s="78">
        <f ca="1">K77+P77+U77+Z77+AE77+AL77</f>
        <v>0</v>
      </c>
      <c r="AQ77" s="68">
        <f ca="1">ROW(Cost_Elements[[#This Row],[Amount | Total]])</f>
        <v>77</v>
      </c>
    </row>
    <row r="78" spans="1:43">
      <c r="A78" s="240" t="s">
        <v>165</v>
      </c>
      <c r="B78" s="275"/>
      <c r="C78" s="276"/>
      <c r="D78" s="71"/>
      <c r="E78" s="71"/>
      <c r="F78" s="71"/>
      <c r="G78" s="71"/>
      <c r="H78" s="72" t="str">
        <f ca="1">IFERROR(INDEX(Labor_Categories[Minimum Direct Labor Rates],MATCH(Cost_Elements[[#This Row],[Government Labor Category]],Labor_Categories[Labor Categories],0)),"")</f>
        <v/>
      </c>
      <c r="I78" s="79"/>
      <c r="J78" s="450"/>
      <c r="K78" s="75">
        <f ca="1">IFERROR(IF(Cost_Elements[[#This Row],[Row]]&gt;='Do Not Use or Delete'!$L$2, IF(Cost_Elements[[#This Row],[Row]]&lt;='Do Not Use or Delete'!$M$2,I78*J78,0),0)+IF(Cost_Elements[[#This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8" s="63"/>
      <c r="M78" s="63"/>
      <c r="N78" s="76">
        <f ca="1">IF(PRODUCT(Cost_Elements[[#This Row],[BLS or SCLS]]="BLS"),(Cost_Elements[[#This Row],[Rate | 1]]*$O$4)+Cost_Elements[[#This Row],[Rate | 1]],(Cost_Elements[[#This Row],[Rate | 1]]*$O$5)+Cost_Elements[[#This Row],[Rate | 1]])</f>
        <v>0</v>
      </c>
      <c r="O78" s="452"/>
      <c r="P78" s="75">
        <f ca="1">IFERROR(IF(Cost_Elements[[#This Row],[Row]]&gt;='Do Not Use or Delete'!$L$2, IF(Cost_Elements[[#This Row],[Row]]&lt;='Do Not Use or Delete'!$M$2,N78*O78,0),0)+IF(Cost_Elements[[#This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8" s="63"/>
      <c r="R78" s="63"/>
      <c r="S78" s="76">
        <f ca="1">IF(PRODUCT(Cost_Elements[[#This Row],[BLS or SCLS]]="BLS"),(Cost_Elements[[#This Row],[Rate | 2]]*$T$4)+Cost_Elements[[#This Row],[Rate | 2]],(Cost_Elements[[#This Row],[Rate | 2]]*$T$5)+Cost_Elements[[#This Row],[Rate | 2]])</f>
        <v>0</v>
      </c>
      <c r="T78" s="450"/>
      <c r="U78" s="75">
        <f ca="1">IFERROR(IF(Cost_Elements[[#This Row],[Row]]&gt;='Do Not Use or Delete'!$L$2, IF(Cost_Elements[[#This Row],[Row]]&lt;='Do Not Use or Delete'!$M$2,S78*T78,0),0)+IF(Cost_Elements[[#This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8" s="63"/>
      <c r="W78" s="63"/>
      <c r="X78" s="76">
        <f ca="1">IF(PRODUCT(Cost_Elements[[#This Row],[BLS or SCLS]]="BLS"),(Cost_Elements[[#This Row],[Rate | 3]]*$Y$4)+Cost_Elements[[#This Row],[Rate | 3]],(Cost_Elements[[#This Row],[Rate | 3]]*$Y$5)+Cost_Elements[[#This Row],[Rate | 3]])</f>
        <v>0</v>
      </c>
      <c r="Y78" s="450"/>
      <c r="Z78" s="75">
        <f ca="1">IFERROR(IF(Cost_Elements[[#This Row],[Row]]&gt;='Do Not Use or Delete'!$L$2, IF(Cost_Elements[[#This Row],[Row]]&lt;='Do Not Use or Delete'!$M$2,X78*Y78,0),0)+IF(Cost_Elements[[#This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8" s="63"/>
      <c r="AB78" s="63"/>
      <c r="AC78" s="76">
        <f ca="1">IF(PRODUCT(Cost_Elements[[#This Row],[BLS or SCLS]]="BLS"),(Cost_Elements[[#This Row],[Rate | 4]]*$AD$4)+Cost_Elements[[#This Row],[Rate | 4]],(Cost_Elements[[#This Row],[Rate | 4]]*$AD$5)+Cost_Elements[[#This Row],[Rate | 4]])</f>
        <v>0</v>
      </c>
      <c r="AD78" s="450"/>
      <c r="AE78" s="75">
        <f ca="1">IFERROR(IF(Cost_Elements[[#This Row],[Row]]&gt;='Do Not Use or Delete'!$L$2, IF(Cost_Elements[[#This Row],[Row]]&lt;='Do Not Use or Delete'!$M$2,AC78*AD78,0),0)+IF(Cost_Elements[[#This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8" s="64"/>
      <c r="AG78" s="65"/>
      <c r="AH78" s="76">
        <f ca="1">IF(PRODUCT(Cost_Elements[[#This Row],[BLS or SCLS]]="BLS"),(Cost_Elements[[#This Row],[Rate | 5]]*$AI$4)+Cost_Elements[[#This Row],[Rate | 5]],(Cost_Elements[[#This Row],[Rate | 5]]*$AI$5)+Cost_Elements[[#This Row],[Rate | 5]])</f>
        <v>0</v>
      </c>
      <c r="AI78" s="450"/>
      <c r="AJ78" s="460"/>
      <c r="AK78" s="460"/>
      <c r="AL78" s="75">
        <f ca="1">IFERROR(IF(Cost_Elements[[#This Row],[Row]]&gt;='Do Not Use or Delete'!$L$2, IF(Cost_Elements[[#This Row],[Row]]&lt;='Do Not Use or Delete'!$M$2,AH78*AI78,0),0)+IF(Cost_Elements[[#This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8" s="64"/>
      <c r="AN78" s="65"/>
      <c r="AO78" s="77">
        <f t="shared" si="2"/>
        <v>0</v>
      </c>
      <c r="AP78" s="78">
        <f t="shared" ca="1" si="3"/>
        <v>0</v>
      </c>
      <c r="AQ78" s="68">
        <f ca="1">ROW(Cost_Elements[[#This Row],[Amount | Total]])</f>
        <v>78</v>
      </c>
    </row>
    <row r="79" spans="1:43">
      <c r="A79" s="240" t="s">
        <v>165</v>
      </c>
      <c r="B79" s="275"/>
      <c r="C79" s="276"/>
      <c r="D79" s="71"/>
      <c r="E79" s="71"/>
      <c r="F79" s="71"/>
      <c r="G79" s="71"/>
      <c r="H79" s="72" t="str">
        <f ca="1">IFERROR(INDEX(Labor_Categories[Minimum Direct Labor Rates],MATCH(Cost_Elements[[#This Row],[Government Labor Category]],Labor_Categories[Labor Categories],0)),"")</f>
        <v/>
      </c>
      <c r="I79" s="79"/>
      <c r="J79" s="450"/>
      <c r="K79" s="75">
        <f ca="1">IFERROR(IF(Cost_Elements[[#This Row],[Row]]&gt;='Do Not Use or Delete'!$L$2, IF(Cost_Elements[[#This Row],[Row]]&lt;='Do Not Use or Delete'!$M$2,I79*J79,0),0)+IF(Cost_Elements[[#This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9" s="63"/>
      <c r="M79" s="63"/>
      <c r="N79" s="76">
        <f ca="1">IF(PRODUCT(Cost_Elements[[#This Row],[BLS or SCLS]]="BLS"),(Cost_Elements[[#This Row],[Rate | 1]]*$O$4)+Cost_Elements[[#This Row],[Rate | 1]],(Cost_Elements[[#This Row],[Rate | 1]]*$O$5)+Cost_Elements[[#This Row],[Rate | 1]])</f>
        <v>0</v>
      </c>
      <c r="O79" s="452"/>
      <c r="P79" s="75">
        <f ca="1">IFERROR(IF(Cost_Elements[[#This Row],[Row]]&gt;='Do Not Use or Delete'!$L$2, IF(Cost_Elements[[#This Row],[Row]]&lt;='Do Not Use or Delete'!$M$2,N79*O79,0),0)+IF(Cost_Elements[[#This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9" s="63"/>
      <c r="R79" s="63"/>
      <c r="S79" s="76">
        <f ca="1">IF(PRODUCT(Cost_Elements[[#This Row],[BLS or SCLS]]="BLS"),(Cost_Elements[[#This Row],[Rate | 2]]*$T$4)+Cost_Elements[[#This Row],[Rate | 2]],(Cost_Elements[[#This Row],[Rate | 2]]*$T$5)+Cost_Elements[[#This Row],[Rate | 2]])</f>
        <v>0</v>
      </c>
      <c r="T79" s="450"/>
      <c r="U79" s="75">
        <f ca="1">IFERROR(IF(Cost_Elements[[#This Row],[Row]]&gt;='Do Not Use or Delete'!$L$2, IF(Cost_Elements[[#This Row],[Row]]&lt;='Do Not Use or Delete'!$M$2,S79*T79,0),0)+IF(Cost_Elements[[#This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9" s="63"/>
      <c r="W79" s="63"/>
      <c r="X79" s="76">
        <f ca="1">IF(PRODUCT(Cost_Elements[[#This Row],[BLS or SCLS]]="BLS"),(Cost_Elements[[#This Row],[Rate | 3]]*$Y$4)+Cost_Elements[[#This Row],[Rate | 3]],(Cost_Elements[[#This Row],[Rate | 3]]*$Y$5)+Cost_Elements[[#This Row],[Rate | 3]])</f>
        <v>0</v>
      </c>
      <c r="Y79" s="450"/>
      <c r="Z79" s="75">
        <f ca="1">IFERROR(IF(Cost_Elements[[#This Row],[Row]]&gt;='Do Not Use or Delete'!$L$2, IF(Cost_Elements[[#This Row],[Row]]&lt;='Do Not Use or Delete'!$M$2,X79*Y79,0),0)+IF(Cost_Elements[[#This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9" s="63"/>
      <c r="AB79" s="63"/>
      <c r="AC79" s="76">
        <f ca="1">IF(PRODUCT(Cost_Elements[[#This Row],[BLS or SCLS]]="BLS"),(Cost_Elements[[#This Row],[Rate | 4]]*$AD$4)+Cost_Elements[[#This Row],[Rate | 4]],(Cost_Elements[[#This Row],[Rate | 4]]*$AD$5)+Cost_Elements[[#This Row],[Rate | 4]])</f>
        <v>0</v>
      </c>
      <c r="AD79" s="450"/>
      <c r="AE79" s="75">
        <f ca="1">IFERROR(IF(Cost_Elements[[#This Row],[Row]]&gt;='Do Not Use or Delete'!$L$2, IF(Cost_Elements[[#This Row],[Row]]&lt;='Do Not Use or Delete'!$M$2,AC79*AD79,0),0)+IF(Cost_Elements[[#This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9" s="64"/>
      <c r="AG79" s="65"/>
      <c r="AH79" s="76">
        <f ca="1">IF(PRODUCT(Cost_Elements[[#This Row],[BLS or SCLS]]="BLS"),(Cost_Elements[[#This Row],[Rate | 5]]*$AI$4)+Cost_Elements[[#This Row],[Rate | 5]],(Cost_Elements[[#This Row],[Rate | 5]]*$AI$5)+Cost_Elements[[#This Row],[Rate | 5]])</f>
        <v>0</v>
      </c>
      <c r="AI79" s="450"/>
      <c r="AJ79" s="460"/>
      <c r="AK79" s="460"/>
      <c r="AL79" s="75">
        <f ca="1">IFERROR(IF(Cost_Elements[[#This Row],[Row]]&gt;='Do Not Use or Delete'!$L$2, IF(Cost_Elements[[#This Row],[Row]]&lt;='Do Not Use or Delete'!$M$2,AH79*AI79,0),0)+IF(Cost_Elements[[#This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9" s="64"/>
      <c r="AN79" s="65"/>
      <c r="AO79" s="77">
        <f t="shared" si="2"/>
        <v>0</v>
      </c>
      <c r="AP79" s="78">
        <f t="shared" ca="1" si="3"/>
        <v>0</v>
      </c>
      <c r="AQ79" s="68">
        <f ca="1">ROW(Cost_Elements[[#This Row],[Amount | Total]])</f>
        <v>79</v>
      </c>
    </row>
    <row r="80" spans="1:43">
      <c r="A80" s="240" t="s">
        <v>165</v>
      </c>
      <c r="B80" s="275"/>
      <c r="C80" s="276"/>
      <c r="D80" s="71"/>
      <c r="E80" s="71"/>
      <c r="F80" s="71"/>
      <c r="G80" s="71"/>
      <c r="H80" s="72" t="str">
        <f ca="1">IFERROR(INDEX(Labor_Categories[Minimum Direct Labor Rates],MATCH(Cost_Elements[[#This Row],[Government Labor Category]],Labor_Categories[Labor Categories],0)),"")</f>
        <v/>
      </c>
      <c r="I80" s="79"/>
      <c r="J80" s="450"/>
      <c r="K80" s="75">
        <f ca="1">IFERROR(IF(Cost_Elements[[#This Row],[Row]]&gt;='Do Not Use or Delete'!$L$2, IF(Cost_Elements[[#This Row],[Row]]&lt;='Do Not Use or Delete'!$M$2,I80*J80,0),0)+IF(Cost_Elements[[#This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0" s="63"/>
      <c r="M80" s="63"/>
      <c r="N80" s="76">
        <f ca="1">IF(PRODUCT(Cost_Elements[[#This Row],[BLS or SCLS]]="BLS"),(Cost_Elements[[#This Row],[Rate | 1]]*$O$4)+Cost_Elements[[#This Row],[Rate | 1]],(Cost_Elements[[#This Row],[Rate | 1]]*$O$5)+Cost_Elements[[#This Row],[Rate | 1]])</f>
        <v>0</v>
      </c>
      <c r="O80" s="452"/>
      <c r="P80" s="75">
        <f ca="1">IFERROR(IF(Cost_Elements[[#This Row],[Row]]&gt;='Do Not Use or Delete'!$L$2, IF(Cost_Elements[[#This Row],[Row]]&lt;='Do Not Use or Delete'!$M$2,N80*O80,0),0)+IF(Cost_Elements[[#This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0" s="63"/>
      <c r="R80" s="63"/>
      <c r="S80" s="76">
        <f ca="1">IF(PRODUCT(Cost_Elements[[#This Row],[BLS or SCLS]]="BLS"),(Cost_Elements[[#This Row],[Rate | 2]]*$T$4)+Cost_Elements[[#This Row],[Rate | 2]],(Cost_Elements[[#This Row],[Rate | 2]]*$T$5)+Cost_Elements[[#This Row],[Rate | 2]])</f>
        <v>0</v>
      </c>
      <c r="T80" s="450"/>
      <c r="U80" s="75">
        <f ca="1">IFERROR(IF(Cost_Elements[[#This Row],[Row]]&gt;='Do Not Use or Delete'!$L$2, IF(Cost_Elements[[#This Row],[Row]]&lt;='Do Not Use or Delete'!$M$2,S80*T80,0),0)+IF(Cost_Elements[[#This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0" s="63"/>
      <c r="W80" s="63"/>
      <c r="X80" s="76">
        <f ca="1">IF(PRODUCT(Cost_Elements[[#This Row],[BLS or SCLS]]="BLS"),(Cost_Elements[[#This Row],[Rate | 3]]*$Y$4)+Cost_Elements[[#This Row],[Rate | 3]],(Cost_Elements[[#This Row],[Rate | 3]]*$Y$5)+Cost_Elements[[#This Row],[Rate | 3]])</f>
        <v>0</v>
      </c>
      <c r="Y80" s="450"/>
      <c r="Z80" s="75">
        <f ca="1">IFERROR(IF(Cost_Elements[[#This Row],[Row]]&gt;='Do Not Use or Delete'!$L$2, IF(Cost_Elements[[#This Row],[Row]]&lt;='Do Not Use or Delete'!$M$2,X80*Y80,0),0)+IF(Cost_Elements[[#This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0" s="63"/>
      <c r="AB80" s="63"/>
      <c r="AC80" s="76">
        <f ca="1">IF(PRODUCT(Cost_Elements[[#This Row],[BLS or SCLS]]="BLS"),(Cost_Elements[[#This Row],[Rate | 4]]*$AD$4)+Cost_Elements[[#This Row],[Rate | 4]],(Cost_Elements[[#This Row],[Rate | 4]]*$AD$5)+Cost_Elements[[#This Row],[Rate | 4]])</f>
        <v>0</v>
      </c>
      <c r="AD80" s="450"/>
      <c r="AE80" s="75">
        <f ca="1">IFERROR(IF(Cost_Elements[[#This Row],[Row]]&gt;='Do Not Use or Delete'!$L$2, IF(Cost_Elements[[#This Row],[Row]]&lt;='Do Not Use or Delete'!$M$2,AC80*AD80,0),0)+IF(Cost_Elements[[#This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0" s="64"/>
      <c r="AG80" s="65"/>
      <c r="AH80" s="76">
        <f ca="1">IF(PRODUCT(Cost_Elements[[#This Row],[BLS or SCLS]]="BLS"),(Cost_Elements[[#This Row],[Rate | 5]]*$AI$4)+Cost_Elements[[#This Row],[Rate | 5]],(Cost_Elements[[#This Row],[Rate | 5]]*$AI$5)+Cost_Elements[[#This Row],[Rate | 5]])</f>
        <v>0</v>
      </c>
      <c r="AI80" s="450"/>
      <c r="AJ80" s="460"/>
      <c r="AK80" s="460"/>
      <c r="AL80" s="75">
        <f ca="1">IFERROR(IF(Cost_Elements[[#This Row],[Row]]&gt;='Do Not Use or Delete'!$L$2, IF(Cost_Elements[[#This Row],[Row]]&lt;='Do Not Use or Delete'!$M$2,AH80*AI80,0),0)+IF(Cost_Elements[[#This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0" s="64"/>
      <c r="AN80" s="65"/>
      <c r="AO80" s="77">
        <f t="shared" ref="AO80:AO111" si="4">J80+O80+T80+Y80+AD80+AI80</f>
        <v>0</v>
      </c>
      <c r="AP80" s="78">
        <f t="shared" ref="AP80:AP111" ca="1" si="5">K80+P80+U80+Z80+AE80+AL80</f>
        <v>0</v>
      </c>
      <c r="AQ80" s="68">
        <f ca="1">ROW(Cost_Elements[[#This Row],[Amount | Total]])</f>
        <v>80</v>
      </c>
    </row>
    <row r="81" spans="1:43">
      <c r="A81" s="240" t="s">
        <v>165</v>
      </c>
      <c r="B81" s="275"/>
      <c r="C81" s="276"/>
      <c r="D81" s="71"/>
      <c r="E81" s="71"/>
      <c r="F81" s="71"/>
      <c r="G81" s="71"/>
      <c r="H81" s="72" t="str">
        <f ca="1">IFERROR(INDEX(Labor_Categories[Minimum Direct Labor Rates],MATCH(Cost_Elements[[#This Row],[Government Labor Category]],Labor_Categories[Labor Categories],0)),"")</f>
        <v/>
      </c>
      <c r="I81" s="79"/>
      <c r="J81" s="450"/>
      <c r="K81" s="75">
        <f ca="1">IFERROR(IF(Cost_Elements[[#This Row],[Row]]&gt;='Do Not Use or Delete'!$L$2, IF(Cost_Elements[[#This Row],[Row]]&lt;='Do Not Use or Delete'!$M$2,I81*J81,0),0)+IF(Cost_Elements[[#This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1" s="63"/>
      <c r="M81" s="63"/>
      <c r="N81" s="76">
        <f ca="1">IF(PRODUCT(Cost_Elements[[#This Row],[BLS or SCLS]]="BLS"),(Cost_Elements[[#This Row],[Rate | 1]]*$O$4)+Cost_Elements[[#This Row],[Rate | 1]],(Cost_Elements[[#This Row],[Rate | 1]]*$O$5)+Cost_Elements[[#This Row],[Rate | 1]])</f>
        <v>0</v>
      </c>
      <c r="O81" s="452"/>
      <c r="P81" s="75">
        <f ca="1">IFERROR(IF(Cost_Elements[[#This Row],[Row]]&gt;='Do Not Use or Delete'!$L$2, IF(Cost_Elements[[#This Row],[Row]]&lt;='Do Not Use or Delete'!$M$2,N81*O81,0),0)+IF(Cost_Elements[[#This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1" s="63"/>
      <c r="R81" s="63"/>
      <c r="S81" s="76">
        <f ca="1">IF(PRODUCT(Cost_Elements[[#This Row],[BLS or SCLS]]="BLS"),(Cost_Elements[[#This Row],[Rate | 2]]*$T$4)+Cost_Elements[[#This Row],[Rate | 2]],(Cost_Elements[[#This Row],[Rate | 2]]*$T$5)+Cost_Elements[[#This Row],[Rate | 2]])</f>
        <v>0</v>
      </c>
      <c r="T81" s="450"/>
      <c r="U81" s="75">
        <f ca="1">IFERROR(IF(Cost_Elements[[#This Row],[Row]]&gt;='Do Not Use or Delete'!$L$2, IF(Cost_Elements[[#This Row],[Row]]&lt;='Do Not Use or Delete'!$M$2,S81*T81,0),0)+IF(Cost_Elements[[#This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1" s="63"/>
      <c r="W81" s="63"/>
      <c r="X81" s="76">
        <f ca="1">IF(PRODUCT(Cost_Elements[[#This Row],[BLS or SCLS]]="BLS"),(Cost_Elements[[#This Row],[Rate | 3]]*$Y$4)+Cost_Elements[[#This Row],[Rate | 3]],(Cost_Elements[[#This Row],[Rate | 3]]*$Y$5)+Cost_Elements[[#This Row],[Rate | 3]])</f>
        <v>0</v>
      </c>
      <c r="Y81" s="450"/>
      <c r="Z81" s="75">
        <f ca="1">IFERROR(IF(Cost_Elements[[#This Row],[Row]]&gt;='Do Not Use or Delete'!$L$2, IF(Cost_Elements[[#This Row],[Row]]&lt;='Do Not Use or Delete'!$M$2,X81*Y81,0),0)+IF(Cost_Elements[[#This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1" s="63"/>
      <c r="AB81" s="63"/>
      <c r="AC81" s="76">
        <f ca="1">IF(PRODUCT(Cost_Elements[[#This Row],[BLS or SCLS]]="BLS"),(Cost_Elements[[#This Row],[Rate | 4]]*$AD$4)+Cost_Elements[[#This Row],[Rate | 4]],(Cost_Elements[[#This Row],[Rate | 4]]*$AD$5)+Cost_Elements[[#This Row],[Rate | 4]])</f>
        <v>0</v>
      </c>
      <c r="AD81" s="450"/>
      <c r="AE81" s="75">
        <f ca="1">IFERROR(IF(Cost_Elements[[#This Row],[Row]]&gt;='Do Not Use or Delete'!$L$2, IF(Cost_Elements[[#This Row],[Row]]&lt;='Do Not Use or Delete'!$M$2,AC81*AD81,0),0)+IF(Cost_Elements[[#This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1" s="64"/>
      <c r="AG81" s="65"/>
      <c r="AH81" s="76">
        <f ca="1">IF(PRODUCT(Cost_Elements[[#This Row],[BLS or SCLS]]="BLS"),(Cost_Elements[[#This Row],[Rate | 5]]*$AI$4)+Cost_Elements[[#This Row],[Rate | 5]],(Cost_Elements[[#This Row],[Rate | 5]]*$AI$5)+Cost_Elements[[#This Row],[Rate | 5]])</f>
        <v>0</v>
      </c>
      <c r="AI81" s="450"/>
      <c r="AJ81" s="460"/>
      <c r="AK81" s="460"/>
      <c r="AL81" s="75">
        <f ca="1">IFERROR(IF(Cost_Elements[[#This Row],[Row]]&gt;='Do Not Use or Delete'!$L$2, IF(Cost_Elements[[#This Row],[Row]]&lt;='Do Not Use or Delete'!$M$2,AH81*AI81,0),0)+IF(Cost_Elements[[#This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1" s="64"/>
      <c r="AN81" s="65"/>
      <c r="AO81" s="77">
        <f t="shared" si="4"/>
        <v>0</v>
      </c>
      <c r="AP81" s="78">
        <f t="shared" ca="1" si="5"/>
        <v>0</v>
      </c>
      <c r="AQ81" s="68">
        <f ca="1">ROW(Cost_Elements[[#This Row],[Amount | Total]])</f>
        <v>81</v>
      </c>
    </row>
    <row r="82" spans="1:43">
      <c r="A82" s="240" t="s">
        <v>165</v>
      </c>
      <c r="B82" s="275"/>
      <c r="C82" s="276"/>
      <c r="D82" s="71"/>
      <c r="E82" s="71"/>
      <c r="F82" s="71"/>
      <c r="G82" s="71"/>
      <c r="H82" s="72" t="str">
        <f ca="1">IFERROR(INDEX(Labor_Categories[Minimum Direct Labor Rates],MATCH(Cost_Elements[[#This Row],[Government Labor Category]],Labor_Categories[Labor Categories],0)),"")</f>
        <v/>
      </c>
      <c r="I82" s="79"/>
      <c r="J82" s="450"/>
      <c r="K82" s="75">
        <f ca="1">IFERROR(IF(Cost_Elements[[#This Row],[Row]]&gt;='Do Not Use or Delete'!$L$2, IF(Cost_Elements[[#This Row],[Row]]&lt;='Do Not Use or Delete'!$M$2,I82*J82,0),0)+IF(Cost_Elements[[#This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2" s="63"/>
      <c r="M82" s="63"/>
      <c r="N82" s="76">
        <f ca="1">IF(PRODUCT(Cost_Elements[[#This Row],[BLS or SCLS]]="BLS"),(Cost_Elements[[#This Row],[Rate | 1]]*$O$4)+Cost_Elements[[#This Row],[Rate | 1]],(Cost_Elements[[#This Row],[Rate | 1]]*$O$5)+Cost_Elements[[#This Row],[Rate | 1]])</f>
        <v>0</v>
      </c>
      <c r="O82" s="452"/>
      <c r="P82" s="75">
        <f ca="1">IFERROR(IF(Cost_Elements[[#This Row],[Row]]&gt;='Do Not Use or Delete'!$L$2, IF(Cost_Elements[[#This Row],[Row]]&lt;='Do Not Use or Delete'!$M$2,N82*O82,0),0)+IF(Cost_Elements[[#This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2" s="63"/>
      <c r="R82" s="63"/>
      <c r="S82" s="76">
        <f ca="1">IF(PRODUCT(Cost_Elements[[#This Row],[BLS or SCLS]]="BLS"),(Cost_Elements[[#This Row],[Rate | 2]]*$T$4)+Cost_Elements[[#This Row],[Rate | 2]],(Cost_Elements[[#This Row],[Rate | 2]]*$T$5)+Cost_Elements[[#This Row],[Rate | 2]])</f>
        <v>0</v>
      </c>
      <c r="T82" s="450"/>
      <c r="U82" s="75">
        <f ca="1">IFERROR(IF(Cost_Elements[[#This Row],[Row]]&gt;='Do Not Use or Delete'!$L$2, IF(Cost_Elements[[#This Row],[Row]]&lt;='Do Not Use or Delete'!$M$2,S82*T82,0),0)+IF(Cost_Elements[[#This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2" s="63"/>
      <c r="W82" s="63"/>
      <c r="X82" s="76">
        <f ca="1">IF(PRODUCT(Cost_Elements[[#This Row],[BLS or SCLS]]="BLS"),(Cost_Elements[[#This Row],[Rate | 3]]*$Y$4)+Cost_Elements[[#This Row],[Rate | 3]],(Cost_Elements[[#This Row],[Rate | 3]]*$Y$5)+Cost_Elements[[#This Row],[Rate | 3]])</f>
        <v>0</v>
      </c>
      <c r="Y82" s="450"/>
      <c r="Z82" s="75">
        <f ca="1">IFERROR(IF(Cost_Elements[[#This Row],[Row]]&gt;='Do Not Use or Delete'!$L$2, IF(Cost_Elements[[#This Row],[Row]]&lt;='Do Not Use or Delete'!$M$2,X82*Y82,0),0)+IF(Cost_Elements[[#This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2" s="63"/>
      <c r="AB82" s="63"/>
      <c r="AC82" s="76">
        <f ca="1">IF(PRODUCT(Cost_Elements[[#This Row],[BLS or SCLS]]="BLS"),(Cost_Elements[[#This Row],[Rate | 4]]*$AD$4)+Cost_Elements[[#This Row],[Rate | 4]],(Cost_Elements[[#This Row],[Rate | 4]]*$AD$5)+Cost_Elements[[#This Row],[Rate | 4]])</f>
        <v>0</v>
      </c>
      <c r="AD82" s="450"/>
      <c r="AE82" s="75">
        <f ca="1">IFERROR(IF(Cost_Elements[[#This Row],[Row]]&gt;='Do Not Use or Delete'!$L$2, IF(Cost_Elements[[#This Row],[Row]]&lt;='Do Not Use or Delete'!$M$2,AC82*AD82,0),0)+IF(Cost_Elements[[#This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2" s="64"/>
      <c r="AG82" s="65"/>
      <c r="AH82" s="76">
        <f ca="1">IF(PRODUCT(Cost_Elements[[#This Row],[BLS or SCLS]]="BLS"),(Cost_Elements[[#This Row],[Rate | 5]]*$AI$4)+Cost_Elements[[#This Row],[Rate | 5]],(Cost_Elements[[#This Row],[Rate | 5]]*$AI$5)+Cost_Elements[[#This Row],[Rate | 5]])</f>
        <v>0</v>
      </c>
      <c r="AI82" s="450"/>
      <c r="AJ82" s="460"/>
      <c r="AK82" s="460"/>
      <c r="AL82" s="75">
        <f ca="1">IFERROR(IF(Cost_Elements[[#This Row],[Row]]&gt;='Do Not Use or Delete'!$L$2, IF(Cost_Elements[[#This Row],[Row]]&lt;='Do Not Use or Delete'!$M$2,AH82*AI82,0),0)+IF(Cost_Elements[[#This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2" s="64"/>
      <c r="AN82" s="65"/>
      <c r="AO82" s="77">
        <f t="shared" si="4"/>
        <v>0</v>
      </c>
      <c r="AP82" s="78">
        <f t="shared" ca="1" si="5"/>
        <v>0</v>
      </c>
      <c r="AQ82" s="68">
        <f ca="1">ROW(Cost_Elements[[#This Row],[Amount | Total]])</f>
        <v>82</v>
      </c>
    </row>
    <row r="83" spans="1:43">
      <c r="A83" s="240" t="s">
        <v>165</v>
      </c>
      <c r="B83" s="275"/>
      <c r="C83" s="276"/>
      <c r="D83" s="71"/>
      <c r="E83" s="71"/>
      <c r="F83" s="71"/>
      <c r="G83" s="71"/>
      <c r="H83" s="72" t="str">
        <f ca="1">IFERROR(INDEX(Labor_Categories[Minimum Direct Labor Rates],MATCH(Cost_Elements[[#This Row],[Government Labor Category]],Labor_Categories[Labor Categories],0)),"")</f>
        <v/>
      </c>
      <c r="I83" s="79"/>
      <c r="J83" s="450"/>
      <c r="K83" s="75">
        <f ca="1">IFERROR(IF(Cost_Elements[[#This Row],[Row]]&gt;='Do Not Use or Delete'!$L$2, IF(Cost_Elements[[#This Row],[Row]]&lt;='Do Not Use or Delete'!$M$2,I83*J83,0),0)+IF(Cost_Elements[[#This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3" s="63"/>
      <c r="M83" s="63"/>
      <c r="N83" s="76">
        <f ca="1">IF(PRODUCT(Cost_Elements[[#This Row],[BLS or SCLS]]="BLS"),(Cost_Elements[[#This Row],[Rate | 1]]*$O$4)+Cost_Elements[[#This Row],[Rate | 1]],(Cost_Elements[[#This Row],[Rate | 1]]*$O$5)+Cost_Elements[[#This Row],[Rate | 1]])</f>
        <v>0</v>
      </c>
      <c r="O83" s="452"/>
      <c r="P83" s="75">
        <f ca="1">IFERROR(IF(Cost_Elements[[#This Row],[Row]]&gt;='Do Not Use or Delete'!$L$2, IF(Cost_Elements[[#This Row],[Row]]&lt;='Do Not Use or Delete'!$M$2,N83*O83,0),0)+IF(Cost_Elements[[#This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3" s="63"/>
      <c r="R83" s="63"/>
      <c r="S83" s="76">
        <f ca="1">IF(PRODUCT(Cost_Elements[[#This Row],[BLS or SCLS]]="BLS"),(Cost_Elements[[#This Row],[Rate | 2]]*$T$4)+Cost_Elements[[#This Row],[Rate | 2]],(Cost_Elements[[#This Row],[Rate | 2]]*$T$5)+Cost_Elements[[#This Row],[Rate | 2]])</f>
        <v>0</v>
      </c>
      <c r="T83" s="450"/>
      <c r="U83" s="75">
        <f ca="1">IFERROR(IF(Cost_Elements[[#This Row],[Row]]&gt;='Do Not Use or Delete'!$L$2, IF(Cost_Elements[[#This Row],[Row]]&lt;='Do Not Use or Delete'!$M$2,S83*T83,0),0)+IF(Cost_Elements[[#This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3" s="63"/>
      <c r="W83" s="63"/>
      <c r="X83" s="76">
        <f ca="1">IF(PRODUCT(Cost_Elements[[#This Row],[BLS or SCLS]]="BLS"),(Cost_Elements[[#This Row],[Rate | 3]]*$Y$4)+Cost_Elements[[#This Row],[Rate | 3]],(Cost_Elements[[#This Row],[Rate | 3]]*$Y$5)+Cost_Elements[[#This Row],[Rate | 3]])</f>
        <v>0</v>
      </c>
      <c r="Y83" s="450"/>
      <c r="Z83" s="75">
        <f ca="1">IFERROR(IF(Cost_Elements[[#This Row],[Row]]&gt;='Do Not Use or Delete'!$L$2, IF(Cost_Elements[[#This Row],[Row]]&lt;='Do Not Use or Delete'!$M$2,X83*Y83,0),0)+IF(Cost_Elements[[#This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3" s="63"/>
      <c r="AB83" s="63"/>
      <c r="AC83" s="76">
        <f ca="1">IF(PRODUCT(Cost_Elements[[#This Row],[BLS or SCLS]]="BLS"),(Cost_Elements[[#This Row],[Rate | 4]]*$AD$4)+Cost_Elements[[#This Row],[Rate | 4]],(Cost_Elements[[#This Row],[Rate | 4]]*$AD$5)+Cost_Elements[[#This Row],[Rate | 4]])</f>
        <v>0</v>
      </c>
      <c r="AD83" s="450"/>
      <c r="AE83" s="75">
        <f ca="1">IFERROR(IF(Cost_Elements[[#This Row],[Row]]&gt;='Do Not Use or Delete'!$L$2, IF(Cost_Elements[[#This Row],[Row]]&lt;='Do Not Use or Delete'!$M$2,AC83*AD83,0),0)+IF(Cost_Elements[[#This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3" s="64"/>
      <c r="AG83" s="65"/>
      <c r="AH83" s="76">
        <f ca="1">IF(PRODUCT(Cost_Elements[[#This Row],[BLS or SCLS]]="BLS"),(Cost_Elements[[#This Row],[Rate | 5]]*$AI$4)+Cost_Elements[[#This Row],[Rate | 5]],(Cost_Elements[[#This Row],[Rate | 5]]*$AI$5)+Cost_Elements[[#This Row],[Rate | 5]])</f>
        <v>0</v>
      </c>
      <c r="AI83" s="450"/>
      <c r="AJ83" s="460"/>
      <c r="AK83" s="460"/>
      <c r="AL83" s="75">
        <f ca="1">IFERROR(IF(Cost_Elements[[#This Row],[Row]]&gt;='Do Not Use or Delete'!$L$2, IF(Cost_Elements[[#This Row],[Row]]&lt;='Do Not Use or Delete'!$M$2,AH83*AI83,0),0)+IF(Cost_Elements[[#This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3" s="64"/>
      <c r="AN83" s="65"/>
      <c r="AO83" s="77">
        <f t="shared" si="4"/>
        <v>0</v>
      </c>
      <c r="AP83" s="78">
        <f t="shared" ca="1" si="5"/>
        <v>0</v>
      </c>
      <c r="AQ83" s="68">
        <f ca="1">ROW(Cost_Elements[[#This Row],[Amount | Total]])</f>
        <v>83</v>
      </c>
    </row>
    <row r="84" spans="1:43">
      <c r="A84" s="240" t="s">
        <v>165</v>
      </c>
      <c r="B84" s="275"/>
      <c r="C84" s="276"/>
      <c r="D84" s="71"/>
      <c r="E84" s="71"/>
      <c r="F84" s="71"/>
      <c r="G84" s="71"/>
      <c r="H84" s="72" t="str">
        <f ca="1">IFERROR(INDEX(Labor_Categories[Minimum Direct Labor Rates],MATCH(Cost_Elements[[#This Row],[Government Labor Category]],Labor_Categories[Labor Categories],0)),"")</f>
        <v/>
      </c>
      <c r="I84" s="79"/>
      <c r="J84" s="450"/>
      <c r="K84" s="75">
        <f ca="1">IFERROR(IF(Cost_Elements[[#This Row],[Row]]&gt;='Do Not Use or Delete'!$L$2, IF(Cost_Elements[[#This Row],[Row]]&lt;='Do Not Use or Delete'!$M$2,I84*J84,0),0)+IF(Cost_Elements[[#This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4" s="63"/>
      <c r="M84" s="63"/>
      <c r="N84" s="76">
        <f ca="1">IF(PRODUCT(Cost_Elements[[#This Row],[BLS or SCLS]]="BLS"),(Cost_Elements[[#This Row],[Rate | 1]]*$O$4)+Cost_Elements[[#This Row],[Rate | 1]],(Cost_Elements[[#This Row],[Rate | 1]]*$O$5)+Cost_Elements[[#This Row],[Rate | 1]])</f>
        <v>0</v>
      </c>
      <c r="O84" s="452"/>
      <c r="P84" s="75">
        <f ca="1">IFERROR(IF(Cost_Elements[[#This Row],[Row]]&gt;='Do Not Use or Delete'!$L$2, IF(Cost_Elements[[#This Row],[Row]]&lt;='Do Not Use or Delete'!$M$2,N84*O84,0),0)+IF(Cost_Elements[[#This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4" s="63"/>
      <c r="R84" s="63"/>
      <c r="S84" s="76">
        <f ca="1">IF(PRODUCT(Cost_Elements[[#This Row],[BLS or SCLS]]="BLS"),(Cost_Elements[[#This Row],[Rate | 2]]*$T$4)+Cost_Elements[[#This Row],[Rate | 2]],(Cost_Elements[[#This Row],[Rate | 2]]*$T$5)+Cost_Elements[[#This Row],[Rate | 2]])</f>
        <v>0</v>
      </c>
      <c r="T84" s="450"/>
      <c r="U84" s="75">
        <f ca="1">IFERROR(IF(Cost_Elements[[#This Row],[Row]]&gt;='Do Not Use or Delete'!$L$2, IF(Cost_Elements[[#This Row],[Row]]&lt;='Do Not Use or Delete'!$M$2,S84*T84,0),0)+IF(Cost_Elements[[#This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4" s="63"/>
      <c r="W84" s="63"/>
      <c r="X84" s="76">
        <f ca="1">IF(PRODUCT(Cost_Elements[[#This Row],[BLS or SCLS]]="BLS"),(Cost_Elements[[#This Row],[Rate | 3]]*$Y$4)+Cost_Elements[[#This Row],[Rate | 3]],(Cost_Elements[[#This Row],[Rate | 3]]*$Y$5)+Cost_Elements[[#This Row],[Rate | 3]])</f>
        <v>0</v>
      </c>
      <c r="Y84" s="450"/>
      <c r="Z84" s="75">
        <f ca="1">IFERROR(IF(Cost_Elements[[#This Row],[Row]]&gt;='Do Not Use or Delete'!$L$2, IF(Cost_Elements[[#This Row],[Row]]&lt;='Do Not Use or Delete'!$M$2,X84*Y84,0),0)+IF(Cost_Elements[[#This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4" s="63"/>
      <c r="AB84" s="63"/>
      <c r="AC84" s="76">
        <f ca="1">IF(PRODUCT(Cost_Elements[[#This Row],[BLS or SCLS]]="BLS"),(Cost_Elements[[#This Row],[Rate | 4]]*$AD$4)+Cost_Elements[[#This Row],[Rate | 4]],(Cost_Elements[[#This Row],[Rate | 4]]*$AD$5)+Cost_Elements[[#This Row],[Rate | 4]])</f>
        <v>0</v>
      </c>
      <c r="AD84" s="450"/>
      <c r="AE84" s="75">
        <f ca="1">IFERROR(IF(Cost_Elements[[#This Row],[Row]]&gt;='Do Not Use or Delete'!$L$2, IF(Cost_Elements[[#This Row],[Row]]&lt;='Do Not Use or Delete'!$M$2,AC84*AD84,0),0)+IF(Cost_Elements[[#This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4" s="64"/>
      <c r="AG84" s="65"/>
      <c r="AH84" s="76">
        <f ca="1">IF(PRODUCT(Cost_Elements[[#This Row],[BLS or SCLS]]="BLS"),(Cost_Elements[[#This Row],[Rate | 5]]*$AI$4)+Cost_Elements[[#This Row],[Rate | 5]],(Cost_Elements[[#This Row],[Rate | 5]]*$AI$5)+Cost_Elements[[#This Row],[Rate | 5]])</f>
        <v>0</v>
      </c>
      <c r="AI84" s="450"/>
      <c r="AJ84" s="460"/>
      <c r="AK84" s="460"/>
      <c r="AL84" s="75">
        <f ca="1">IFERROR(IF(Cost_Elements[[#This Row],[Row]]&gt;='Do Not Use or Delete'!$L$2, IF(Cost_Elements[[#This Row],[Row]]&lt;='Do Not Use or Delete'!$M$2,AH84*AI84,0),0)+IF(Cost_Elements[[#This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4" s="64"/>
      <c r="AN84" s="65"/>
      <c r="AO84" s="77">
        <f t="shared" si="4"/>
        <v>0</v>
      </c>
      <c r="AP84" s="78">
        <f t="shared" ca="1" si="5"/>
        <v>0</v>
      </c>
      <c r="AQ84" s="68">
        <f ca="1">ROW(Cost_Elements[[#This Row],[Amount | Total]])</f>
        <v>84</v>
      </c>
    </row>
    <row r="85" spans="1:43">
      <c r="A85" s="240" t="s">
        <v>165</v>
      </c>
      <c r="B85" s="275"/>
      <c r="C85" s="276"/>
      <c r="D85" s="71"/>
      <c r="E85" s="71"/>
      <c r="F85" s="71"/>
      <c r="G85" s="71"/>
      <c r="H85" s="72" t="str">
        <f ca="1">IFERROR(INDEX(Labor_Categories[Minimum Direct Labor Rates],MATCH(Cost_Elements[[#This Row],[Government Labor Category]],Labor_Categories[Labor Categories],0)),"")</f>
        <v/>
      </c>
      <c r="I85" s="79"/>
      <c r="J85" s="450"/>
      <c r="K85" s="75">
        <f ca="1">IFERROR(IF(Cost_Elements[[#This Row],[Row]]&gt;='Do Not Use or Delete'!$L$2, IF(Cost_Elements[[#This Row],[Row]]&lt;='Do Not Use or Delete'!$M$2,I85*J85,0),0)+IF(Cost_Elements[[#This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5" s="63"/>
      <c r="M85" s="63"/>
      <c r="N85" s="76">
        <f ca="1">IF(PRODUCT(Cost_Elements[[#This Row],[BLS or SCLS]]="BLS"),(Cost_Elements[[#This Row],[Rate | 1]]*$O$4)+Cost_Elements[[#This Row],[Rate | 1]],(Cost_Elements[[#This Row],[Rate | 1]]*$O$5)+Cost_Elements[[#This Row],[Rate | 1]])</f>
        <v>0</v>
      </c>
      <c r="O85" s="452"/>
      <c r="P85" s="75">
        <f ca="1">IFERROR(IF(Cost_Elements[[#This Row],[Row]]&gt;='Do Not Use or Delete'!$L$2, IF(Cost_Elements[[#This Row],[Row]]&lt;='Do Not Use or Delete'!$M$2,N85*O85,0),0)+IF(Cost_Elements[[#This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5" s="63"/>
      <c r="R85" s="63"/>
      <c r="S85" s="76">
        <f ca="1">IF(PRODUCT(Cost_Elements[[#This Row],[BLS or SCLS]]="BLS"),(Cost_Elements[[#This Row],[Rate | 2]]*$T$4)+Cost_Elements[[#This Row],[Rate | 2]],(Cost_Elements[[#This Row],[Rate | 2]]*$T$5)+Cost_Elements[[#This Row],[Rate | 2]])</f>
        <v>0</v>
      </c>
      <c r="T85" s="450"/>
      <c r="U85" s="75">
        <f ca="1">IFERROR(IF(Cost_Elements[[#This Row],[Row]]&gt;='Do Not Use or Delete'!$L$2, IF(Cost_Elements[[#This Row],[Row]]&lt;='Do Not Use or Delete'!$M$2,S85*T85,0),0)+IF(Cost_Elements[[#This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5" s="63"/>
      <c r="W85" s="63"/>
      <c r="X85" s="76">
        <f ca="1">IF(PRODUCT(Cost_Elements[[#This Row],[BLS or SCLS]]="BLS"),(Cost_Elements[[#This Row],[Rate | 3]]*$Y$4)+Cost_Elements[[#This Row],[Rate | 3]],(Cost_Elements[[#This Row],[Rate | 3]]*$Y$5)+Cost_Elements[[#This Row],[Rate | 3]])</f>
        <v>0</v>
      </c>
      <c r="Y85" s="450"/>
      <c r="Z85" s="75">
        <f ca="1">IFERROR(IF(Cost_Elements[[#This Row],[Row]]&gt;='Do Not Use or Delete'!$L$2, IF(Cost_Elements[[#This Row],[Row]]&lt;='Do Not Use or Delete'!$M$2,X85*Y85,0),0)+IF(Cost_Elements[[#This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5" s="63"/>
      <c r="AB85" s="63"/>
      <c r="AC85" s="76">
        <f ca="1">IF(PRODUCT(Cost_Elements[[#This Row],[BLS or SCLS]]="BLS"),(Cost_Elements[[#This Row],[Rate | 4]]*$AD$4)+Cost_Elements[[#This Row],[Rate | 4]],(Cost_Elements[[#This Row],[Rate | 4]]*$AD$5)+Cost_Elements[[#This Row],[Rate | 4]])</f>
        <v>0</v>
      </c>
      <c r="AD85" s="450"/>
      <c r="AE85" s="75">
        <f ca="1">IFERROR(IF(Cost_Elements[[#This Row],[Row]]&gt;='Do Not Use or Delete'!$L$2, IF(Cost_Elements[[#This Row],[Row]]&lt;='Do Not Use or Delete'!$M$2,AC85*AD85,0),0)+IF(Cost_Elements[[#This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5" s="64"/>
      <c r="AG85" s="65"/>
      <c r="AH85" s="76">
        <f ca="1">IF(PRODUCT(Cost_Elements[[#This Row],[BLS or SCLS]]="BLS"),(Cost_Elements[[#This Row],[Rate | 5]]*$AI$4)+Cost_Elements[[#This Row],[Rate | 5]],(Cost_Elements[[#This Row],[Rate | 5]]*$AI$5)+Cost_Elements[[#This Row],[Rate | 5]])</f>
        <v>0</v>
      </c>
      <c r="AI85" s="450"/>
      <c r="AJ85" s="460"/>
      <c r="AK85" s="460"/>
      <c r="AL85" s="75">
        <f ca="1">IFERROR(IF(Cost_Elements[[#This Row],[Row]]&gt;='Do Not Use or Delete'!$L$2, IF(Cost_Elements[[#This Row],[Row]]&lt;='Do Not Use or Delete'!$M$2,AH85*AI85,0),0)+IF(Cost_Elements[[#This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5" s="64"/>
      <c r="AN85" s="65"/>
      <c r="AO85" s="77">
        <f t="shared" si="4"/>
        <v>0</v>
      </c>
      <c r="AP85" s="78">
        <f t="shared" ca="1" si="5"/>
        <v>0</v>
      </c>
      <c r="AQ85" s="68">
        <f ca="1">ROW(Cost_Elements[[#This Row],[Amount | Total]])</f>
        <v>85</v>
      </c>
    </row>
    <row r="86" spans="1:43">
      <c r="A86" s="240" t="s">
        <v>165</v>
      </c>
      <c r="B86" s="275"/>
      <c r="C86" s="276"/>
      <c r="D86" s="71"/>
      <c r="E86" s="71"/>
      <c r="F86" s="71"/>
      <c r="G86" s="71"/>
      <c r="H86" s="72" t="str">
        <f ca="1">IFERROR(INDEX(Labor_Categories[Minimum Direct Labor Rates],MATCH(Cost_Elements[[#This Row],[Government Labor Category]],Labor_Categories[Labor Categories],0)),"")</f>
        <v/>
      </c>
      <c r="I86" s="79"/>
      <c r="J86" s="450"/>
      <c r="K86" s="75">
        <f ca="1">IFERROR(IF(Cost_Elements[[#This Row],[Row]]&gt;='Do Not Use or Delete'!$L$2, IF(Cost_Elements[[#This Row],[Row]]&lt;='Do Not Use or Delete'!$M$2,I86*J86,0),0)+IF(Cost_Elements[[#This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6" s="63"/>
      <c r="M86" s="63"/>
      <c r="N86" s="76">
        <f ca="1">IF(PRODUCT(Cost_Elements[[#This Row],[BLS or SCLS]]="BLS"),(Cost_Elements[[#This Row],[Rate | 1]]*$O$4)+Cost_Elements[[#This Row],[Rate | 1]],(Cost_Elements[[#This Row],[Rate | 1]]*$O$5)+Cost_Elements[[#This Row],[Rate | 1]])</f>
        <v>0</v>
      </c>
      <c r="O86" s="452"/>
      <c r="P86" s="75">
        <f ca="1">IFERROR(IF(Cost_Elements[[#This Row],[Row]]&gt;='Do Not Use or Delete'!$L$2, IF(Cost_Elements[[#This Row],[Row]]&lt;='Do Not Use or Delete'!$M$2,N86*O86,0),0)+IF(Cost_Elements[[#This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6" s="63"/>
      <c r="R86" s="63"/>
      <c r="S86" s="76">
        <f ca="1">IF(PRODUCT(Cost_Elements[[#This Row],[BLS or SCLS]]="BLS"),(Cost_Elements[[#This Row],[Rate | 2]]*$T$4)+Cost_Elements[[#This Row],[Rate | 2]],(Cost_Elements[[#This Row],[Rate | 2]]*$T$5)+Cost_Elements[[#This Row],[Rate | 2]])</f>
        <v>0</v>
      </c>
      <c r="T86" s="450"/>
      <c r="U86" s="75">
        <f ca="1">IFERROR(IF(Cost_Elements[[#This Row],[Row]]&gt;='Do Not Use or Delete'!$L$2, IF(Cost_Elements[[#This Row],[Row]]&lt;='Do Not Use or Delete'!$M$2,S86*T86,0),0)+IF(Cost_Elements[[#This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6" s="63"/>
      <c r="W86" s="63"/>
      <c r="X86" s="76">
        <f ca="1">IF(PRODUCT(Cost_Elements[[#This Row],[BLS or SCLS]]="BLS"),(Cost_Elements[[#This Row],[Rate | 3]]*$Y$4)+Cost_Elements[[#This Row],[Rate | 3]],(Cost_Elements[[#This Row],[Rate | 3]]*$Y$5)+Cost_Elements[[#This Row],[Rate | 3]])</f>
        <v>0</v>
      </c>
      <c r="Y86" s="450"/>
      <c r="Z86" s="75">
        <f ca="1">IFERROR(IF(Cost_Elements[[#This Row],[Row]]&gt;='Do Not Use or Delete'!$L$2, IF(Cost_Elements[[#This Row],[Row]]&lt;='Do Not Use or Delete'!$M$2,X86*Y86,0),0)+IF(Cost_Elements[[#This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6" s="63"/>
      <c r="AB86" s="63"/>
      <c r="AC86" s="76">
        <f ca="1">IF(PRODUCT(Cost_Elements[[#This Row],[BLS or SCLS]]="BLS"),(Cost_Elements[[#This Row],[Rate | 4]]*$AD$4)+Cost_Elements[[#This Row],[Rate | 4]],(Cost_Elements[[#This Row],[Rate | 4]]*$AD$5)+Cost_Elements[[#This Row],[Rate | 4]])</f>
        <v>0</v>
      </c>
      <c r="AD86" s="450"/>
      <c r="AE86" s="75">
        <f ca="1">IFERROR(IF(Cost_Elements[[#This Row],[Row]]&gt;='Do Not Use or Delete'!$L$2, IF(Cost_Elements[[#This Row],[Row]]&lt;='Do Not Use or Delete'!$M$2,AC86*AD86,0),0)+IF(Cost_Elements[[#This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6" s="64"/>
      <c r="AG86" s="65"/>
      <c r="AH86" s="76">
        <f ca="1">IF(PRODUCT(Cost_Elements[[#This Row],[BLS or SCLS]]="BLS"),(Cost_Elements[[#This Row],[Rate | 5]]*$AI$4)+Cost_Elements[[#This Row],[Rate | 5]],(Cost_Elements[[#This Row],[Rate | 5]]*$AI$5)+Cost_Elements[[#This Row],[Rate | 5]])</f>
        <v>0</v>
      </c>
      <c r="AI86" s="450"/>
      <c r="AJ86" s="460"/>
      <c r="AK86" s="460"/>
      <c r="AL86" s="75">
        <f ca="1">IFERROR(IF(Cost_Elements[[#This Row],[Row]]&gt;='Do Not Use or Delete'!$L$2, IF(Cost_Elements[[#This Row],[Row]]&lt;='Do Not Use or Delete'!$M$2,AH86*AI86,0),0)+IF(Cost_Elements[[#This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6" s="64"/>
      <c r="AN86" s="65"/>
      <c r="AO86" s="77">
        <f t="shared" si="4"/>
        <v>0</v>
      </c>
      <c r="AP86" s="78">
        <f t="shared" ca="1" si="5"/>
        <v>0</v>
      </c>
      <c r="AQ86" s="68">
        <f ca="1">ROW(Cost_Elements[[#This Row],[Amount | Total]])</f>
        <v>86</v>
      </c>
    </row>
    <row r="87" spans="1:43">
      <c r="A87" s="240" t="s">
        <v>165</v>
      </c>
      <c r="B87" s="275"/>
      <c r="C87" s="276"/>
      <c r="D87" s="71"/>
      <c r="E87" s="71"/>
      <c r="F87" s="71"/>
      <c r="G87" s="71"/>
      <c r="H87" s="72" t="str">
        <f ca="1">IFERROR(INDEX(Labor_Categories[Minimum Direct Labor Rates],MATCH(Cost_Elements[[#This Row],[Government Labor Category]],Labor_Categories[Labor Categories],0)),"")</f>
        <v/>
      </c>
      <c r="I87" s="79"/>
      <c r="J87" s="450"/>
      <c r="K87" s="75">
        <f ca="1">IFERROR(IF(Cost_Elements[[#This Row],[Row]]&gt;='Do Not Use or Delete'!$L$2, IF(Cost_Elements[[#This Row],[Row]]&lt;='Do Not Use or Delete'!$M$2,I87*J87,0),0)+IF(Cost_Elements[[#This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7" s="63"/>
      <c r="M87" s="63"/>
      <c r="N87" s="76">
        <f ca="1">IF(PRODUCT(Cost_Elements[[#This Row],[BLS or SCLS]]="BLS"),(Cost_Elements[[#This Row],[Rate | 1]]*$O$4)+Cost_Elements[[#This Row],[Rate | 1]],(Cost_Elements[[#This Row],[Rate | 1]]*$O$5)+Cost_Elements[[#This Row],[Rate | 1]])</f>
        <v>0</v>
      </c>
      <c r="O87" s="452"/>
      <c r="P87" s="75">
        <f ca="1">IFERROR(IF(Cost_Elements[[#This Row],[Row]]&gt;='Do Not Use or Delete'!$L$2, IF(Cost_Elements[[#This Row],[Row]]&lt;='Do Not Use or Delete'!$M$2,N87*O87,0),0)+IF(Cost_Elements[[#This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7" s="63"/>
      <c r="R87" s="63"/>
      <c r="S87" s="76">
        <f ca="1">IF(PRODUCT(Cost_Elements[[#This Row],[BLS or SCLS]]="BLS"),(Cost_Elements[[#This Row],[Rate | 2]]*$T$4)+Cost_Elements[[#This Row],[Rate | 2]],(Cost_Elements[[#This Row],[Rate | 2]]*$T$5)+Cost_Elements[[#This Row],[Rate | 2]])</f>
        <v>0</v>
      </c>
      <c r="T87" s="450"/>
      <c r="U87" s="75">
        <f ca="1">IFERROR(IF(Cost_Elements[[#This Row],[Row]]&gt;='Do Not Use or Delete'!$L$2, IF(Cost_Elements[[#This Row],[Row]]&lt;='Do Not Use or Delete'!$M$2,S87*T87,0),0)+IF(Cost_Elements[[#This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7" s="63"/>
      <c r="W87" s="63"/>
      <c r="X87" s="76">
        <f ca="1">IF(PRODUCT(Cost_Elements[[#This Row],[BLS or SCLS]]="BLS"),(Cost_Elements[[#This Row],[Rate | 3]]*$Y$4)+Cost_Elements[[#This Row],[Rate | 3]],(Cost_Elements[[#This Row],[Rate | 3]]*$Y$5)+Cost_Elements[[#This Row],[Rate | 3]])</f>
        <v>0</v>
      </c>
      <c r="Y87" s="450"/>
      <c r="Z87" s="75">
        <f ca="1">IFERROR(IF(Cost_Elements[[#This Row],[Row]]&gt;='Do Not Use or Delete'!$L$2, IF(Cost_Elements[[#This Row],[Row]]&lt;='Do Not Use or Delete'!$M$2,X87*Y87,0),0)+IF(Cost_Elements[[#This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7" s="63"/>
      <c r="AB87" s="63"/>
      <c r="AC87" s="76">
        <f ca="1">IF(PRODUCT(Cost_Elements[[#This Row],[BLS or SCLS]]="BLS"),(Cost_Elements[[#This Row],[Rate | 4]]*$AD$4)+Cost_Elements[[#This Row],[Rate | 4]],(Cost_Elements[[#This Row],[Rate | 4]]*$AD$5)+Cost_Elements[[#This Row],[Rate | 4]])</f>
        <v>0</v>
      </c>
      <c r="AD87" s="450"/>
      <c r="AE87" s="75">
        <f ca="1">IFERROR(IF(Cost_Elements[[#This Row],[Row]]&gt;='Do Not Use or Delete'!$L$2, IF(Cost_Elements[[#This Row],[Row]]&lt;='Do Not Use or Delete'!$M$2,AC87*AD87,0),0)+IF(Cost_Elements[[#This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7" s="64"/>
      <c r="AG87" s="65"/>
      <c r="AH87" s="76">
        <f ca="1">IF(PRODUCT(Cost_Elements[[#This Row],[BLS or SCLS]]="BLS"),(Cost_Elements[[#This Row],[Rate | 5]]*$AI$4)+Cost_Elements[[#This Row],[Rate | 5]],(Cost_Elements[[#This Row],[Rate | 5]]*$AI$5)+Cost_Elements[[#This Row],[Rate | 5]])</f>
        <v>0</v>
      </c>
      <c r="AI87" s="450"/>
      <c r="AJ87" s="460"/>
      <c r="AK87" s="460"/>
      <c r="AL87" s="75">
        <f ca="1">IFERROR(IF(Cost_Elements[[#This Row],[Row]]&gt;='Do Not Use or Delete'!$L$2, IF(Cost_Elements[[#This Row],[Row]]&lt;='Do Not Use or Delete'!$M$2,AH87*AI87,0),0)+IF(Cost_Elements[[#This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7" s="64"/>
      <c r="AN87" s="65"/>
      <c r="AO87" s="77">
        <f t="shared" si="4"/>
        <v>0</v>
      </c>
      <c r="AP87" s="78">
        <f t="shared" ca="1" si="5"/>
        <v>0</v>
      </c>
      <c r="AQ87" s="68">
        <f ca="1">ROW(Cost_Elements[[#This Row],[Amount | Total]])</f>
        <v>87</v>
      </c>
    </row>
    <row r="88" spans="1:43">
      <c r="A88" s="240" t="s">
        <v>165</v>
      </c>
      <c r="B88" s="275"/>
      <c r="C88" s="276"/>
      <c r="D88" s="71"/>
      <c r="E88" s="71"/>
      <c r="F88" s="71"/>
      <c r="G88" s="71"/>
      <c r="H88" s="72" t="str">
        <f ca="1">IFERROR(INDEX(Labor_Categories[Minimum Direct Labor Rates],MATCH(Cost_Elements[[#This Row],[Government Labor Category]],Labor_Categories[Labor Categories],0)),"")</f>
        <v/>
      </c>
      <c r="I88" s="79"/>
      <c r="J88" s="450"/>
      <c r="K88" s="75">
        <f ca="1">IFERROR(IF(Cost_Elements[[#This Row],[Row]]&gt;='Do Not Use or Delete'!$L$2, IF(Cost_Elements[[#This Row],[Row]]&lt;='Do Not Use or Delete'!$M$2,I88*J88,0),0)+IF(Cost_Elements[[#This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8" s="63"/>
      <c r="M88" s="63"/>
      <c r="N88" s="76">
        <f ca="1">IF(PRODUCT(Cost_Elements[[#This Row],[BLS or SCLS]]="BLS"),(Cost_Elements[[#This Row],[Rate | 1]]*$O$4)+Cost_Elements[[#This Row],[Rate | 1]],(Cost_Elements[[#This Row],[Rate | 1]]*$O$5)+Cost_Elements[[#This Row],[Rate | 1]])</f>
        <v>0</v>
      </c>
      <c r="O88" s="452"/>
      <c r="P88" s="75">
        <f ca="1">IFERROR(IF(Cost_Elements[[#This Row],[Row]]&gt;='Do Not Use or Delete'!$L$2, IF(Cost_Elements[[#This Row],[Row]]&lt;='Do Not Use or Delete'!$M$2,N88*O88,0),0)+IF(Cost_Elements[[#This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8" s="63"/>
      <c r="R88" s="63"/>
      <c r="S88" s="76">
        <f ca="1">IF(PRODUCT(Cost_Elements[[#This Row],[BLS or SCLS]]="BLS"),(Cost_Elements[[#This Row],[Rate | 2]]*$T$4)+Cost_Elements[[#This Row],[Rate | 2]],(Cost_Elements[[#This Row],[Rate | 2]]*$T$5)+Cost_Elements[[#This Row],[Rate | 2]])</f>
        <v>0</v>
      </c>
      <c r="T88" s="450"/>
      <c r="U88" s="75">
        <f ca="1">IFERROR(IF(Cost_Elements[[#This Row],[Row]]&gt;='Do Not Use or Delete'!$L$2, IF(Cost_Elements[[#This Row],[Row]]&lt;='Do Not Use or Delete'!$M$2,S88*T88,0),0)+IF(Cost_Elements[[#This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8" s="63"/>
      <c r="W88" s="63"/>
      <c r="X88" s="76">
        <f ca="1">IF(PRODUCT(Cost_Elements[[#This Row],[BLS or SCLS]]="BLS"),(Cost_Elements[[#This Row],[Rate | 3]]*$Y$4)+Cost_Elements[[#This Row],[Rate | 3]],(Cost_Elements[[#This Row],[Rate | 3]]*$Y$5)+Cost_Elements[[#This Row],[Rate | 3]])</f>
        <v>0</v>
      </c>
      <c r="Y88" s="450"/>
      <c r="Z88" s="75">
        <f ca="1">IFERROR(IF(Cost_Elements[[#This Row],[Row]]&gt;='Do Not Use or Delete'!$L$2, IF(Cost_Elements[[#This Row],[Row]]&lt;='Do Not Use or Delete'!$M$2,X88*Y88,0),0)+IF(Cost_Elements[[#This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8" s="63"/>
      <c r="AB88" s="63"/>
      <c r="AC88" s="76">
        <f ca="1">IF(PRODUCT(Cost_Elements[[#This Row],[BLS or SCLS]]="BLS"),(Cost_Elements[[#This Row],[Rate | 4]]*$AD$4)+Cost_Elements[[#This Row],[Rate | 4]],(Cost_Elements[[#This Row],[Rate | 4]]*$AD$5)+Cost_Elements[[#This Row],[Rate | 4]])</f>
        <v>0</v>
      </c>
      <c r="AD88" s="450"/>
      <c r="AE88" s="75">
        <f ca="1">IFERROR(IF(Cost_Elements[[#This Row],[Row]]&gt;='Do Not Use or Delete'!$L$2, IF(Cost_Elements[[#This Row],[Row]]&lt;='Do Not Use or Delete'!$M$2,AC88*AD88,0),0)+IF(Cost_Elements[[#This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8" s="64"/>
      <c r="AG88" s="65"/>
      <c r="AH88" s="76">
        <f ca="1">IF(PRODUCT(Cost_Elements[[#This Row],[BLS or SCLS]]="BLS"),(Cost_Elements[[#This Row],[Rate | 5]]*$AI$4)+Cost_Elements[[#This Row],[Rate | 5]],(Cost_Elements[[#This Row],[Rate | 5]]*$AI$5)+Cost_Elements[[#This Row],[Rate | 5]])</f>
        <v>0</v>
      </c>
      <c r="AI88" s="450"/>
      <c r="AJ88" s="460"/>
      <c r="AK88" s="460"/>
      <c r="AL88" s="75">
        <f ca="1">IFERROR(IF(Cost_Elements[[#This Row],[Row]]&gt;='Do Not Use or Delete'!$L$2, IF(Cost_Elements[[#This Row],[Row]]&lt;='Do Not Use or Delete'!$M$2,AH88*AI88,0),0)+IF(Cost_Elements[[#This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8" s="64"/>
      <c r="AN88" s="65"/>
      <c r="AO88" s="77">
        <f t="shared" si="4"/>
        <v>0</v>
      </c>
      <c r="AP88" s="78">
        <f t="shared" ca="1" si="5"/>
        <v>0</v>
      </c>
      <c r="AQ88" s="68">
        <f ca="1">ROW(Cost_Elements[[#This Row],[Amount | Total]])</f>
        <v>88</v>
      </c>
    </row>
    <row r="89" spans="1:43">
      <c r="A89" s="240" t="s">
        <v>165</v>
      </c>
      <c r="B89" s="275"/>
      <c r="C89" s="276"/>
      <c r="D89" s="71"/>
      <c r="E89" s="71"/>
      <c r="F89" s="71"/>
      <c r="G89" s="71"/>
      <c r="H89" s="72" t="str">
        <f ca="1">IFERROR(INDEX(Labor_Categories[Minimum Direct Labor Rates],MATCH(Cost_Elements[[#This Row],[Government Labor Category]],Labor_Categories[Labor Categories],0)),"")</f>
        <v/>
      </c>
      <c r="I89" s="79"/>
      <c r="J89" s="451"/>
      <c r="K89" s="75">
        <f ca="1">IFERROR(IF(Cost_Elements[[#This Row],[Row]]&gt;='Do Not Use or Delete'!$L$2, IF(Cost_Elements[[#This Row],[Row]]&lt;='Do Not Use or Delete'!$M$2,I89*J89,0),0)+IF(Cost_Elements[[#This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9" s="63"/>
      <c r="M89" s="63"/>
      <c r="N89" s="76">
        <f ca="1">IF(PRODUCT(Cost_Elements[[#This Row],[BLS or SCLS]]="BLS"),(Cost_Elements[[#This Row],[Rate | 1]]*$O$4)+Cost_Elements[[#This Row],[Rate | 1]],(Cost_Elements[[#This Row],[Rate | 1]]*$O$5)+Cost_Elements[[#This Row],[Rate | 1]])</f>
        <v>0</v>
      </c>
      <c r="O89" s="452"/>
      <c r="P89" s="75">
        <f ca="1">IFERROR(IF(Cost_Elements[[#This Row],[Row]]&gt;='Do Not Use or Delete'!$L$2, IF(Cost_Elements[[#This Row],[Row]]&lt;='Do Not Use or Delete'!$M$2,N89*O89,0),0)+IF(Cost_Elements[[#This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9" s="63"/>
      <c r="R89" s="63"/>
      <c r="S89" s="76">
        <f ca="1">IF(PRODUCT(Cost_Elements[[#This Row],[BLS or SCLS]]="BLS"),(Cost_Elements[[#This Row],[Rate | 2]]*$T$4)+Cost_Elements[[#This Row],[Rate | 2]],(Cost_Elements[[#This Row],[Rate | 2]]*$T$5)+Cost_Elements[[#This Row],[Rate | 2]])</f>
        <v>0</v>
      </c>
      <c r="T89" s="450"/>
      <c r="U89" s="75">
        <f ca="1">IFERROR(IF(Cost_Elements[[#This Row],[Row]]&gt;='Do Not Use or Delete'!$L$2, IF(Cost_Elements[[#This Row],[Row]]&lt;='Do Not Use or Delete'!$M$2,S89*T89,0),0)+IF(Cost_Elements[[#This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9" s="63"/>
      <c r="W89" s="63"/>
      <c r="X89" s="76">
        <f ca="1">IF(PRODUCT(Cost_Elements[[#This Row],[BLS or SCLS]]="BLS"),(Cost_Elements[[#This Row],[Rate | 3]]*$Y$4)+Cost_Elements[[#This Row],[Rate | 3]],(Cost_Elements[[#This Row],[Rate | 3]]*$Y$5)+Cost_Elements[[#This Row],[Rate | 3]])</f>
        <v>0</v>
      </c>
      <c r="Y89" s="450"/>
      <c r="Z89" s="75">
        <f ca="1">IFERROR(IF(Cost_Elements[[#This Row],[Row]]&gt;='Do Not Use or Delete'!$L$2, IF(Cost_Elements[[#This Row],[Row]]&lt;='Do Not Use or Delete'!$M$2,X89*Y89,0),0)+IF(Cost_Elements[[#This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9" s="63"/>
      <c r="AB89" s="63"/>
      <c r="AC89" s="76">
        <f ca="1">IF(PRODUCT(Cost_Elements[[#This Row],[BLS or SCLS]]="BLS"),(Cost_Elements[[#This Row],[Rate | 4]]*$AD$4)+Cost_Elements[[#This Row],[Rate | 4]],(Cost_Elements[[#This Row],[Rate | 4]]*$AD$5)+Cost_Elements[[#This Row],[Rate | 4]])</f>
        <v>0</v>
      </c>
      <c r="AD89" s="450"/>
      <c r="AE89" s="75">
        <f ca="1">IFERROR(IF(Cost_Elements[[#This Row],[Row]]&gt;='Do Not Use or Delete'!$L$2, IF(Cost_Elements[[#This Row],[Row]]&lt;='Do Not Use or Delete'!$M$2,AC89*AD89,0),0)+IF(Cost_Elements[[#This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9" s="64"/>
      <c r="AG89" s="65"/>
      <c r="AH89" s="76">
        <f ca="1">IF(PRODUCT(Cost_Elements[[#This Row],[BLS or SCLS]]="BLS"),(Cost_Elements[[#This Row],[Rate | 5]]*$AI$4)+Cost_Elements[[#This Row],[Rate | 5]],(Cost_Elements[[#This Row],[Rate | 5]]*$AI$5)+Cost_Elements[[#This Row],[Rate | 5]])</f>
        <v>0</v>
      </c>
      <c r="AI89" s="450"/>
      <c r="AJ89" s="460"/>
      <c r="AK89" s="460"/>
      <c r="AL89" s="75">
        <f ca="1">IFERROR(IF(Cost_Elements[[#This Row],[Row]]&gt;='Do Not Use or Delete'!$L$2, IF(Cost_Elements[[#This Row],[Row]]&lt;='Do Not Use or Delete'!$M$2,AH89*AI89,0),0)+IF(Cost_Elements[[#This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9" s="64"/>
      <c r="AN89" s="65"/>
      <c r="AO89" s="77">
        <f t="shared" si="4"/>
        <v>0</v>
      </c>
      <c r="AP89" s="78">
        <f t="shared" ca="1" si="5"/>
        <v>0</v>
      </c>
      <c r="AQ89" s="68">
        <f ca="1">ROW(Cost_Elements[[#This Row],[Amount | Total]])</f>
        <v>89</v>
      </c>
    </row>
    <row r="90" spans="1:43">
      <c r="A90" s="240" t="s">
        <v>165</v>
      </c>
      <c r="B90" s="275"/>
      <c r="C90" s="276"/>
      <c r="D90" s="71"/>
      <c r="E90" s="71"/>
      <c r="F90" s="71"/>
      <c r="G90" s="71"/>
      <c r="H90" s="72" t="str">
        <f ca="1">IFERROR(INDEX(Labor_Categories[Minimum Direct Labor Rates],MATCH(Cost_Elements[[#This Row],[Government Labor Category]],Labor_Categories[Labor Categories],0)),"")</f>
        <v/>
      </c>
      <c r="I90" s="79"/>
      <c r="J90" s="451"/>
      <c r="K90" s="75">
        <f ca="1">IFERROR(IF(Cost_Elements[[#This Row],[Row]]&gt;='Do Not Use or Delete'!$L$2, IF(Cost_Elements[[#This Row],[Row]]&lt;='Do Not Use or Delete'!$M$2,I90*J90,0),0)+IF(Cost_Elements[[#This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0" s="63"/>
      <c r="M90" s="63"/>
      <c r="N90" s="76">
        <f ca="1">IF(PRODUCT(Cost_Elements[[#This Row],[BLS or SCLS]]="BLS"),(Cost_Elements[[#This Row],[Rate | 1]]*$O$4)+Cost_Elements[[#This Row],[Rate | 1]],(Cost_Elements[[#This Row],[Rate | 1]]*$O$5)+Cost_Elements[[#This Row],[Rate | 1]])</f>
        <v>0</v>
      </c>
      <c r="O90" s="452"/>
      <c r="P90" s="75">
        <f ca="1">IFERROR(IF(Cost_Elements[[#This Row],[Row]]&gt;='Do Not Use or Delete'!$L$2, IF(Cost_Elements[[#This Row],[Row]]&lt;='Do Not Use or Delete'!$M$2,N90*O90,0),0)+IF(Cost_Elements[[#This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0" s="63"/>
      <c r="R90" s="63"/>
      <c r="S90" s="76">
        <f ca="1">IF(PRODUCT(Cost_Elements[[#This Row],[BLS or SCLS]]="BLS"),(Cost_Elements[[#This Row],[Rate | 2]]*$T$4)+Cost_Elements[[#This Row],[Rate | 2]],(Cost_Elements[[#This Row],[Rate | 2]]*$T$5)+Cost_Elements[[#This Row],[Rate | 2]])</f>
        <v>0</v>
      </c>
      <c r="T90" s="450"/>
      <c r="U90" s="75">
        <f ca="1">IFERROR(IF(Cost_Elements[[#This Row],[Row]]&gt;='Do Not Use or Delete'!$L$2, IF(Cost_Elements[[#This Row],[Row]]&lt;='Do Not Use or Delete'!$M$2,S90*T90,0),0)+IF(Cost_Elements[[#This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0" s="63"/>
      <c r="W90" s="63"/>
      <c r="X90" s="76">
        <f ca="1">IF(PRODUCT(Cost_Elements[[#This Row],[BLS or SCLS]]="BLS"),(Cost_Elements[[#This Row],[Rate | 3]]*$Y$4)+Cost_Elements[[#This Row],[Rate | 3]],(Cost_Elements[[#This Row],[Rate | 3]]*$Y$5)+Cost_Elements[[#This Row],[Rate | 3]])</f>
        <v>0</v>
      </c>
      <c r="Y90" s="450"/>
      <c r="Z90" s="75">
        <f ca="1">IFERROR(IF(Cost_Elements[[#This Row],[Row]]&gt;='Do Not Use or Delete'!$L$2, IF(Cost_Elements[[#This Row],[Row]]&lt;='Do Not Use or Delete'!$M$2,X90*Y90,0),0)+IF(Cost_Elements[[#This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0" s="63"/>
      <c r="AB90" s="63"/>
      <c r="AC90" s="76">
        <f ca="1">IF(PRODUCT(Cost_Elements[[#This Row],[BLS or SCLS]]="BLS"),(Cost_Elements[[#This Row],[Rate | 4]]*$AD$4)+Cost_Elements[[#This Row],[Rate | 4]],(Cost_Elements[[#This Row],[Rate | 4]]*$AD$5)+Cost_Elements[[#This Row],[Rate | 4]])</f>
        <v>0</v>
      </c>
      <c r="AD90" s="450"/>
      <c r="AE90" s="75">
        <f ca="1">IFERROR(IF(Cost_Elements[[#This Row],[Row]]&gt;='Do Not Use or Delete'!$L$2, IF(Cost_Elements[[#This Row],[Row]]&lt;='Do Not Use or Delete'!$M$2,AC90*AD90,0),0)+IF(Cost_Elements[[#This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0" s="64"/>
      <c r="AG90" s="65"/>
      <c r="AH90" s="76">
        <f ca="1">IF(PRODUCT(Cost_Elements[[#This Row],[BLS or SCLS]]="BLS"),(Cost_Elements[[#This Row],[Rate | 5]]*$AI$4)+Cost_Elements[[#This Row],[Rate | 5]],(Cost_Elements[[#This Row],[Rate | 5]]*$AI$5)+Cost_Elements[[#This Row],[Rate | 5]])</f>
        <v>0</v>
      </c>
      <c r="AI90" s="450"/>
      <c r="AJ90" s="460"/>
      <c r="AK90" s="460"/>
      <c r="AL90" s="75">
        <f ca="1">IFERROR(IF(Cost_Elements[[#This Row],[Row]]&gt;='Do Not Use or Delete'!$L$2, IF(Cost_Elements[[#This Row],[Row]]&lt;='Do Not Use or Delete'!$M$2,AH90*AI90,0),0)+IF(Cost_Elements[[#This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0" s="64"/>
      <c r="AN90" s="65"/>
      <c r="AO90" s="77">
        <f t="shared" si="4"/>
        <v>0</v>
      </c>
      <c r="AP90" s="78">
        <f t="shared" ca="1" si="5"/>
        <v>0</v>
      </c>
      <c r="AQ90" s="68">
        <f ca="1">ROW(Cost_Elements[[#This Row],[Amount | Total]])</f>
        <v>90</v>
      </c>
    </row>
    <row r="91" spans="1:43">
      <c r="A91" s="240" t="s">
        <v>165</v>
      </c>
      <c r="B91" s="275"/>
      <c r="C91" s="276"/>
      <c r="D91" s="71"/>
      <c r="E91" s="71"/>
      <c r="F91" s="71"/>
      <c r="G91" s="71"/>
      <c r="H91" s="72" t="str">
        <f ca="1">IFERROR(INDEX(Labor_Categories[Minimum Direct Labor Rates],MATCH(Cost_Elements[[#This Row],[Government Labor Category]],Labor_Categories[Labor Categories],0)),"")</f>
        <v/>
      </c>
      <c r="I91" s="79"/>
      <c r="J91" s="451"/>
      <c r="K91" s="75">
        <f ca="1">IFERROR(IF(Cost_Elements[[#This Row],[Row]]&gt;='Do Not Use or Delete'!$L$2, IF(Cost_Elements[[#This Row],[Row]]&lt;='Do Not Use or Delete'!$M$2,I91*J91,0),0)+IF(Cost_Elements[[#This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1" s="63"/>
      <c r="M91" s="63"/>
      <c r="N91" s="76">
        <f ca="1">IF(PRODUCT(Cost_Elements[[#This Row],[BLS or SCLS]]="BLS"),(Cost_Elements[[#This Row],[Rate | 1]]*$O$4)+Cost_Elements[[#This Row],[Rate | 1]],(Cost_Elements[[#This Row],[Rate | 1]]*$O$5)+Cost_Elements[[#This Row],[Rate | 1]])</f>
        <v>0</v>
      </c>
      <c r="O91" s="452"/>
      <c r="P91" s="75">
        <f ca="1">IFERROR(IF(Cost_Elements[[#This Row],[Row]]&gt;='Do Not Use or Delete'!$L$2, IF(Cost_Elements[[#This Row],[Row]]&lt;='Do Not Use or Delete'!$M$2,N91*O91,0),0)+IF(Cost_Elements[[#This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1" s="63"/>
      <c r="R91" s="63"/>
      <c r="S91" s="76">
        <f ca="1">IF(PRODUCT(Cost_Elements[[#This Row],[BLS or SCLS]]="BLS"),(Cost_Elements[[#This Row],[Rate | 2]]*$T$4)+Cost_Elements[[#This Row],[Rate | 2]],(Cost_Elements[[#This Row],[Rate | 2]]*$T$5)+Cost_Elements[[#This Row],[Rate | 2]])</f>
        <v>0</v>
      </c>
      <c r="T91" s="450"/>
      <c r="U91" s="75">
        <f ca="1">IFERROR(IF(Cost_Elements[[#This Row],[Row]]&gt;='Do Not Use or Delete'!$L$2, IF(Cost_Elements[[#This Row],[Row]]&lt;='Do Not Use or Delete'!$M$2,S91*T91,0),0)+IF(Cost_Elements[[#This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1" s="63"/>
      <c r="W91" s="63"/>
      <c r="X91" s="76">
        <f ca="1">IF(PRODUCT(Cost_Elements[[#This Row],[BLS or SCLS]]="BLS"),(Cost_Elements[[#This Row],[Rate | 3]]*$Y$4)+Cost_Elements[[#This Row],[Rate | 3]],(Cost_Elements[[#This Row],[Rate | 3]]*$Y$5)+Cost_Elements[[#This Row],[Rate | 3]])</f>
        <v>0</v>
      </c>
      <c r="Y91" s="450"/>
      <c r="Z91" s="75">
        <f ca="1">IFERROR(IF(Cost_Elements[[#This Row],[Row]]&gt;='Do Not Use or Delete'!$L$2, IF(Cost_Elements[[#This Row],[Row]]&lt;='Do Not Use or Delete'!$M$2,X91*Y91,0),0)+IF(Cost_Elements[[#This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1" s="63"/>
      <c r="AB91" s="63"/>
      <c r="AC91" s="76">
        <f ca="1">IF(PRODUCT(Cost_Elements[[#This Row],[BLS or SCLS]]="BLS"),(Cost_Elements[[#This Row],[Rate | 4]]*$AD$4)+Cost_Elements[[#This Row],[Rate | 4]],(Cost_Elements[[#This Row],[Rate | 4]]*$AD$5)+Cost_Elements[[#This Row],[Rate | 4]])</f>
        <v>0</v>
      </c>
      <c r="AD91" s="450"/>
      <c r="AE91" s="75">
        <f ca="1">IFERROR(IF(Cost_Elements[[#This Row],[Row]]&gt;='Do Not Use or Delete'!$L$2, IF(Cost_Elements[[#This Row],[Row]]&lt;='Do Not Use or Delete'!$M$2,AC91*AD91,0),0)+IF(Cost_Elements[[#This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1" s="64"/>
      <c r="AG91" s="65"/>
      <c r="AH91" s="76">
        <f ca="1">IF(PRODUCT(Cost_Elements[[#This Row],[BLS or SCLS]]="BLS"),(Cost_Elements[[#This Row],[Rate | 5]]*$AI$4)+Cost_Elements[[#This Row],[Rate | 5]],(Cost_Elements[[#This Row],[Rate | 5]]*$AI$5)+Cost_Elements[[#This Row],[Rate | 5]])</f>
        <v>0</v>
      </c>
      <c r="AI91" s="450"/>
      <c r="AJ91" s="460"/>
      <c r="AK91" s="460"/>
      <c r="AL91" s="75">
        <f ca="1">IFERROR(IF(Cost_Elements[[#This Row],[Row]]&gt;='Do Not Use or Delete'!$L$2, IF(Cost_Elements[[#This Row],[Row]]&lt;='Do Not Use or Delete'!$M$2,AH91*AI91,0),0)+IF(Cost_Elements[[#This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1" s="64"/>
      <c r="AN91" s="65"/>
      <c r="AO91" s="77">
        <f t="shared" si="4"/>
        <v>0</v>
      </c>
      <c r="AP91" s="78">
        <f t="shared" ca="1" si="5"/>
        <v>0</v>
      </c>
      <c r="AQ91" s="68">
        <f ca="1">ROW(Cost_Elements[[#This Row],[Amount | Total]])</f>
        <v>91</v>
      </c>
    </row>
    <row r="92" spans="1:43">
      <c r="A92" s="240" t="s">
        <v>165</v>
      </c>
      <c r="B92" s="275"/>
      <c r="C92" s="276"/>
      <c r="D92" s="71"/>
      <c r="E92" s="71"/>
      <c r="F92" s="71"/>
      <c r="G92" s="71"/>
      <c r="H92" s="72" t="str">
        <f ca="1">IFERROR(INDEX(Labor_Categories[Minimum Direct Labor Rates],MATCH(Cost_Elements[[#This Row],[Government Labor Category]],Labor_Categories[Labor Categories],0)),"")</f>
        <v/>
      </c>
      <c r="I92" s="79"/>
      <c r="J92" s="451"/>
      <c r="K92" s="75">
        <f ca="1">IFERROR(IF(Cost_Elements[[#This Row],[Row]]&gt;='Do Not Use or Delete'!$L$2, IF(Cost_Elements[[#This Row],[Row]]&lt;='Do Not Use or Delete'!$M$2,I92*J92,0),0)+IF(Cost_Elements[[#This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2" s="63"/>
      <c r="M92" s="63"/>
      <c r="N92" s="76">
        <f ca="1">IF(PRODUCT(Cost_Elements[[#This Row],[BLS or SCLS]]="BLS"),(Cost_Elements[[#This Row],[Rate | 1]]*$O$4)+Cost_Elements[[#This Row],[Rate | 1]],(Cost_Elements[[#This Row],[Rate | 1]]*$O$5)+Cost_Elements[[#This Row],[Rate | 1]])</f>
        <v>0</v>
      </c>
      <c r="O92" s="451"/>
      <c r="P92" s="75">
        <f ca="1">IFERROR(IF(Cost_Elements[[#This Row],[Row]]&gt;='Do Not Use or Delete'!$L$2, IF(Cost_Elements[[#This Row],[Row]]&lt;='Do Not Use or Delete'!$M$2,N92*O92,0),0)+IF(Cost_Elements[[#This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2" s="63"/>
      <c r="R92" s="63"/>
      <c r="S92" s="76">
        <f ca="1">IF(PRODUCT(Cost_Elements[[#This Row],[BLS or SCLS]]="BLS"),(Cost_Elements[[#This Row],[Rate | 2]]*$T$4)+Cost_Elements[[#This Row],[Rate | 2]],(Cost_Elements[[#This Row],[Rate | 2]]*$T$5)+Cost_Elements[[#This Row],[Rate | 2]])</f>
        <v>0</v>
      </c>
      <c r="T92" s="450"/>
      <c r="U92" s="75">
        <f ca="1">IFERROR(IF(Cost_Elements[[#This Row],[Row]]&gt;='Do Not Use or Delete'!$L$2, IF(Cost_Elements[[#This Row],[Row]]&lt;='Do Not Use or Delete'!$M$2,S92*T92,0),0)+IF(Cost_Elements[[#This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2" s="63"/>
      <c r="W92" s="63"/>
      <c r="X92" s="76">
        <f ca="1">IF(PRODUCT(Cost_Elements[[#This Row],[BLS or SCLS]]="BLS"),(Cost_Elements[[#This Row],[Rate | 3]]*$Y$4)+Cost_Elements[[#This Row],[Rate | 3]],(Cost_Elements[[#This Row],[Rate | 3]]*$Y$5)+Cost_Elements[[#This Row],[Rate | 3]])</f>
        <v>0</v>
      </c>
      <c r="Y92" s="450"/>
      <c r="Z92" s="75">
        <f ca="1">IFERROR(IF(Cost_Elements[[#This Row],[Row]]&gt;='Do Not Use or Delete'!$L$2, IF(Cost_Elements[[#This Row],[Row]]&lt;='Do Not Use or Delete'!$M$2,X92*Y92,0),0)+IF(Cost_Elements[[#This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2" s="63"/>
      <c r="AB92" s="63"/>
      <c r="AC92" s="76">
        <f ca="1">IF(PRODUCT(Cost_Elements[[#This Row],[BLS or SCLS]]="BLS"),(Cost_Elements[[#This Row],[Rate | 4]]*$AD$4)+Cost_Elements[[#This Row],[Rate | 4]],(Cost_Elements[[#This Row],[Rate | 4]]*$AD$5)+Cost_Elements[[#This Row],[Rate | 4]])</f>
        <v>0</v>
      </c>
      <c r="AD92" s="450"/>
      <c r="AE92" s="75">
        <f ca="1">IFERROR(IF(Cost_Elements[[#This Row],[Row]]&gt;='Do Not Use or Delete'!$L$2, IF(Cost_Elements[[#This Row],[Row]]&lt;='Do Not Use or Delete'!$M$2,AC92*AD92,0),0)+IF(Cost_Elements[[#This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2" s="64"/>
      <c r="AG92" s="65"/>
      <c r="AH92" s="76">
        <f ca="1">IF(PRODUCT(Cost_Elements[[#This Row],[BLS or SCLS]]="BLS"),(Cost_Elements[[#This Row],[Rate | 5]]*$AI$4)+Cost_Elements[[#This Row],[Rate | 5]],(Cost_Elements[[#This Row],[Rate | 5]]*$AI$5)+Cost_Elements[[#This Row],[Rate | 5]])</f>
        <v>0</v>
      </c>
      <c r="AI92" s="450"/>
      <c r="AJ92" s="460"/>
      <c r="AK92" s="460"/>
      <c r="AL92" s="75">
        <f ca="1">IFERROR(IF(Cost_Elements[[#This Row],[Row]]&gt;='Do Not Use or Delete'!$L$2, IF(Cost_Elements[[#This Row],[Row]]&lt;='Do Not Use or Delete'!$M$2,AH92*AI92,0),0)+IF(Cost_Elements[[#This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2" s="64"/>
      <c r="AN92" s="65"/>
      <c r="AO92" s="77">
        <f t="shared" si="4"/>
        <v>0</v>
      </c>
      <c r="AP92" s="78">
        <f t="shared" ca="1" si="5"/>
        <v>0</v>
      </c>
      <c r="AQ92" s="68">
        <f ca="1">ROW(Cost_Elements[[#This Row],[Amount | Total]])</f>
        <v>92</v>
      </c>
    </row>
    <row r="93" spans="1:43">
      <c r="A93" s="240" t="s">
        <v>165</v>
      </c>
      <c r="B93" s="275"/>
      <c r="C93" s="276"/>
      <c r="D93" s="71"/>
      <c r="E93" s="71"/>
      <c r="F93" s="71"/>
      <c r="G93" s="71"/>
      <c r="H93" s="72" t="str">
        <f ca="1">IFERROR(INDEX(Labor_Categories[Minimum Direct Labor Rates],MATCH(Cost_Elements[[#This Row],[Government Labor Category]],Labor_Categories[Labor Categories],0)),"")</f>
        <v/>
      </c>
      <c r="I93" s="79"/>
      <c r="J93" s="451"/>
      <c r="K93" s="75">
        <f ca="1">IFERROR(IF(Cost_Elements[[#This Row],[Row]]&gt;='Do Not Use or Delete'!$L$2, IF(Cost_Elements[[#This Row],[Row]]&lt;='Do Not Use or Delete'!$M$2,I93*J93,0),0)+IF(Cost_Elements[[#This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3" s="63"/>
      <c r="M93" s="63"/>
      <c r="N93" s="76">
        <f ca="1">IF(PRODUCT(Cost_Elements[[#This Row],[BLS or SCLS]]="BLS"),(Cost_Elements[[#This Row],[Rate | 1]]*$O$4)+Cost_Elements[[#This Row],[Rate | 1]],(Cost_Elements[[#This Row],[Rate | 1]]*$O$5)+Cost_Elements[[#This Row],[Rate | 1]])</f>
        <v>0</v>
      </c>
      <c r="O93" s="451"/>
      <c r="P93" s="75">
        <f ca="1">IFERROR(IF(Cost_Elements[[#This Row],[Row]]&gt;='Do Not Use or Delete'!$L$2, IF(Cost_Elements[[#This Row],[Row]]&lt;='Do Not Use or Delete'!$M$2,N93*O93,0),0)+IF(Cost_Elements[[#This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3" s="63"/>
      <c r="R93" s="63"/>
      <c r="S93" s="76">
        <f ca="1">IF(PRODUCT(Cost_Elements[[#This Row],[BLS or SCLS]]="BLS"),(Cost_Elements[[#This Row],[Rate | 2]]*$T$4)+Cost_Elements[[#This Row],[Rate | 2]],(Cost_Elements[[#This Row],[Rate | 2]]*$T$5)+Cost_Elements[[#This Row],[Rate | 2]])</f>
        <v>0</v>
      </c>
      <c r="T93" s="451"/>
      <c r="U93" s="75">
        <f ca="1">IFERROR(IF(Cost_Elements[[#This Row],[Row]]&gt;='Do Not Use or Delete'!$L$2, IF(Cost_Elements[[#This Row],[Row]]&lt;='Do Not Use or Delete'!$M$2,S93*T93,0),0)+IF(Cost_Elements[[#This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3" s="63"/>
      <c r="W93" s="63"/>
      <c r="X93" s="76">
        <f ca="1">IF(PRODUCT(Cost_Elements[[#This Row],[BLS or SCLS]]="BLS"),(Cost_Elements[[#This Row],[Rate | 3]]*$Y$4)+Cost_Elements[[#This Row],[Rate | 3]],(Cost_Elements[[#This Row],[Rate | 3]]*$Y$5)+Cost_Elements[[#This Row],[Rate | 3]])</f>
        <v>0</v>
      </c>
      <c r="Y93" s="451"/>
      <c r="Z93" s="75">
        <f ca="1">IFERROR(IF(Cost_Elements[[#This Row],[Row]]&gt;='Do Not Use or Delete'!$L$2, IF(Cost_Elements[[#This Row],[Row]]&lt;='Do Not Use or Delete'!$M$2,X93*Y93,0),0)+IF(Cost_Elements[[#This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3" s="63"/>
      <c r="AB93" s="63"/>
      <c r="AC93" s="76">
        <f ca="1">IF(PRODUCT(Cost_Elements[[#This Row],[BLS or SCLS]]="BLS"),(Cost_Elements[[#This Row],[Rate | 4]]*$AD$4)+Cost_Elements[[#This Row],[Rate | 4]],(Cost_Elements[[#This Row],[Rate | 4]]*$AD$5)+Cost_Elements[[#This Row],[Rate | 4]])</f>
        <v>0</v>
      </c>
      <c r="AD93" s="451"/>
      <c r="AE93" s="75">
        <f ca="1">IFERROR(IF(Cost_Elements[[#This Row],[Row]]&gt;='Do Not Use or Delete'!$L$2, IF(Cost_Elements[[#This Row],[Row]]&lt;='Do Not Use or Delete'!$M$2,AC93*AD93,0),0)+IF(Cost_Elements[[#This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3" s="64"/>
      <c r="AG93" s="65"/>
      <c r="AH93" s="76">
        <f ca="1">IF(PRODUCT(Cost_Elements[[#This Row],[BLS or SCLS]]="BLS"),(Cost_Elements[[#This Row],[Rate | 5]]*$AI$4)+Cost_Elements[[#This Row],[Rate | 5]],(Cost_Elements[[#This Row],[Rate | 5]]*$AI$5)+Cost_Elements[[#This Row],[Rate | 5]])</f>
        <v>0</v>
      </c>
      <c r="AI93" s="450"/>
      <c r="AJ93" s="460"/>
      <c r="AK93" s="460"/>
      <c r="AL93" s="75">
        <f ca="1">IFERROR(IF(Cost_Elements[[#This Row],[Row]]&gt;='Do Not Use or Delete'!$L$2, IF(Cost_Elements[[#This Row],[Row]]&lt;='Do Not Use or Delete'!$M$2,AH93*AI93,0),0)+IF(Cost_Elements[[#This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3" s="64"/>
      <c r="AN93" s="65"/>
      <c r="AO93" s="77">
        <f t="shared" si="4"/>
        <v>0</v>
      </c>
      <c r="AP93" s="78">
        <f t="shared" ca="1" si="5"/>
        <v>0</v>
      </c>
      <c r="AQ93" s="68">
        <f ca="1">ROW(Cost_Elements[[#This Row],[Amount | Total]])</f>
        <v>93</v>
      </c>
    </row>
    <row r="94" spans="1:43">
      <c r="A94" s="240" t="s">
        <v>165</v>
      </c>
      <c r="B94" s="275"/>
      <c r="C94" s="276"/>
      <c r="D94" s="71"/>
      <c r="E94" s="71"/>
      <c r="F94" s="71"/>
      <c r="G94" s="71"/>
      <c r="H94" s="72" t="str">
        <f ca="1">IFERROR(INDEX(Labor_Categories[Minimum Direct Labor Rates],MATCH(Cost_Elements[[#This Row],[Government Labor Category]],Labor_Categories[Labor Categories],0)),"")</f>
        <v/>
      </c>
      <c r="I94" s="79"/>
      <c r="J94" s="451"/>
      <c r="K94" s="75">
        <f ca="1">IFERROR(IF(Cost_Elements[[#This Row],[Row]]&gt;='Do Not Use or Delete'!$L$2, IF(Cost_Elements[[#This Row],[Row]]&lt;='Do Not Use or Delete'!$M$2,I94*J94,0),0)+IF(Cost_Elements[[#This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4" s="63"/>
      <c r="M94" s="63"/>
      <c r="N94" s="76">
        <f ca="1">IF(PRODUCT(Cost_Elements[[#This Row],[BLS or SCLS]]="BLS"),(Cost_Elements[[#This Row],[Rate | 1]]*$O$4)+Cost_Elements[[#This Row],[Rate | 1]],(Cost_Elements[[#This Row],[Rate | 1]]*$O$5)+Cost_Elements[[#This Row],[Rate | 1]])</f>
        <v>0</v>
      </c>
      <c r="O94" s="451"/>
      <c r="P94" s="75">
        <f ca="1">IFERROR(IF(Cost_Elements[[#This Row],[Row]]&gt;='Do Not Use or Delete'!$L$2, IF(Cost_Elements[[#This Row],[Row]]&lt;='Do Not Use or Delete'!$M$2,N94*O94,0),0)+IF(Cost_Elements[[#This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4" s="63"/>
      <c r="R94" s="63"/>
      <c r="S94" s="76">
        <f ca="1">IF(PRODUCT(Cost_Elements[[#This Row],[BLS or SCLS]]="BLS"),(Cost_Elements[[#This Row],[Rate | 2]]*$T$4)+Cost_Elements[[#This Row],[Rate | 2]],(Cost_Elements[[#This Row],[Rate | 2]]*$T$5)+Cost_Elements[[#This Row],[Rate | 2]])</f>
        <v>0</v>
      </c>
      <c r="T94" s="74"/>
      <c r="U94" s="75">
        <f ca="1">IFERROR(IF(Cost_Elements[[#This Row],[Row]]&gt;='Do Not Use or Delete'!$L$2, IF(Cost_Elements[[#This Row],[Row]]&lt;='Do Not Use or Delete'!$M$2,S94*T94,0),0)+IF(Cost_Elements[[#This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4" s="63"/>
      <c r="W94" s="63"/>
      <c r="X94" s="76">
        <f ca="1">IF(PRODUCT(Cost_Elements[[#This Row],[BLS or SCLS]]="BLS"),(Cost_Elements[[#This Row],[Rate | 3]]*$Y$4)+Cost_Elements[[#This Row],[Rate | 3]],(Cost_Elements[[#This Row],[Rate | 3]]*$Y$5)+Cost_Elements[[#This Row],[Rate | 3]])</f>
        <v>0</v>
      </c>
      <c r="Y94" s="74"/>
      <c r="Z94" s="75">
        <f ca="1">IFERROR(IF(Cost_Elements[[#This Row],[Row]]&gt;='Do Not Use or Delete'!$L$2, IF(Cost_Elements[[#This Row],[Row]]&lt;='Do Not Use or Delete'!$M$2,X94*Y94,0),0)+IF(Cost_Elements[[#This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4" s="63"/>
      <c r="AB94" s="63"/>
      <c r="AC94" s="76">
        <f ca="1">IF(PRODUCT(Cost_Elements[[#This Row],[BLS or SCLS]]="BLS"),(Cost_Elements[[#This Row],[Rate | 4]]*$AD$4)+Cost_Elements[[#This Row],[Rate | 4]],(Cost_Elements[[#This Row],[Rate | 4]]*$AD$5)+Cost_Elements[[#This Row],[Rate | 4]])</f>
        <v>0</v>
      </c>
      <c r="AD94" s="74"/>
      <c r="AE94" s="75">
        <f ca="1">IFERROR(IF(Cost_Elements[[#This Row],[Row]]&gt;='Do Not Use or Delete'!$L$2, IF(Cost_Elements[[#This Row],[Row]]&lt;='Do Not Use or Delete'!$M$2,AC94*AD94,0),0)+IF(Cost_Elements[[#This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4" s="64"/>
      <c r="AG94" s="65"/>
      <c r="AH94" s="76">
        <f ca="1">IF(PRODUCT(Cost_Elements[[#This Row],[BLS or SCLS]]="BLS"),(Cost_Elements[[#This Row],[Rate | 5]]*$AI$4)+Cost_Elements[[#This Row],[Rate | 5]],(Cost_Elements[[#This Row],[Rate | 5]]*$AI$5)+Cost_Elements[[#This Row],[Rate | 5]])</f>
        <v>0</v>
      </c>
      <c r="AI94" s="450"/>
      <c r="AJ94" s="460"/>
      <c r="AK94" s="460"/>
      <c r="AL94" s="75">
        <f ca="1">IFERROR(IF(Cost_Elements[[#This Row],[Row]]&gt;='Do Not Use or Delete'!$L$2, IF(Cost_Elements[[#This Row],[Row]]&lt;='Do Not Use or Delete'!$M$2,AH94*AI94,0),0)+IF(Cost_Elements[[#This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4" s="64"/>
      <c r="AN94" s="65"/>
      <c r="AO94" s="77">
        <f t="shared" si="4"/>
        <v>0</v>
      </c>
      <c r="AP94" s="78">
        <f t="shared" ca="1" si="5"/>
        <v>0</v>
      </c>
      <c r="AQ94" s="68">
        <f ca="1">ROW(Cost_Elements[[#This Row],[Amount | Total]])</f>
        <v>94</v>
      </c>
    </row>
    <row r="95" spans="1:43">
      <c r="A95" s="240" t="s">
        <v>165</v>
      </c>
      <c r="B95" s="275"/>
      <c r="C95" s="276"/>
      <c r="D95" s="71"/>
      <c r="E95" s="71"/>
      <c r="F95" s="71"/>
      <c r="G95" s="71"/>
      <c r="H95" s="72" t="str">
        <f ca="1">IFERROR(INDEX(Labor_Categories[Minimum Direct Labor Rates],MATCH(Cost_Elements[[#This Row],[Government Labor Category]],Labor_Categories[Labor Categories],0)),"")</f>
        <v/>
      </c>
      <c r="I95" s="79"/>
      <c r="J95" s="74"/>
      <c r="K95" s="75">
        <f ca="1">IFERROR(IF(Cost_Elements[[#This Row],[Row]]&gt;='Do Not Use or Delete'!$L$2, IF(Cost_Elements[[#This Row],[Row]]&lt;='Do Not Use or Delete'!$M$2,I95*J95,0),0)+IF(Cost_Elements[[#This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5" s="63"/>
      <c r="M95" s="63"/>
      <c r="N95" s="76">
        <f ca="1">IF(PRODUCT(Cost_Elements[[#This Row],[BLS or SCLS]]="BLS"),(Cost_Elements[[#This Row],[Rate | 1]]*$O$4)+Cost_Elements[[#This Row],[Rate | 1]],(Cost_Elements[[#This Row],[Rate | 1]]*$O$5)+Cost_Elements[[#This Row],[Rate | 1]])</f>
        <v>0</v>
      </c>
      <c r="O95" s="451"/>
      <c r="P95" s="75">
        <f ca="1">IFERROR(IF(Cost_Elements[[#This Row],[Row]]&gt;='Do Not Use or Delete'!$L$2, IF(Cost_Elements[[#This Row],[Row]]&lt;='Do Not Use or Delete'!$M$2,N95*O95,0),0)+IF(Cost_Elements[[#This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5" s="63"/>
      <c r="R95" s="63"/>
      <c r="S95" s="76">
        <f ca="1">IF(PRODUCT(Cost_Elements[[#This Row],[BLS or SCLS]]="BLS"),(Cost_Elements[[#This Row],[Rate | 2]]*$T$4)+Cost_Elements[[#This Row],[Rate | 2]],(Cost_Elements[[#This Row],[Rate | 2]]*$T$5)+Cost_Elements[[#This Row],[Rate | 2]])</f>
        <v>0</v>
      </c>
      <c r="T95" s="74"/>
      <c r="U95" s="75">
        <f ca="1">IFERROR(IF(Cost_Elements[[#This Row],[Row]]&gt;='Do Not Use or Delete'!$L$2, IF(Cost_Elements[[#This Row],[Row]]&lt;='Do Not Use or Delete'!$M$2,S95*T95,0),0)+IF(Cost_Elements[[#This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5" s="63"/>
      <c r="W95" s="63"/>
      <c r="X95" s="76">
        <f ca="1">IF(PRODUCT(Cost_Elements[[#This Row],[BLS or SCLS]]="BLS"),(Cost_Elements[[#This Row],[Rate | 3]]*$Y$4)+Cost_Elements[[#This Row],[Rate | 3]],(Cost_Elements[[#This Row],[Rate | 3]]*$Y$5)+Cost_Elements[[#This Row],[Rate | 3]])</f>
        <v>0</v>
      </c>
      <c r="Y95" s="74"/>
      <c r="Z95" s="75">
        <f ca="1">IFERROR(IF(Cost_Elements[[#This Row],[Row]]&gt;='Do Not Use or Delete'!$L$2, IF(Cost_Elements[[#This Row],[Row]]&lt;='Do Not Use or Delete'!$M$2,X95*Y95,0),0)+IF(Cost_Elements[[#This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5" s="63"/>
      <c r="AB95" s="63"/>
      <c r="AC95" s="76">
        <f ca="1">IF(PRODUCT(Cost_Elements[[#This Row],[BLS or SCLS]]="BLS"),(Cost_Elements[[#This Row],[Rate | 4]]*$AD$4)+Cost_Elements[[#This Row],[Rate | 4]],(Cost_Elements[[#This Row],[Rate | 4]]*$AD$5)+Cost_Elements[[#This Row],[Rate | 4]])</f>
        <v>0</v>
      </c>
      <c r="AD95" s="74"/>
      <c r="AE95" s="75">
        <f ca="1">IFERROR(IF(Cost_Elements[[#This Row],[Row]]&gt;='Do Not Use or Delete'!$L$2, IF(Cost_Elements[[#This Row],[Row]]&lt;='Do Not Use or Delete'!$M$2,AC95*AD95,0),0)+IF(Cost_Elements[[#This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5" s="64"/>
      <c r="AG95" s="65"/>
      <c r="AH95" s="76">
        <f ca="1">IF(PRODUCT(Cost_Elements[[#This Row],[BLS or SCLS]]="BLS"),(Cost_Elements[[#This Row],[Rate | 5]]*$AI$4)+Cost_Elements[[#This Row],[Rate | 5]],(Cost_Elements[[#This Row],[Rate | 5]]*$AI$5)+Cost_Elements[[#This Row],[Rate | 5]])</f>
        <v>0</v>
      </c>
      <c r="AI95" s="450"/>
      <c r="AJ95" s="460"/>
      <c r="AK95" s="460"/>
      <c r="AL95" s="75">
        <f ca="1">IFERROR(IF(Cost_Elements[[#This Row],[Row]]&gt;='Do Not Use or Delete'!$L$2, IF(Cost_Elements[[#This Row],[Row]]&lt;='Do Not Use or Delete'!$M$2,AH95*AI95,0),0)+IF(Cost_Elements[[#This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5" s="64"/>
      <c r="AN95" s="65"/>
      <c r="AO95" s="77">
        <f t="shared" si="4"/>
        <v>0</v>
      </c>
      <c r="AP95" s="78">
        <f t="shared" ca="1" si="5"/>
        <v>0</v>
      </c>
      <c r="AQ95" s="68">
        <f ca="1">ROW(Cost_Elements[[#This Row],[Amount | Total]])</f>
        <v>95</v>
      </c>
    </row>
    <row r="96" spans="1:43">
      <c r="A96" s="240" t="s">
        <v>165</v>
      </c>
      <c r="B96" s="275"/>
      <c r="C96" s="276"/>
      <c r="D96" s="71"/>
      <c r="E96" s="71"/>
      <c r="F96" s="71"/>
      <c r="G96" s="71"/>
      <c r="H96" s="72" t="str">
        <f ca="1">IFERROR(INDEX(Labor_Categories[Minimum Direct Labor Rates],MATCH(Cost_Elements[[#This Row],[Government Labor Category]],Labor_Categories[Labor Categories],0)),"")</f>
        <v/>
      </c>
      <c r="I96" s="79"/>
      <c r="J96" s="74"/>
      <c r="K96" s="75">
        <f ca="1">IFERROR(IF(Cost_Elements[[#This Row],[Row]]&gt;='Do Not Use or Delete'!$L$2, IF(Cost_Elements[[#This Row],[Row]]&lt;='Do Not Use or Delete'!$M$2,I96*J96,0),0)+IF(Cost_Elements[[#This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6" s="63"/>
      <c r="M96" s="63"/>
      <c r="N96" s="76">
        <f ca="1">IF(PRODUCT(Cost_Elements[[#This Row],[BLS or SCLS]]="BLS"),(Cost_Elements[[#This Row],[Rate | 1]]*$O$4)+Cost_Elements[[#This Row],[Rate | 1]],(Cost_Elements[[#This Row],[Rate | 1]]*$O$5)+Cost_Elements[[#This Row],[Rate | 1]])</f>
        <v>0</v>
      </c>
      <c r="O96" s="451"/>
      <c r="P96" s="75">
        <f ca="1">IFERROR(IF(Cost_Elements[[#This Row],[Row]]&gt;='Do Not Use or Delete'!$L$2, IF(Cost_Elements[[#This Row],[Row]]&lt;='Do Not Use or Delete'!$M$2,N96*O96,0),0)+IF(Cost_Elements[[#This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6" s="63"/>
      <c r="R96" s="63"/>
      <c r="S96" s="76">
        <f ca="1">IF(PRODUCT(Cost_Elements[[#This Row],[BLS or SCLS]]="BLS"),(Cost_Elements[[#This Row],[Rate | 2]]*$T$4)+Cost_Elements[[#This Row],[Rate | 2]],(Cost_Elements[[#This Row],[Rate | 2]]*$T$5)+Cost_Elements[[#This Row],[Rate | 2]])</f>
        <v>0</v>
      </c>
      <c r="T96" s="74"/>
      <c r="U96" s="75">
        <f ca="1">IFERROR(IF(Cost_Elements[[#This Row],[Row]]&gt;='Do Not Use or Delete'!$L$2, IF(Cost_Elements[[#This Row],[Row]]&lt;='Do Not Use or Delete'!$M$2,S96*T96,0),0)+IF(Cost_Elements[[#This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6" s="63"/>
      <c r="W96" s="63"/>
      <c r="X96" s="76">
        <f ca="1">IF(PRODUCT(Cost_Elements[[#This Row],[BLS or SCLS]]="BLS"),(Cost_Elements[[#This Row],[Rate | 3]]*$Y$4)+Cost_Elements[[#This Row],[Rate | 3]],(Cost_Elements[[#This Row],[Rate | 3]]*$Y$5)+Cost_Elements[[#This Row],[Rate | 3]])</f>
        <v>0</v>
      </c>
      <c r="Y96" s="74"/>
      <c r="Z96" s="75">
        <f ca="1">IFERROR(IF(Cost_Elements[[#This Row],[Row]]&gt;='Do Not Use or Delete'!$L$2, IF(Cost_Elements[[#This Row],[Row]]&lt;='Do Not Use or Delete'!$M$2,X96*Y96,0),0)+IF(Cost_Elements[[#This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6" s="63"/>
      <c r="AB96" s="63"/>
      <c r="AC96" s="76">
        <f ca="1">IF(PRODUCT(Cost_Elements[[#This Row],[BLS or SCLS]]="BLS"),(Cost_Elements[[#This Row],[Rate | 4]]*$AD$4)+Cost_Elements[[#This Row],[Rate | 4]],(Cost_Elements[[#This Row],[Rate | 4]]*$AD$5)+Cost_Elements[[#This Row],[Rate | 4]])</f>
        <v>0</v>
      </c>
      <c r="AD96" s="74"/>
      <c r="AE96" s="75">
        <f ca="1">IFERROR(IF(Cost_Elements[[#This Row],[Row]]&gt;='Do Not Use or Delete'!$L$2, IF(Cost_Elements[[#This Row],[Row]]&lt;='Do Not Use or Delete'!$M$2,AC96*AD96,0),0)+IF(Cost_Elements[[#This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6" s="64"/>
      <c r="AG96" s="65"/>
      <c r="AH96" s="76">
        <f ca="1">IF(PRODUCT(Cost_Elements[[#This Row],[BLS or SCLS]]="BLS"),(Cost_Elements[[#This Row],[Rate | 5]]*$AI$4)+Cost_Elements[[#This Row],[Rate | 5]],(Cost_Elements[[#This Row],[Rate | 5]]*$AI$5)+Cost_Elements[[#This Row],[Rate | 5]])</f>
        <v>0</v>
      </c>
      <c r="AI96" s="451"/>
      <c r="AJ96" s="461"/>
      <c r="AK96" s="461"/>
      <c r="AL96" s="75">
        <f ca="1">IFERROR(IF(Cost_Elements[[#This Row],[Row]]&gt;='Do Not Use or Delete'!$L$2, IF(Cost_Elements[[#This Row],[Row]]&lt;='Do Not Use or Delete'!$M$2,AH96*AI96,0),0)+IF(Cost_Elements[[#This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6" s="64"/>
      <c r="AN96" s="65"/>
      <c r="AO96" s="77">
        <f t="shared" si="4"/>
        <v>0</v>
      </c>
      <c r="AP96" s="78">
        <f t="shared" ca="1" si="5"/>
        <v>0</v>
      </c>
      <c r="AQ96" s="68">
        <f ca="1">ROW(Cost_Elements[[#This Row],[Amount | Total]])</f>
        <v>96</v>
      </c>
    </row>
    <row r="97" spans="1:43">
      <c r="A97" s="240" t="s">
        <v>165</v>
      </c>
      <c r="B97" s="275"/>
      <c r="C97" s="276"/>
      <c r="D97" s="71"/>
      <c r="E97" s="71"/>
      <c r="F97" s="71"/>
      <c r="G97" s="71"/>
      <c r="H97" s="72" t="str">
        <f ca="1">IFERROR(INDEX(Labor_Categories[Minimum Direct Labor Rates],MATCH(Cost_Elements[[#This Row],[Government Labor Category]],Labor_Categories[Labor Categories],0)),"")</f>
        <v/>
      </c>
      <c r="I97" s="79"/>
      <c r="J97" s="74"/>
      <c r="K97" s="75">
        <f ca="1">IFERROR(IF(Cost_Elements[[#This Row],[Row]]&gt;='Do Not Use or Delete'!$L$2, IF(Cost_Elements[[#This Row],[Row]]&lt;='Do Not Use or Delete'!$M$2,I97*J97,0),0)+IF(Cost_Elements[[#This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7" s="63"/>
      <c r="M97" s="63"/>
      <c r="N97" s="76">
        <f ca="1">IF(PRODUCT(Cost_Elements[[#This Row],[BLS or SCLS]]="BLS"),(Cost_Elements[[#This Row],[Rate | 1]]*$O$4)+Cost_Elements[[#This Row],[Rate | 1]],(Cost_Elements[[#This Row],[Rate | 1]]*$O$5)+Cost_Elements[[#This Row],[Rate | 1]])</f>
        <v>0</v>
      </c>
      <c r="O97" s="451"/>
      <c r="P97" s="75">
        <f ca="1">IFERROR(IF(Cost_Elements[[#This Row],[Row]]&gt;='Do Not Use or Delete'!$L$2, IF(Cost_Elements[[#This Row],[Row]]&lt;='Do Not Use or Delete'!$M$2,N97*O97,0),0)+IF(Cost_Elements[[#This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7" s="63"/>
      <c r="R97" s="63"/>
      <c r="S97" s="76">
        <f ca="1">IF(PRODUCT(Cost_Elements[[#This Row],[BLS or SCLS]]="BLS"),(Cost_Elements[[#This Row],[Rate | 2]]*$T$4)+Cost_Elements[[#This Row],[Rate | 2]],(Cost_Elements[[#This Row],[Rate | 2]]*$T$5)+Cost_Elements[[#This Row],[Rate | 2]])</f>
        <v>0</v>
      </c>
      <c r="T97" s="74"/>
      <c r="U97" s="75">
        <f ca="1">IFERROR(IF(Cost_Elements[[#This Row],[Row]]&gt;='Do Not Use or Delete'!$L$2, IF(Cost_Elements[[#This Row],[Row]]&lt;='Do Not Use or Delete'!$M$2,S97*T97,0),0)+IF(Cost_Elements[[#This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7" s="63"/>
      <c r="W97" s="63"/>
      <c r="X97" s="76">
        <f ca="1">IF(PRODUCT(Cost_Elements[[#This Row],[BLS or SCLS]]="BLS"),(Cost_Elements[[#This Row],[Rate | 3]]*$Y$4)+Cost_Elements[[#This Row],[Rate | 3]],(Cost_Elements[[#This Row],[Rate | 3]]*$Y$5)+Cost_Elements[[#This Row],[Rate | 3]])</f>
        <v>0</v>
      </c>
      <c r="Y97" s="74"/>
      <c r="Z97" s="75">
        <f ca="1">IFERROR(IF(Cost_Elements[[#This Row],[Row]]&gt;='Do Not Use or Delete'!$L$2, IF(Cost_Elements[[#This Row],[Row]]&lt;='Do Not Use or Delete'!$M$2,X97*Y97,0),0)+IF(Cost_Elements[[#This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7" s="63"/>
      <c r="AB97" s="63"/>
      <c r="AC97" s="76">
        <f ca="1">IF(PRODUCT(Cost_Elements[[#This Row],[BLS or SCLS]]="BLS"),(Cost_Elements[[#This Row],[Rate | 4]]*$AD$4)+Cost_Elements[[#This Row],[Rate | 4]],(Cost_Elements[[#This Row],[Rate | 4]]*$AD$5)+Cost_Elements[[#This Row],[Rate | 4]])</f>
        <v>0</v>
      </c>
      <c r="AD97" s="74"/>
      <c r="AE97" s="75">
        <f ca="1">IFERROR(IF(Cost_Elements[[#This Row],[Row]]&gt;='Do Not Use or Delete'!$L$2, IF(Cost_Elements[[#This Row],[Row]]&lt;='Do Not Use or Delete'!$M$2,AC97*AD97,0),0)+IF(Cost_Elements[[#This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7" s="64"/>
      <c r="AG97" s="65"/>
      <c r="AH97" s="76">
        <f ca="1">IF(PRODUCT(Cost_Elements[[#This Row],[BLS or SCLS]]="BLS"),(Cost_Elements[[#This Row],[Rate | 5]]*$AI$4)+Cost_Elements[[#This Row],[Rate | 5]],(Cost_Elements[[#This Row],[Rate | 5]]*$AI$5)+Cost_Elements[[#This Row],[Rate | 5]])</f>
        <v>0</v>
      </c>
      <c r="AI97" s="74"/>
      <c r="AJ97" s="458"/>
      <c r="AK97" s="458"/>
      <c r="AL97" s="75">
        <f ca="1">IFERROR(IF(Cost_Elements[[#This Row],[Row]]&gt;='Do Not Use or Delete'!$L$2, IF(Cost_Elements[[#This Row],[Row]]&lt;='Do Not Use or Delete'!$M$2,AH97*AI97,0),0)+IF(Cost_Elements[[#This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7" s="64"/>
      <c r="AN97" s="65"/>
      <c r="AO97" s="77">
        <f t="shared" si="4"/>
        <v>0</v>
      </c>
      <c r="AP97" s="78">
        <f t="shared" ca="1" si="5"/>
        <v>0</v>
      </c>
      <c r="AQ97" s="68">
        <f ca="1">ROW(Cost_Elements[[#This Row],[Amount | Total]])</f>
        <v>97</v>
      </c>
    </row>
    <row r="98" spans="1:43">
      <c r="A98" s="240" t="s">
        <v>165</v>
      </c>
      <c r="B98" s="275"/>
      <c r="C98" s="276"/>
      <c r="D98" s="71"/>
      <c r="E98" s="71"/>
      <c r="F98" s="71"/>
      <c r="G98" s="71"/>
      <c r="H98" s="72" t="str">
        <f ca="1">IFERROR(INDEX(Labor_Categories[Minimum Direct Labor Rates],MATCH(Cost_Elements[[#This Row],[Government Labor Category]],Labor_Categories[Labor Categories],0)),"")</f>
        <v/>
      </c>
      <c r="I98" s="79"/>
      <c r="J98" s="74"/>
      <c r="K98" s="75">
        <f ca="1">IFERROR(IF(Cost_Elements[[#This Row],[Row]]&gt;='Do Not Use or Delete'!$L$2, IF(Cost_Elements[[#This Row],[Row]]&lt;='Do Not Use or Delete'!$M$2,I98*J98,0),0)+IF(Cost_Elements[[#This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8" s="63"/>
      <c r="M98" s="63"/>
      <c r="N98" s="76">
        <f ca="1">IF(PRODUCT(Cost_Elements[[#This Row],[BLS or SCLS]]="BLS"),(Cost_Elements[[#This Row],[Rate | 1]]*$O$4)+Cost_Elements[[#This Row],[Rate | 1]],(Cost_Elements[[#This Row],[Rate | 1]]*$O$5)+Cost_Elements[[#This Row],[Rate | 1]])</f>
        <v>0</v>
      </c>
      <c r="O98" s="451"/>
      <c r="P98" s="75">
        <f ca="1">IFERROR(IF(Cost_Elements[[#This Row],[Row]]&gt;='Do Not Use or Delete'!$L$2, IF(Cost_Elements[[#This Row],[Row]]&lt;='Do Not Use or Delete'!$M$2,N98*O98,0),0)+IF(Cost_Elements[[#This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8" s="63"/>
      <c r="R98" s="63"/>
      <c r="S98" s="76">
        <f ca="1">IF(PRODUCT(Cost_Elements[[#This Row],[BLS or SCLS]]="BLS"),(Cost_Elements[[#This Row],[Rate | 2]]*$T$4)+Cost_Elements[[#This Row],[Rate | 2]],(Cost_Elements[[#This Row],[Rate | 2]]*$T$5)+Cost_Elements[[#This Row],[Rate | 2]])</f>
        <v>0</v>
      </c>
      <c r="T98" s="74"/>
      <c r="U98" s="75">
        <f ca="1">IFERROR(IF(Cost_Elements[[#This Row],[Row]]&gt;='Do Not Use or Delete'!$L$2, IF(Cost_Elements[[#This Row],[Row]]&lt;='Do Not Use or Delete'!$M$2,S98*T98,0),0)+IF(Cost_Elements[[#This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8" s="63"/>
      <c r="W98" s="63"/>
      <c r="X98" s="76">
        <f ca="1">IF(PRODUCT(Cost_Elements[[#This Row],[BLS or SCLS]]="BLS"),(Cost_Elements[[#This Row],[Rate | 3]]*$Y$4)+Cost_Elements[[#This Row],[Rate | 3]],(Cost_Elements[[#This Row],[Rate | 3]]*$Y$5)+Cost_Elements[[#This Row],[Rate | 3]])</f>
        <v>0</v>
      </c>
      <c r="Y98" s="74"/>
      <c r="Z98" s="75">
        <f ca="1">IFERROR(IF(Cost_Elements[[#This Row],[Row]]&gt;='Do Not Use or Delete'!$L$2, IF(Cost_Elements[[#This Row],[Row]]&lt;='Do Not Use or Delete'!$M$2,X98*Y98,0),0)+IF(Cost_Elements[[#This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8" s="63"/>
      <c r="AB98" s="63"/>
      <c r="AC98" s="76">
        <f ca="1">IF(PRODUCT(Cost_Elements[[#This Row],[BLS or SCLS]]="BLS"),(Cost_Elements[[#This Row],[Rate | 4]]*$AD$4)+Cost_Elements[[#This Row],[Rate | 4]],(Cost_Elements[[#This Row],[Rate | 4]]*$AD$5)+Cost_Elements[[#This Row],[Rate | 4]])</f>
        <v>0</v>
      </c>
      <c r="AD98" s="74"/>
      <c r="AE98" s="75">
        <f ca="1">IFERROR(IF(Cost_Elements[[#This Row],[Row]]&gt;='Do Not Use or Delete'!$L$2, IF(Cost_Elements[[#This Row],[Row]]&lt;='Do Not Use or Delete'!$M$2,AC98*AD98,0),0)+IF(Cost_Elements[[#This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8" s="64"/>
      <c r="AG98" s="65"/>
      <c r="AH98" s="76">
        <f ca="1">IF(PRODUCT(Cost_Elements[[#This Row],[BLS or SCLS]]="BLS"),(Cost_Elements[[#This Row],[Rate | 5]]*$AI$4)+Cost_Elements[[#This Row],[Rate | 5]],(Cost_Elements[[#This Row],[Rate | 5]]*$AI$5)+Cost_Elements[[#This Row],[Rate | 5]])</f>
        <v>0</v>
      </c>
      <c r="AI98" s="74"/>
      <c r="AJ98" s="458"/>
      <c r="AK98" s="458"/>
      <c r="AL98" s="75">
        <f ca="1">IFERROR(IF(Cost_Elements[[#This Row],[Row]]&gt;='Do Not Use or Delete'!$L$2, IF(Cost_Elements[[#This Row],[Row]]&lt;='Do Not Use or Delete'!$M$2,AH98*AI98,0),0)+IF(Cost_Elements[[#This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8" s="64"/>
      <c r="AN98" s="65"/>
      <c r="AO98" s="77">
        <f t="shared" si="4"/>
        <v>0</v>
      </c>
      <c r="AP98" s="78">
        <f t="shared" ca="1" si="5"/>
        <v>0</v>
      </c>
      <c r="AQ98" s="68">
        <f ca="1">ROW(Cost_Elements[[#This Row],[Amount | Total]])</f>
        <v>98</v>
      </c>
    </row>
    <row r="99" spans="1:43">
      <c r="A99" s="240" t="s">
        <v>165</v>
      </c>
      <c r="B99" s="275"/>
      <c r="C99" s="276"/>
      <c r="D99" s="71"/>
      <c r="E99" s="71"/>
      <c r="F99" s="71"/>
      <c r="G99" s="71"/>
      <c r="H99" s="72" t="str">
        <f ca="1">IFERROR(INDEX(Labor_Categories[Minimum Direct Labor Rates],MATCH(Cost_Elements[[#This Row],[Government Labor Category]],Labor_Categories[Labor Categories],0)),"")</f>
        <v/>
      </c>
      <c r="I99" s="79"/>
      <c r="J99" s="74"/>
      <c r="K99" s="75">
        <f ca="1">IFERROR(IF(Cost_Elements[[#This Row],[Row]]&gt;='Do Not Use or Delete'!$L$2, IF(Cost_Elements[[#This Row],[Row]]&lt;='Do Not Use or Delete'!$M$2,I99*J99,0),0)+IF(Cost_Elements[[#This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9" s="63"/>
      <c r="M99" s="63"/>
      <c r="N99" s="76">
        <f ca="1">IF(PRODUCT(Cost_Elements[[#This Row],[BLS or SCLS]]="BLS"),(Cost_Elements[[#This Row],[Rate | 1]]*$O$4)+Cost_Elements[[#This Row],[Rate | 1]],(Cost_Elements[[#This Row],[Rate | 1]]*$O$5)+Cost_Elements[[#This Row],[Rate | 1]])</f>
        <v>0</v>
      </c>
      <c r="O99" s="451"/>
      <c r="P99" s="75">
        <f ca="1">IFERROR(IF(Cost_Elements[[#This Row],[Row]]&gt;='Do Not Use or Delete'!$L$2, IF(Cost_Elements[[#This Row],[Row]]&lt;='Do Not Use or Delete'!$M$2,N99*O99,0),0)+IF(Cost_Elements[[#This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9" s="63"/>
      <c r="R99" s="63"/>
      <c r="S99" s="76">
        <f ca="1">IF(PRODUCT(Cost_Elements[[#This Row],[BLS or SCLS]]="BLS"),(Cost_Elements[[#This Row],[Rate | 2]]*$T$4)+Cost_Elements[[#This Row],[Rate | 2]],(Cost_Elements[[#This Row],[Rate | 2]]*$T$5)+Cost_Elements[[#This Row],[Rate | 2]])</f>
        <v>0</v>
      </c>
      <c r="T99" s="74"/>
      <c r="U99" s="75">
        <f ca="1">IFERROR(IF(Cost_Elements[[#This Row],[Row]]&gt;='Do Not Use or Delete'!$L$2, IF(Cost_Elements[[#This Row],[Row]]&lt;='Do Not Use or Delete'!$M$2,S99*T99,0),0)+IF(Cost_Elements[[#This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9" s="63"/>
      <c r="W99" s="63"/>
      <c r="X99" s="76">
        <f ca="1">IF(PRODUCT(Cost_Elements[[#This Row],[BLS or SCLS]]="BLS"),(Cost_Elements[[#This Row],[Rate | 3]]*$Y$4)+Cost_Elements[[#This Row],[Rate | 3]],(Cost_Elements[[#This Row],[Rate | 3]]*$Y$5)+Cost_Elements[[#This Row],[Rate | 3]])</f>
        <v>0</v>
      </c>
      <c r="Y99" s="74"/>
      <c r="Z99" s="75">
        <f ca="1">IFERROR(IF(Cost_Elements[[#This Row],[Row]]&gt;='Do Not Use or Delete'!$L$2, IF(Cost_Elements[[#This Row],[Row]]&lt;='Do Not Use or Delete'!$M$2,X99*Y99,0),0)+IF(Cost_Elements[[#This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9" s="63"/>
      <c r="AB99" s="63"/>
      <c r="AC99" s="76">
        <f ca="1">IF(PRODUCT(Cost_Elements[[#This Row],[BLS or SCLS]]="BLS"),(Cost_Elements[[#This Row],[Rate | 4]]*$AD$4)+Cost_Elements[[#This Row],[Rate | 4]],(Cost_Elements[[#This Row],[Rate | 4]]*$AD$5)+Cost_Elements[[#This Row],[Rate | 4]])</f>
        <v>0</v>
      </c>
      <c r="AD99" s="74"/>
      <c r="AE99" s="75">
        <f ca="1">IFERROR(IF(Cost_Elements[[#This Row],[Row]]&gt;='Do Not Use or Delete'!$L$2, IF(Cost_Elements[[#This Row],[Row]]&lt;='Do Not Use or Delete'!$M$2,AC99*AD99,0),0)+IF(Cost_Elements[[#This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9" s="64"/>
      <c r="AG99" s="65"/>
      <c r="AH99" s="76">
        <f ca="1">IF(PRODUCT(Cost_Elements[[#This Row],[BLS or SCLS]]="BLS"),(Cost_Elements[[#This Row],[Rate | 5]]*$AI$4)+Cost_Elements[[#This Row],[Rate | 5]],(Cost_Elements[[#This Row],[Rate | 5]]*$AI$5)+Cost_Elements[[#This Row],[Rate | 5]])</f>
        <v>0</v>
      </c>
      <c r="AI99" s="74"/>
      <c r="AJ99" s="458"/>
      <c r="AK99" s="458"/>
      <c r="AL99" s="75">
        <f ca="1">IFERROR(IF(Cost_Elements[[#This Row],[Row]]&gt;='Do Not Use or Delete'!$L$2, IF(Cost_Elements[[#This Row],[Row]]&lt;='Do Not Use or Delete'!$M$2,AH99*AI99,0),0)+IF(Cost_Elements[[#This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9" s="64"/>
      <c r="AN99" s="65"/>
      <c r="AO99" s="77">
        <f t="shared" si="4"/>
        <v>0</v>
      </c>
      <c r="AP99" s="78">
        <f t="shared" ca="1" si="5"/>
        <v>0</v>
      </c>
      <c r="AQ99" s="68">
        <f ca="1">ROW(Cost_Elements[[#This Row],[Amount | Total]])</f>
        <v>99</v>
      </c>
    </row>
    <row r="100" spans="1:43">
      <c r="A100" s="240" t="s">
        <v>165</v>
      </c>
      <c r="B100" s="275"/>
      <c r="C100" s="276"/>
      <c r="D100" s="71"/>
      <c r="E100" s="71"/>
      <c r="F100" s="71"/>
      <c r="G100" s="71"/>
      <c r="H100" s="72" t="str">
        <f ca="1">IFERROR(INDEX(Labor_Categories[Minimum Direct Labor Rates],MATCH(Cost_Elements[[#This Row],[Government Labor Category]],Labor_Categories[Labor Categories],0)),"")</f>
        <v/>
      </c>
      <c r="I100" s="79"/>
      <c r="J100" s="74"/>
      <c r="K100" s="75">
        <f ca="1">IFERROR(IF(Cost_Elements[[#This Row],[Row]]&gt;='Do Not Use or Delete'!$L$2, IF(Cost_Elements[[#This Row],[Row]]&lt;='Do Not Use or Delete'!$M$2,I100*J100,0),0)+IF(Cost_Elements[[#This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0" s="63"/>
      <c r="M100" s="63"/>
      <c r="N100" s="76">
        <f ca="1">IF(PRODUCT(Cost_Elements[[#This Row],[BLS or SCLS]]="BLS"),(Cost_Elements[[#This Row],[Rate | 1]]*$O$4)+Cost_Elements[[#This Row],[Rate | 1]],(Cost_Elements[[#This Row],[Rate | 1]]*$O$5)+Cost_Elements[[#This Row],[Rate | 1]])</f>
        <v>0</v>
      </c>
      <c r="O100" s="74"/>
      <c r="P100" s="75">
        <f ca="1">IFERROR(IF(Cost_Elements[[#This Row],[Row]]&gt;='Do Not Use or Delete'!$L$2, IF(Cost_Elements[[#This Row],[Row]]&lt;='Do Not Use or Delete'!$M$2,N100*O100,0),0)+IF(Cost_Elements[[#This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0" s="63"/>
      <c r="R100" s="63"/>
      <c r="S100" s="76">
        <f ca="1">IF(PRODUCT(Cost_Elements[[#This Row],[BLS or SCLS]]="BLS"),(Cost_Elements[[#This Row],[Rate | 2]]*$T$4)+Cost_Elements[[#This Row],[Rate | 2]],(Cost_Elements[[#This Row],[Rate | 2]]*$T$5)+Cost_Elements[[#This Row],[Rate | 2]])</f>
        <v>0</v>
      </c>
      <c r="T100" s="74"/>
      <c r="U100" s="75">
        <f ca="1">IFERROR(IF(Cost_Elements[[#This Row],[Row]]&gt;='Do Not Use or Delete'!$L$2, IF(Cost_Elements[[#This Row],[Row]]&lt;='Do Not Use or Delete'!$M$2,S100*T100,0),0)+IF(Cost_Elements[[#This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0" s="63"/>
      <c r="W100" s="63"/>
      <c r="X100" s="76">
        <f ca="1">IF(PRODUCT(Cost_Elements[[#This Row],[BLS or SCLS]]="BLS"),(Cost_Elements[[#This Row],[Rate | 3]]*$Y$4)+Cost_Elements[[#This Row],[Rate | 3]],(Cost_Elements[[#This Row],[Rate | 3]]*$Y$5)+Cost_Elements[[#This Row],[Rate | 3]])</f>
        <v>0</v>
      </c>
      <c r="Y100" s="74"/>
      <c r="Z100" s="75">
        <f ca="1">IFERROR(IF(Cost_Elements[[#This Row],[Row]]&gt;='Do Not Use or Delete'!$L$2, IF(Cost_Elements[[#This Row],[Row]]&lt;='Do Not Use or Delete'!$M$2,X100*Y100,0),0)+IF(Cost_Elements[[#This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0" s="63"/>
      <c r="AB100" s="63"/>
      <c r="AC100" s="76">
        <f ca="1">IF(PRODUCT(Cost_Elements[[#This Row],[BLS or SCLS]]="BLS"),(Cost_Elements[[#This Row],[Rate | 4]]*$AD$4)+Cost_Elements[[#This Row],[Rate | 4]],(Cost_Elements[[#This Row],[Rate | 4]]*$AD$5)+Cost_Elements[[#This Row],[Rate | 4]])</f>
        <v>0</v>
      </c>
      <c r="AD100" s="74"/>
      <c r="AE100" s="75">
        <f ca="1">IFERROR(IF(Cost_Elements[[#This Row],[Row]]&gt;='Do Not Use or Delete'!$L$2, IF(Cost_Elements[[#This Row],[Row]]&lt;='Do Not Use or Delete'!$M$2,AC100*AD100,0),0)+IF(Cost_Elements[[#This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0" s="64"/>
      <c r="AG100" s="65"/>
      <c r="AH100" s="76">
        <f ca="1">IF(PRODUCT(Cost_Elements[[#This Row],[BLS or SCLS]]="BLS"),(Cost_Elements[[#This Row],[Rate | 5]]*$AI$4)+Cost_Elements[[#This Row],[Rate | 5]],(Cost_Elements[[#This Row],[Rate | 5]]*$AI$5)+Cost_Elements[[#This Row],[Rate | 5]])</f>
        <v>0</v>
      </c>
      <c r="AI100" s="74"/>
      <c r="AJ100" s="458"/>
      <c r="AK100" s="458"/>
      <c r="AL100" s="75">
        <f ca="1">IFERROR(IF(Cost_Elements[[#This Row],[Row]]&gt;='Do Not Use or Delete'!$L$2, IF(Cost_Elements[[#This Row],[Row]]&lt;='Do Not Use or Delete'!$M$2,AH100*AI100,0),0)+IF(Cost_Elements[[#This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0" s="64"/>
      <c r="AN100" s="65"/>
      <c r="AO100" s="77">
        <f t="shared" si="4"/>
        <v>0</v>
      </c>
      <c r="AP100" s="78">
        <f t="shared" ca="1" si="5"/>
        <v>0</v>
      </c>
      <c r="AQ100" s="68">
        <f ca="1">ROW(Cost_Elements[[#This Row],[Amount | Total]])</f>
        <v>100</v>
      </c>
    </row>
    <row r="101" spans="1:43">
      <c r="A101" s="240" t="s">
        <v>165</v>
      </c>
      <c r="B101" s="275"/>
      <c r="C101" s="276"/>
      <c r="D101" s="71"/>
      <c r="E101" s="71"/>
      <c r="F101" s="71"/>
      <c r="G101" s="71"/>
      <c r="H101" s="72" t="str">
        <f ca="1">IFERROR(INDEX(Labor_Categories[Minimum Direct Labor Rates],MATCH(Cost_Elements[[#This Row],[Government Labor Category]],Labor_Categories[Labor Categories],0)),"")</f>
        <v/>
      </c>
      <c r="I101" s="79"/>
      <c r="J101" s="74"/>
      <c r="K101" s="75">
        <f ca="1">IFERROR(IF(Cost_Elements[[#This Row],[Row]]&gt;='Do Not Use or Delete'!$L$2, IF(Cost_Elements[[#This Row],[Row]]&lt;='Do Not Use or Delete'!$M$2,I101*J101,0),0)+IF(Cost_Elements[[#This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1" s="63"/>
      <c r="M101" s="63"/>
      <c r="N101" s="76">
        <f ca="1">IF(PRODUCT(Cost_Elements[[#This Row],[BLS or SCLS]]="BLS"),(Cost_Elements[[#This Row],[Rate | 1]]*$O$4)+Cost_Elements[[#This Row],[Rate | 1]],(Cost_Elements[[#This Row],[Rate | 1]]*$O$5)+Cost_Elements[[#This Row],[Rate | 1]])</f>
        <v>0</v>
      </c>
      <c r="O101" s="74"/>
      <c r="P101" s="75">
        <f ca="1">IFERROR(IF(Cost_Elements[[#This Row],[Row]]&gt;='Do Not Use or Delete'!$L$2, IF(Cost_Elements[[#This Row],[Row]]&lt;='Do Not Use or Delete'!$M$2,N101*O101,0),0)+IF(Cost_Elements[[#This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1" s="63"/>
      <c r="R101" s="63"/>
      <c r="S101" s="76">
        <f ca="1">IF(PRODUCT(Cost_Elements[[#This Row],[BLS or SCLS]]="BLS"),(Cost_Elements[[#This Row],[Rate | 2]]*$T$4)+Cost_Elements[[#This Row],[Rate | 2]],(Cost_Elements[[#This Row],[Rate | 2]]*$T$5)+Cost_Elements[[#This Row],[Rate | 2]])</f>
        <v>0</v>
      </c>
      <c r="T101" s="74"/>
      <c r="U101" s="75">
        <f ca="1">IFERROR(IF(Cost_Elements[[#This Row],[Row]]&gt;='Do Not Use or Delete'!$L$2, IF(Cost_Elements[[#This Row],[Row]]&lt;='Do Not Use or Delete'!$M$2,S101*T101,0),0)+IF(Cost_Elements[[#This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1" s="63"/>
      <c r="W101" s="63"/>
      <c r="X101" s="76">
        <f ca="1">IF(PRODUCT(Cost_Elements[[#This Row],[BLS or SCLS]]="BLS"),(Cost_Elements[[#This Row],[Rate | 3]]*$Y$4)+Cost_Elements[[#This Row],[Rate | 3]],(Cost_Elements[[#This Row],[Rate | 3]]*$Y$5)+Cost_Elements[[#This Row],[Rate | 3]])</f>
        <v>0</v>
      </c>
      <c r="Y101" s="74"/>
      <c r="Z101" s="75">
        <f ca="1">IFERROR(IF(Cost_Elements[[#This Row],[Row]]&gt;='Do Not Use or Delete'!$L$2, IF(Cost_Elements[[#This Row],[Row]]&lt;='Do Not Use or Delete'!$M$2,X101*Y101,0),0)+IF(Cost_Elements[[#This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1" s="63"/>
      <c r="AB101" s="63"/>
      <c r="AC101" s="76">
        <f ca="1">IF(PRODUCT(Cost_Elements[[#This Row],[BLS or SCLS]]="BLS"),(Cost_Elements[[#This Row],[Rate | 4]]*$AD$4)+Cost_Elements[[#This Row],[Rate | 4]],(Cost_Elements[[#This Row],[Rate | 4]]*$AD$5)+Cost_Elements[[#This Row],[Rate | 4]])</f>
        <v>0</v>
      </c>
      <c r="AD101" s="74"/>
      <c r="AE101" s="75">
        <f ca="1">IFERROR(IF(Cost_Elements[[#This Row],[Row]]&gt;='Do Not Use or Delete'!$L$2, IF(Cost_Elements[[#This Row],[Row]]&lt;='Do Not Use or Delete'!$M$2,AC101*AD101,0),0)+IF(Cost_Elements[[#This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1" s="64"/>
      <c r="AG101" s="65"/>
      <c r="AH101" s="76">
        <f ca="1">IF(PRODUCT(Cost_Elements[[#This Row],[BLS or SCLS]]="BLS"),(Cost_Elements[[#This Row],[Rate | 5]]*$AI$4)+Cost_Elements[[#This Row],[Rate | 5]],(Cost_Elements[[#This Row],[Rate | 5]]*$AI$5)+Cost_Elements[[#This Row],[Rate | 5]])</f>
        <v>0</v>
      </c>
      <c r="AI101" s="74"/>
      <c r="AJ101" s="458"/>
      <c r="AK101" s="458"/>
      <c r="AL101" s="75">
        <f ca="1">IFERROR(IF(Cost_Elements[[#This Row],[Row]]&gt;='Do Not Use or Delete'!$L$2, IF(Cost_Elements[[#This Row],[Row]]&lt;='Do Not Use or Delete'!$M$2,AH101*AI101,0),0)+IF(Cost_Elements[[#This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1" s="64"/>
      <c r="AN101" s="65"/>
      <c r="AO101" s="77">
        <f t="shared" si="4"/>
        <v>0</v>
      </c>
      <c r="AP101" s="78">
        <f t="shared" ca="1" si="5"/>
        <v>0</v>
      </c>
      <c r="AQ101" s="68">
        <f ca="1">ROW(Cost_Elements[[#This Row],[Amount | Total]])</f>
        <v>101</v>
      </c>
    </row>
    <row r="102" spans="1:43">
      <c r="A102" s="240" t="s">
        <v>165</v>
      </c>
      <c r="B102" s="275"/>
      <c r="C102" s="276"/>
      <c r="D102" s="71"/>
      <c r="E102" s="71"/>
      <c r="F102" s="71"/>
      <c r="G102" s="71"/>
      <c r="H102" s="72" t="str">
        <f ca="1">IFERROR(INDEX(Labor_Categories[Minimum Direct Labor Rates],MATCH(Cost_Elements[[#This Row],[Government Labor Category]],Labor_Categories[Labor Categories],0)),"")</f>
        <v/>
      </c>
      <c r="I102" s="79"/>
      <c r="J102" s="74"/>
      <c r="K102" s="75">
        <f ca="1">IFERROR(IF(Cost_Elements[[#This Row],[Row]]&gt;='Do Not Use or Delete'!$L$2, IF(Cost_Elements[[#This Row],[Row]]&lt;='Do Not Use or Delete'!$M$2,I102*J102,0),0)+IF(Cost_Elements[[#This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2" s="63"/>
      <c r="M102" s="63"/>
      <c r="N102" s="76">
        <f ca="1">IF(PRODUCT(Cost_Elements[[#This Row],[BLS or SCLS]]="BLS"),(Cost_Elements[[#This Row],[Rate | 1]]*$O$4)+Cost_Elements[[#This Row],[Rate | 1]],(Cost_Elements[[#This Row],[Rate | 1]]*$O$5)+Cost_Elements[[#This Row],[Rate | 1]])</f>
        <v>0</v>
      </c>
      <c r="O102" s="74"/>
      <c r="P102" s="75">
        <f ca="1">IFERROR(IF(Cost_Elements[[#This Row],[Row]]&gt;='Do Not Use or Delete'!$L$2, IF(Cost_Elements[[#This Row],[Row]]&lt;='Do Not Use or Delete'!$M$2,N102*O102,0),0)+IF(Cost_Elements[[#This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2" s="63"/>
      <c r="R102" s="63"/>
      <c r="S102" s="76">
        <f ca="1">IF(PRODUCT(Cost_Elements[[#This Row],[BLS or SCLS]]="BLS"),(Cost_Elements[[#This Row],[Rate | 2]]*$T$4)+Cost_Elements[[#This Row],[Rate | 2]],(Cost_Elements[[#This Row],[Rate | 2]]*$T$5)+Cost_Elements[[#This Row],[Rate | 2]])</f>
        <v>0</v>
      </c>
      <c r="T102" s="74"/>
      <c r="U102" s="75">
        <f ca="1">IFERROR(IF(Cost_Elements[[#This Row],[Row]]&gt;='Do Not Use or Delete'!$L$2, IF(Cost_Elements[[#This Row],[Row]]&lt;='Do Not Use or Delete'!$M$2,S102*T102,0),0)+IF(Cost_Elements[[#This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2" s="63"/>
      <c r="W102" s="63"/>
      <c r="X102" s="76">
        <f ca="1">IF(PRODUCT(Cost_Elements[[#This Row],[BLS or SCLS]]="BLS"),(Cost_Elements[[#This Row],[Rate | 3]]*$Y$4)+Cost_Elements[[#This Row],[Rate | 3]],(Cost_Elements[[#This Row],[Rate | 3]]*$Y$5)+Cost_Elements[[#This Row],[Rate | 3]])</f>
        <v>0</v>
      </c>
      <c r="Y102" s="74"/>
      <c r="Z102" s="75">
        <f ca="1">IFERROR(IF(Cost_Elements[[#This Row],[Row]]&gt;='Do Not Use or Delete'!$L$2, IF(Cost_Elements[[#This Row],[Row]]&lt;='Do Not Use or Delete'!$M$2,X102*Y102,0),0)+IF(Cost_Elements[[#This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2" s="63"/>
      <c r="AB102" s="63"/>
      <c r="AC102" s="76">
        <f ca="1">IF(PRODUCT(Cost_Elements[[#This Row],[BLS or SCLS]]="BLS"),(Cost_Elements[[#This Row],[Rate | 4]]*$AD$4)+Cost_Elements[[#This Row],[Rate | 4]],(Cost_Elements[[#This Row],[Rate | 4]]*$AD$5)+Cost_Elements[[#This Row],[Rate | 4]])</f>
        <v>0</v>
      </c>
      <c r="AD102" s="74"/>
      <c r="AE102" s="75">
        <f ca="1">IFERROR(IF(Cost_Elements[[#This Row],[Row]]&gt;='Do Not Use or Delete'!$L$2, IF(Cost_Elements[[#This Row],[Row]]&lt;='Do Not Use or Delete'!$M$2,AC102*AD102,0),0)+IF(Cost_Elements[[#This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2" s="64"/>
      <c r="AG102" s="65"/>
      <c r="AH102" s="76">
        <f ca="1">IF(PRODUCT(Cost_Elements[[#This Row],[BLS or SCLS]]="BLS"),(Cost_Elements[[#This Row],[Rate | 5]]*$AI$4)+Cost_Elements[[#This Row],[Rate | 5]],(Cost_Elements[[#This Row],[Rate | 5]]*$AI$5)+Cost_Elements[[#This Row],[Rate | 5]])</f>
        <v>0</v>
      </c>
      <c r="AI102" s="74"/>
      <c r="AJ102" s="458"/>
      <c r="AK102" s="458"/>
      <c r="AL102" s="75">
        <f ca="1">IFERROR(IF(Cost_Elements[[#This Row],[Row]]&gt;='Do Not Use or Delete'!$L$2, IF(Cost_Elements[[#This Row],[Row]]&lt;='Do Not Use or Delete'!$M$2,AH102*AI102,0),0)+IF(Cost_Elements[[#This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2" s="64"/>
      <c r="AN102" s="65"/>
      <c r="AO102" s="77">
        <f t="shared" si="4"/>
        <v>0</v>
      </c>
      <c r="AP102" s="78">
        <f t="shared" ca="1" si="5"/>
        <v>0</v>
      </c>
      <c r="AQ102" s="68">
        <f ca="1">ROW(Cost_Elements[[#This Row],[Amount | Total]])</f>
        <v>102</v>
      </c>
    </row>
    <row r="103" spans="1:43">
      <c r="A103" s="240" t="s">
        <v>165</v>
      </c>
      <c r="B103" s="275"/>
      <c r="C103" s="276"/>
      <c r="D103" s="71"/>
      <c r="E103" s="71"/>
      <c r="F103" s="71"/>
      <c r="G103" s="71"/>
      <c r="H103" s="72" t="str">
        <f ca="1">IFERROR(INDEX(Labor_Categories[Minimum Direct Labor Rates],MATCH(Cost_Elements[[#This Row],[Government Labor Category]],Labor_Categories[Labor Categories],0)),"")</f>
        <v/>
      </c>
      <c r="I103" s="79"/>
      <c r="J103" s="74"/>
      <c r="K103" s="75">
        <f ca="1">IFERROR(IF(Cost_Elements[[#This Row],[Row]]&gt;='Do Not Use or Delete'!$L$2, IF(Cost_Elements[[#This Row],[Row]]&lt;='Do Not Use or Delete'!$M$2,I103*J103,0),0)+IF(Cost_Elements[[#This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3" s="63"/>
      <c r="M103" s="63"/>
      <c r="N103" s="76">
        <f ca="1">IF(PRODUCT(Cost_Elements[[#This Row],[BLS or SCLS]]="BLS"),(Cost_Elements[[#This Row],[Rate | 1]]*$O$4)+Cost_Elements[[#This Row],[Rate | 1]],(Cost_Elements[[#This Row],[Rate | 1]]*$O$5)+Cost_Elements[[#This Row],[Rate | 1]])</f>
        <v>0</v>
      </c>
      <c r="O103" s="74"/>
      <c r="P103" s="75">
        <f ca="1">IFERROR(IF(Cost_Elements[[#This Row],[Row]]&gt;='Do Not Use or Delete'!$L$2, IF(Cost_Elements[[#This Row],[Row]]&lt;='Do Not Use or Delete'!$M$2,N103*O103,0),0)+IF(Cost_Elements[[#This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3" s="63"/>
      <c r="R103" s="63"/>
      <c r="S103" s="76">
        <f ca="1">IF(PRODUCT(Cost_Elements[[#This Row],[BLS or SCLS]]="BLS"),(Cost_Elements[[#This Row],[Rate | 2]]*$T$4)+Cost_Elements[[#This Row],[Rate | 2]],(Cost_Elements[[#This Row],[Rate | 2]]*$T$5)+Cost_Elements[[#This Row],[Rate | 2]])</f>
        <v>0</v>
      </c>
      <c r="T103" s="74"/>
      <c r="U103" s="75">
        <f ca="1">IFERROR(IF(Cost_Elements[[#This Row],[Row]]&gt;='Do Not Use or Delete'!$L$2, IF(Cost_Elements[[#This Row],[Row]]&lt;='Do Not Use or Delete'!$M$2,S103*T103,0),0)+IF(Cost_Elements[[#This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3" s="63"/>
      <c r="W103" s="63"/>
      <c r="X103" s="76">
        <f ca="1">IF(PRODUCT(Cost_Elements[[#This Row],[BLS or SCLS]]="BLS"),(Cost_Elements[[#This Row],[Rate | 3]]*$Y$4)+Cost_Elements[[#This Row],[Rate | 3]],(Cost_Elements[[#This Row],[Rate | 3]]*$Y$5)+Cost_Elements[[#This Row],[Rate | 3]])</f>
        <v>0</v>
      </c>
      <c r="Y103" s="74"/>
      <c r="Z103" s="75">
        <f ca="1">IFERROR(IF(Cost_Elements[[#This Row],[Row]]&gt;='Do Not Use or Delete'!$L$2, IF(Cost_Elements[[#This Row],[Row]]&lt;='Do Not Use or Delete'!$M$2,X103*Y103,0),0)+IF(Cost_Elements[[#This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3" s="63"/>
      <c r="AB103" s="63"/>
      <c r="AC103" s="76">
        <f ca="1">IF(PRODUCT(Cost_Elements[[#This Row],[BLS or SCLS]]="BLS"),(Cost_Elements[[#This Row],[Rate | 4]]*$AD$4)+Cost_Elements[[#This Row],[Rate | 4]],(Cost_Elements[[#This Row],[Rate | 4]]*$AD$5)+Cost_Elements[[#This Row],[Rate | 4]])</f>
        <v>0</v>
      </c>
      <c r="AD103" s="74"/>
      <c r="AE103" s="75">
        <f ca="1">IFERROR(IF(Cost_Elements[[#This Row],[Row]]&gt;='Do Not Use or Delete'!$L$2, IF(Cost_Elements[[#This Row],[Row]]&lt;='Do Not Use or Delete'!$M$2,AC103*AD103,0),0)+IF(Cost_Elements[[#This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3" s="64"/>
      <c r="AG103" s="65"/>
      <c r="AH103" s="76">
        <f ca="1">IF(PRODUCT(Cost_Elements[[#This Row],[BLS or SCLS]]="BLS"),(Cost_Elements[[#This Row],[Rate | 5]]*$AI$4)+Cost_Elements[[#This Row],[Rate | 5]],(Cost_Elements[[#This Row],[Rate | 5]]*$AI$5)+Cost_Elements[[#This Row],[Rate | 5]])</f>
        <v>0</v>
      </c>
      <c r="AI103" s="74"/>
      <c r="AJ103" s="458"/>
      <c r="AK103" s="458"/>
      <c r="AL103" s="75">
        <f ca="1">IFERROR(IF(Cost_Elements[[#This Row],[Row]]&gt;='Do Not Use or Delete'!$L$2, IF(Cost_Elements[[#This Row],[Row]]&lt;='Do Not Use or Delete'!$M$2,AH103*AI103,0),0)+IF(Cost_Elements[[#This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3" s="64"/>
      <c r="AN103" s="65"/>
      <c r="AO103" s="77">
        <f t="shared" si="4"/>
        <v>0</v>
      </c>
      <c r="AP103" s="78">
        <f t="shared" ca="1" si="5"/>
        <v>0</v>
      </c>
      <c r="AQ103" s="68">
        <f ca="1">ROW(Cost_Elements[[#This Row],[Amount | Total]])</f>
        <v>103</v>
      </c>
    </row>
    <row r="104" spans="1:43">
      <c r="A104" s="240" t="s">
        <v>165</v>
      </c>
      <c r="B104" s="275"/>
      <c r="C104" s="276"/>
      <c r="D104" s="71"/>
      <c r="E104" s="71"/>
      <c r="F104" s="71"/>
      <c r="G104" s="71"/>
      <c r="H104" s="72" t="str">
        <f ca="1">IFERROR(INDEX(Labor_Categories[Minimum Direct Labor Rates],MATCH(Cost_Elements[[#This Row],[Government Labor Category]],Labor_Categories[Labor Categories],0)),"")</f>
        <v/>
      </c>
      <c r="I104" s="79"/>
      <c r="J104" s="74"/>
      <c r="K104" s="75">
        <f ca="1">IFERROR(IF(Cost_Elements[[#This Row],[Row]]&gt;='Do Not Use or Delete'!$L$2, IF(Cost_Elements[[#This Row],[Row]]&lt;='Do Not Use or Delete'!$M$2,I104*J104,0),0)+IF(Cost_Elements[[#This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4" s="63"/>
      <c r="M104" s="63"/>
      <c r="N104" s="76">
        <f ca="1">IF(PRODUCT(Cost_Elements[[#This Row],[BLS or SCLS]]="BLS"),(Cost_Elements[[#This Row],[Rate | 1]]*$O$4)+Cost_Elements[[#This Row],[Rate | 1]],(Cost_Elements[[#This Row],[Rate | 1]]*$O$5)+Cost_Elements[[#This Row],[Rate | 1]])</f>
        <v>0</v>
      </c>
      <c r="O104" s="74"/>
      <c r="P104" s="75">
        <f ca="1">IFERROR(IF(Cost_Elements[[#This Row],[Row]]&gt;='Do Not Use or Delete'!$L$2, IF(Cost_Elements[[#This Row],[Row]]&lt;='Do Not Use or Delete'!$M$2,N104*O104,0),0)+IF(Cost_Elements[[#This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4" s="63"/>
      <c r="R104" s="63"/>
      <c r="S104" s="76">
        <f ca="1">IF(PRODUCT(Cost_Elements[[#This Row],[BLS or SCLS]]="BLS"),(Cost_Elements[[#This Row],[Rate | 2]]*$T$4)+Cost_Elements[[#This Row],[Rate | 2]],(Cost_Elements[[#This Row],[Rate | 2]]*$T$5)+Cost_Elements[[#This Row],[Rate | 2]])</f>
        <v>0</v>
      </c>
      <c r="T104" s="74"/>
      <c r="U104" s="75">
        <f ca="1">IFERROR(IF(Cost_Elements[[#This Row],[Row]]&gt;='Do Not Use or Delete'!$L$2, IF(Cost_Elements[[#This Row],[Row]]&lt;='Do Not Use or Delete'!$M$2,S104*T104,0),0)+IF(Cost_Elements[[#This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4" s="63"/>
      <c r="W104" s="63"/>
      <c r="X104" s="76">
        <f ca="1">IF(PRODUCT(Cost_Elements[[#This Row],[BLS or SCLS]]="BLS"),(Cost_Elements[[#This Row],[Rate | 3]]*$Y$4)+Cost_Elements[[#This Row],[Rate | 3]],(Cost_Elements[[#This Row],[Rate | 3]]*$Y$5)+Cost_Elements[[#This Row],[Rate | 3]])</f>
        <v>0</v>
      </c>
      <c r="Y104" s="74"/>
      <c r="Z104" s="75">
        <f ca="1">IFERROR(IF(Cost_Elements[[#This Row],[Row]]&gt;='Do Not Use or Delete'!$L$2, IF(Cost_Elements[[#This Row],[Row]]&lt;='Do Not Use or Delete'!$M$2,X104*Y104,0),0)+IF(Cost_Elements[[#This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4" s="63"/>
      <c r="AB104" s="63"/>
      <c r="AC104" s="76">
        <f ca="1">IF(PRODUCT(Cost_Elements[[#This Row],[BLS or SCLS]]="BLS"),(Cost_Elements[[#This Row],[Rate | 4]]*$AD$4)+Cost_Elements[[#This Row],[Rate | 4]],(Cost_Elements[[#This Row],[Rate | 4]]*$AD$5)+Cost_Elements[[#This Row],[Rate | 4]])</f>
        <v>0</v>
      </c>
      <c r="AD104" s="74"/>
      <c r="AE104" s="75">
        <f ca="1">IFERROR(IF(Cost_Elements[[#This Row],[Row]]&gt;='Do Not Use or Delete'!$L$2, IF(Cost_Elements[[#This Row],[Row]]&lt;='Do Not Use or Delete'!$M$2,AC104*AD104,0),0)+IF(Cost_Elements[[#This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4" s="64"/>
      <c r="AG104" s="65"/>
      <c r="AH104" s="76">
        <f ca="1">IF(PRODUCT(Cost_Elements[[#This Row],[BLS or SCLS]]="BLS"),(Cost_Elements[[#This Row],[Rate | 5]]*$AI$4)+Cost_Elements[[#This Row],[Rate | 5]],(Cost_Elements[[#This Row],[Rate | 5]]*$AI$5)+Cost_Elements[[#This Row],[Rate | 5]])</f>
        <v>0</v>
      </c>
      <c r="AI104" s="74"/>
      <c r="AJ104" s="458"/>
      <c r="AK104" s="458"/>
      <c r="AL104" s="75">
        <f ca="1">IFERROR(IF(Cost_Elements[[#This Row],[Row]]&gt;='Do Not Use or Delete'!$L$2, IF(Cost_Elements[[#This Row],[Row]]&lt;='Do Not Use or Delete'!$M$2,AH104*AI104,0),0)+IF(Cost_Elements[[#This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4" s="64"/>
      <c r="AN104" s="65"/>
      <c r="AO104" s="77">
        <f t="shared" si="4"/>
        <v>0</v>
      </c>
      <c r="AP104" s="78">
        <f t="shared" ca="1" si="5"/>
        <v>0</v>
      </c>
      <c r="AQ104" s="68">
        <f ca="1">ROW(Cost_Elements[[#This Row],[Amount | Total]])</f>
        <v>104</v>
      </c>
    </row>
    <row r="105" spans="1:43">
      <c r="A105" s="240" t="s">
        <v>165</v>
      </c>
      <c r="B105" s="275"/>
      <c r="C105" s="276"/>
      <c r="D105" s="71"/>
      <c r="E105" s="71"/>
      <c r="F105" s="71"/>
      <c r="G105" s="71"/>
      <c r="H105" s="72" t="str">
        <f ca="1">IFERROR(INDEX(Labor_Categories[Minimum Direct Labor Rates],MATCH(Cost_Elements[[#This Row],[Government Labor Category]],Labor_Categories[Labor Categories],0)),"")</f>
        <v/>
      </c>
      <c r="I105" s="79"/>
      <c r="J105" s="74"/>
      <c r="K105" s="75">
        <f ca="1">IFERROR(IF(Cost_Elements[[#This Row],[Row]]&gt;='Do Not Use or Delete'!$L$2, IF(Cost_Elements[[#This Row],[Row]]&lt;='Do Not Use or Delete'!$M$2,I105*J105,0),0)+IF(Cost_Elements[[#This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5" s="63"/>
      <c r="M105" s="63"/>
      <c r="N105" s="76">
        <f ca="1">IF(PRODUCT(Cost_Elements[[#This Row],[BLS or SCLS]]="BLS"),(Cost_Elements[[#This Row],[Rate | 1]]*$O$4)+Cost_Elements[[#This Row],[Rate | 1]],(Cost_Elements[[#This Row],[Rate | 1]]*$O$5)+Cost_Elements[[#This Row],[Rate | 1]])</f>
        <v>0</v>
      </c>
      <c r="O105" s="74"/>
      <c r="P105" s="75">
        <f ca="1">IFERROR(IF(Cost_Elements[[#This Row],[Row]]&gt;='Do Not Use or Delete'!$L$2, IF(Cost_Elements[[#This Row],[Row]]&lt;='Do Not Use or Delete'!$M$2,N105*O105,0),0)+IF(Cost_Elements[[#This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5" s="63"/>
      <c r="R105" s="63"/>
      <c r="S105" s="76">
        <f ca="1">IF(PRODUCT(Cost_Elements[[#This Row],[BLS or SCLS]]="BLS"),(Cost_Elements[[#This Row],[Rate | 2]]*$T$4)+Cost_Elements[[#This Row],[Rate | 2]],(Cost_Elements[[#This Row],[Rate | 2]]*$T$5)+Cost_Elements[[#This Row],[Rate | 2]])</f>
        <v>0</v>
      </c>
      <c r="T105" s="74"/>
      <c r="U105" s="75">
        <f ca="1">IFERROR(IF(Cost_Elements[[#This Row],[Row]]&gt;='Do Not Use or Delete'!$L$2, IF(Cost_Elements[[#This Row],[Row]]&lt;='Do Not Use or Delete'!$M$2,S105*T105,0),0)+IF(Cost_Elements[[#This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5" s="63"/>
      <c r="W105" s="63"/>
      <c r="X105" s="76">
        <f ca="1">IF(PRODUCT(Cost_Elements[[#This Row],[BLS or SCLS]]="BLS"),(Cost_Elements[[#This Row],[Rate | 3]]*$Y$4)+Cost_Elements[[#This Row],[Rate | 3]],(Cost_Elements[[#This Row],[Rate | 3]]*$Y$5)+Cost_Elements[[#This Row],[Rate | 3]])</f>
        <v>0</v>
      </c>
      <c r="Y105" s="74"/>
      <c r="Z105" s="75">
        <f ca="1">IFERROR(IF(Cost_Elements[[#This Row],[Row]]&gt;='Do Not Use or Delete'!$L$2, IF(Cost_Elements[[#This Row],[Row]]&lt;='Do Not Use or Delete'!$M$2,X105*Y105,0),0)+IF(Cost_Elements[[#This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5" s="63"/>
      <c r="AB105" s="63"/>
      <c r="AC105" s="76">
        <f ca="1">IF(PRODUCT(Cost_Elements[[#This Row],[BLS or SCLS]]="BLS"),(Cost_Elements[[#This Row],[Rate | 4]]*$AD$4)+Cost_Elements[[#This Row],[Rate | 4]],(Cost_Elements[[#This Row],[Rate | 4]]*$AD$5)+Cost_Elements[[#This Row],[Rate | 4]])</f>
        <v>0</v>
      </c>
      <c r="AD105" s="74"/>
      <c r="AE105" s="75">
        <f ca="1">IFERROR(IF(Cost_Elements[[#This Row],[Row]]&gt;='Do Not Use or Delete'!$L$2, IF(Cost_Elements[[#This Row],[Row]]&lt;='Do Not Use or Delete'!$M$2,AC105*AD105,0),0)+IF(Cost_Elements[[#This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5" s="64"/>
      <c r="AG105" s="65"/>
      <c r="AH105" s="76">
        <f ca="1">IF(PRODUCT(Cost_Elements[[#This Row],[BLS or SCLS]]="BLS"),(Cost_Elements[[#This Row],[Rate | 5]]*$AI$4)+Cost_Elements[[#This Row],[Rate | 5]],(Cost_Elements[[#This Row],[Rate | 5]]*$AI$5)+Cost_Elements[[#This Row],[Rate | 5]])</f>
        <v>0</v>
      </c>
      <c r="AI105" s="74"/>
      <c r="AJ105" s="458"/>
      <c r="AK105" s="458"/>
      <c r="AL105" s="75">
        <f ca="1">IFERROR(IF(Cost_Elements[[#This Row],[Row]]&gt;='Do Not Use or Delete'!$L$2, IF(Cost_Elements[[#This Row],[Row]]&lt;='Do Not Use or Delete'!$M$2,AH105*AI105,0),0)+IF(Cost_Elements[[#This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5" s="64"/>
      <c r="AN105" s="65"/>
      <c r="AO105" s="77">
        <f t="shared" si="4"/>
        <v>0</v>
      </c>
      <c r="AP105" s="78">
        <f t="shared" ca="1" si="5"/>
        <v>0</v>
      </c>
      <c r="AQ105" s="68">
        <f ca="1">ROW(Cost_Elements[[#This Row],[Amount | Total]])</f>
        <v>105</v>
      </c>
    </row>
    <row r="106" spans="1:43">
      <c r="A106" s="240" t="s">
        <v>165</v>
      </c>
      <c r="B106" s="275"/>
      <c r="C106" s="276"/>
      <c r="D106" s="71"/>
      <c r="E106" s="71"/>
      <c r="F106" s="71"/>
      <c r="G106" s="71"/>
      <c r="H106" s="72" t="str">
        <f ca="1">IFERROR(INDEX(Labor_Categories[Minimum Direct Labor Rates],MATCH(Cost_Elements[[#This Row],[Government Labor Category]],Labor_Categories[Labor Categories],0)),"")</f>
        <v/>
      </c>
      <c r="I106" s="79"/>
      <c r="J106" s="74"/>
      <c r="K106" s="75">
        <f ca="1">IFERROR(IF(Cost_Elements[[#This Row],[Row]]&gt;='Do Not Use or Delete'!$L$2, IF(Cost_Elements[[#This Row],[Row]]&lt;='Do Not Use or Delete'!$M$2,I106*J106,0),0)+IF(Cost_Elements[[#This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6" s="63"/>
      <c r="M106" s="63"/>
      <c r="N106" s="76">
        <f ca="1">IF(PRODUCT(Cost_Elements[[#This Row],[BLS or SCLS]]="BLS"),(Cost_Elements[[#This Row],[Rate | 1]]*$O$4)+Cost_Elements[[#This Row],[Rate | 1]],(Cost_Elements[[#This Row],[Rate | 1]]*$O$5)+Cost_Elements[[#This Row],[Rate | 1]])</f>
        <v>0</v>
      </c>
      <c r="O106" s="74"/>
      <c r="P106" s="75">
        <f ca="1">IFERROR(IF(Cost_Elements[[#This Row],[Row]]&gt;='Do Not Use or Delete'!$L$2, IF(Cost_Elements[[#This Row],[Row]]&lt;='Do Not Use or Delete'!$M$2,N106*O106,0),0)+IF(Cost_Elements[[#This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6" s="63"/>
      <c r="R106" s="63"/>
      <c r="S106" s="76">
        <f ca="1">IF(PRODUCT(Cost_Elements[[#This Row],[BLS or SCLS]]="BLS"),(Cost_Elements[[#This Row],[Rate | 2]]*$T$4)+Cost_Elements[[#This Row],[Rate | 2]],(Cost_Elements[[#This Row],[Rate | 2]]*$T$5)+Cost_Elements[[#This Row],[Rate | 2]])</f>
        <v>0</v>
      </c>
      <c r="T106" s="74"/>
      <c r="U106" s="75">
        <f ca="1">IFERROR(IF(Cost_Elements[[#This Row],[Row]]&gt;='Do Not Use or Delete'!$L$2, IF(Cost_Elements[[#This Row],[Row]]&lt;='Do Not Use or Delete'!$M$2,S106*T106,0),0)+IF(Cost_Elements[[#This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6" s="63"/>
      <c r="W106" s="63"/>
      <c r="X106" s="76">
        <f ca="1">IF(PRODUCT(Cost_Elements[[#This Row],[BLS or SCLS]]="BLS"),(Cost_Elements[[#This Row],[Rate | 3]]*$Y$4)+Cost_Elements[[#This Row],[Rate | 3]],(Cost_Elements[[#This Row],[Rate | 3]]*$Y$5)+Cost_Elements[[#This Row],[Rate | 3]])</f>
        <v>0</v>
      </c>
      <c r="Y106" s="74"/>
      <c r="Z106" s="75">
        <f ca="1">IFERROR(IF(Cost_Elements[[#This Row],[Row]]&gt;='Do Not Use or Delete'!$L$2, IF(Cost_Elements[[#This Row],[Row]]&lt;='Do Not Use or Delete'!$M$2,X106*Y106,0),0)+IF(Cost_Elements[[#This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6" s="63"/>
      <c r="AB106" s="63"/>
      <c r="AC106" s="76">
        <f ca="1">IF(PRODUCT(Cost_Elements[[#This Row],[BLS or SCLS]]="BLS"),(Cost_Elements[[#This Row],[Rate | 4]]*$AD$4)+Cost_Elements[[#This Row],[Rate | 4]],(Cost_Elements[[#This Row],[Rate | 4]]*$AD$5)+Cost_Elements[[#This Row],[Rate | 4]])</f>
        <v>0</v>
      </c>
      <c r="AD106" s="74"/>
      <c r="AE106" s="75">
        <f ca="1">IFERROR(IF(Cost_Elements[[#This Row],[Row]]&gt;='Do Not Use or Delete'!$L$2, IF(Cost_Elements[[#This Row],[Row]]&lt;='Do Not Use or Delete'!$M$2,AC106*AD106,0),0)+IF(Cost_Elements[[#This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6" s="64"/>
      <c r="AG106" s="65"/>
      <c r="AH106" s="76">
        <f ca="1">IF(PRODUCT(Cost_Elements[[#This Row],[BLS or SCLS]]="BLS"),(Cost_Elements[[#This Row],[Rate | 5]]*$AI$4)+Cost_Elements[[#This Row],[Rate | 5]],(Cost_Elements[[#This Row],[Rate | 5]]*$AI$5)+Cost_Elements[[#This Row],[Rate | 5]])</f>
        <v>0</v>
      </c>
      <c r="AI106" s="74"/>
      <c r="AJ106" s="458"/>
      <c r="AK106" s="458"/>
      <c r="AL106" s="75">
        <f ca="1">IFERROR(IF(Cost_Elements[[#This Row],[Row]]&gt;='Do Not Use or Delete'!$L$2, IF(Cost_Elements[[#This Row],[Row]]&lt;='Do Not Use or Delete'!$M$2,AH106*AI106,0),0)+IF(Cost_Elements[[#This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6" s="64"/>
      <c r="AN106" s="65"/>
      <c r="AO106" s="77">
        <f t="shared" si="4"/>
        <v>0</v>
      </c>
      <c r="AP106" s="78">
        <f t="shared" ca="1" si="5"/>
        <v>0</v>
      </c>
      <c r="AQ106" s="68">
        <f ca="1">ROW(Cost_Elements[[#This Row],[Amount | Total]])</f>
        <v>106</v>
      </c>
    </row>
    <row r="107" spans="1:43">
      <c r="A107" s="240" t="s">
        <v>165</v>
      </c>
      <c r="B107" s="275"/>
      <c r="C107" s="276"/>
      <c r="D107" s="71"/>
      <c r="E107" s="71"/>
      <c r="F107" s="71"/>
      <c r="G107" s="71"/>
      <c r="H107" s="72" t="str">
        <f ca="1">IFERROR(INDEX(Labor_Categories[Minimum Direct Labor Rates],MATCH(Cost_Elements[[#This Row],[Government Labor Category]],Labor_Categories[Labor Categories],0)),"")</f>
        <v/>
      </c>
      <c r="I107" s="79"/>
      <c r="J107" s="74"/>
      <c r="K107" s="75">
        <f ca="1">IFERROR(IF(Cost_Elements[[#This Row],[Row]]&gt;='Do Not Use or Delete'!$L$2, IF(Cost_Elements[[#This Row],[Row]]&lt;='Do Not Use or Delete'!$M$2,I107*J107,0),0)+IF(Cost_Elements[[#This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7" s="63"/>
      <c r="M107" s="63"/>
      <c r="N107" s="76">
        <f ca="1">IF(PRODUCT(Cost_Elements[[#This Row],[BLS or SCLS]]="BLS"),(Cost_Elements[[#This Row],[Rate | 1]]*$O$4)+Cost_Elements[[#This Row],[Rate | 1]],(Cost_Elements[[#This Row],[Rate | 1]]*$O$5)+Cost_Elements[[#This Row],[Rate | 1]])</f>
        <v>0</v>
      </c>
      <c r="O107" s="74"/>
      <c r="P107" s="75">
        <f ca="1">IFERROR(IF(Cost_Elements[[#This Row],[Row]]&gt;='Do Not Use or Delete'!$L$2, IF(Cost_Elements[[#This Row],[Row]]&lt;='Do Not Use or Delete'!$M$2,N107*O107,0),0)+IF(Cost_Elements[[#This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7" s="63"/>
      <c r="R107" s="63"/>
      <c r="S107" s="76">
        <f ca="1">IF(PRODUCT(Cost_Elements[[#This Row],[BLS or SCLS]]="BLS"),(Cost_Elements[[#This Row],[Rate | 2]]*$T$4)+Cost_Elements[[#This Row],[Rate | 2]],(Cost_Elements[[#This Row],[Rate | 2]]*$T$5)+Cost_Elements[[#This Row],[Rate | 2]])</f>
        <v>0</v>
      </c>
      <c r="T107" s="74"/>
      <c r="U107" s="75">
        <f ca="1">IFERROR(IF(Cost_Elements[[#This Row],[Row]]&gt;='Do Not Use or Delete'!$L$2, IF(Cost_Elements[[#This Row],[Row]]&lt;='Do Not Use or Delete'!$M$2,S107*T107,0),0)+IF(Cost_Elements[[#This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7" s="63"/>
      <c r="W107" s="63"/>
      <c r="X107" s="76">
        <f ca="1">IF(PRODUCT(Cost_Elements[[#This Row],[BLS or SCLS]]="BLS"),(Cost_Elements[[#This Row],[Rate | 3]]*$Y$4)+Cost_Elements[[#This Row],[Rate | 3]],(Cost_Elements[[#This Row],[Rate | 3]]*$Y$5)+Cost_Elements[[#This Row],[Rate | 3]])</f>
        <v>0</v>
      </c>
      <c r="Y107" s="74"/>
      <c r="Z107" s="75">
        <f ca="1">IFERROR(IF(Cost_Elements[[#This Row],[Row]]&gt;='Do Not Use or Delete'!$L$2, IF(Cost_Elements[[#This Row],[Row]]&lt;='Do Not Use or Delete'!$M$2,X107*Y107,0),0)+IF(Cost_Elements[[#This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7" s="63"/>
      <c r="AB107" s="63"/>
      <c r="AC107" s="76">
        <f ca="1">IF(PRODUCT(Cost_Elements[[#This Row],[BLS or SCLS]]="BLS"),(Cost_Elements[[#This Row],[Rate | 4]]*$AD$4)+Cost_Elements[[#This Row],[Rate | 4]],(Cost_Elements[[#This Row],[Rate | 4]]*$AD$5)+Cost_Elements[[#This Row],[Rate | 4]])</f>
        <v>0</v>
      </c>
      <c r="AD107" s="74"/>
      <c r="AE107" s="75">
        <f ca="1">IFERROR(IF(Cost_Elements[[#This Row],[Row]]&gt;='Do Not Use or Delete'!$L$2, IF(Cost_Elements[[#This Row],[Row]]&lt;='Do Not Use or Delete'!$M$2,AC107*AD107,0),0)+IF(Cost_Elements[[#This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7" s="64"/>
      <c r="AG107" s="65"/>
      <c r="AH107" s="76">
        <f ca="1">IF(PRODUCT(Cost_Elements[[#This Row],[BLS or SCLS]]="BLS"),(Cost_Elements[[#This Row],[Rate | 5]]*$AI$4)+Cost_Elements[[#This Row],[Rate | 5]],(Cost_Elements[[#This Row],[Rate | 5]]*$AI$5)+Cost_Elements[[#This Row],[Rate | 5]])</f>
        <v>0</v>
      </c>
      <c r="AI107" s="74"/>
      <c r="AJ107" s="458"/>
      <c r="AK107" s="458"/>
      <c r="AL107" s="75">
        <f ca="1">IFERROR(IF(Cost_Elements[[#This Row],[Row]]&gt;='Do Not Use or Delete'!$L$2, IF(Cost_Elements[[#This Row],[Row]]&lt;='Do Not Use or Delete'!$M$2,AH107*AI107,0),0)+IF(Cost_Elements[[#This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7" s="64"/>
      <c r="AN107" s="65"/>
      <c r="AO107" s="77">
        <f t="shared" si="4"/>
        <v>0</v>
      </c>
      <c r="AP107" s="78">
        <f t="shared" ca="1" si="5"/>
        <v>0</v>
      </c>
      <c r="AQ107" s="68">
        <f ca="1">ROW(Cost_Elements[[#This Row],[Amount | Total]])</f>
        <v>107</v>
      </c>
    </row>
    <row r="108" spans="1:43">
      <c r="A108" s="240" t="s">
        <v>165</v>
      </c>
      <c r="B108" s="275"/>
      <c r="C108" s="276"/>
      <c r="D108" s="71"/>
      <c r="E108" s="71"/>
      <c r="F108" s="71"/>
      <c r="G108" s="71"/>
      <c r="H108" s="72" t="str">
        <f ca="1">IFERROR(INDEX(Labor_Categories[Minimum Direct Labor Rates],MATCH(Cost_Elements[[#This Row],[Government Labor Category]],Labor_Categories[Labor Categories],0)),"")</f>
        <v/>
      </c>
      <c r="I108" s="79"/>
      <c r="J108" s="74"/>
      <c r="K108" s="75">
        <f ca="1">IFERROR(IF(Cost_Elements[[#This Row],[Row]]&gt;='Do Not Use or Delete'!$L$2, IF(Cost_Elements[[#This Row],[Row]]&lt;='Do Not Use or Delete'!$M$2,I108*J108,0),0)+IF(Cost_Elements[[#This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8" s="63"/>
      <c r="M108" s="63"/>
      <c r="N108" s="76">
        <f ca="1">IF(PRODUCT(Cost_Elements[[#This Row],[BLS or SCLS]]="BLS"),(Cost_Elements[[#This Row],[Rate | 1]]*$O$4)+Cost_Elements[[#This Row],[Rate | 1]],(Cost_Elements[[#This Row],[Rate | 1]]*$O$5)+Cost_Elements[[#This Row],[Rate | 1]])</f>
        <v>0</v>
      </c>
      <c r="O108" s="74"/>
      <c r="P108" s="75">
        <f ca="1">IFERROR(IF(Cost_Elements[[#This Row],[Row]]&gt;='Do Not Use or Delete'!$L$2, IF(Cost_Elements[[#This Row],[Row]]&lt;='Do Not Use or Delete'!$M$2,N108*O108,0),0)+IF(Cost_Elements[[#This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8" s="63"/>
      <c r="R108" s="63"/>
      <c r="S108" s="76">
        <f ca="1">IF(PRODUCT(Cost_Elements[[#This Row],[BLS or SCLS]]="BLS"),(Cost_Elements[[#This Row],[Rate | 2]]*$T$4)+Cost_Elements[[#This Row],[Rate | 2]],(Cost_Elements[[#This Row],[Rate | 2]]*$T$5)+Cost_Elements[[#This Row],[Rate | 2]])</f>
        <v>0</v>
      </c>
      <c r="T108" s="74"/>
      <c r="U108" s="75">
        <f ca="1">IFERROR(IF(Cost_Elements[[#This Row],[Row]]&gt;='Do Not Use or Delete'!$L$2, IF(Cost_Elements[[#This Row],[Row]]&lt;='Do Not Use or Delete'!$M$2,S108*T108,0),0)+IF(Cost_Elements[[#This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8" s="63"/>
      <c r="W108" s="63"/>
      <c r="X108" s="76">
        <f ca="1">IF(PRODUCT(Cost_Elements[[#This Row],[BLS or SCLS]]="BLS"),(Cost_Elements[[#This Row],[Rate | 3]]*$Y$4)+Cost_Elements[[#This Row],[Rate | 3]],(Cost_Elements[[#This Row],[Rate | 3]]*$Y$5)+Cost_Elements[[#This Row],[Rate | 3]])</f>
        <v>0</v>
      </c>
      <c r="Y108" s="74"/>
      <c r="Z108" s="75">
        <f ca="1">IFERROR(IF(Cost_Elements[[#This Row],[Row]]&gt;='Do Not Use or Delete'!$L$2, IF(Cost_Elements[[#This Row],[Row]]&lt;='Do Not Use or Delete'!$M$2,X108*Y108,0),0)+IF(Cost_Elements[[#This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8" s="63"/>
      <c r="AB108" s="63"/>
      <c r="AC108" s="76">
        <f ca="1">IF(PRODUCT(Cost_Elements[[#This Row],[BLS or SCLS]]="BLS"),(Cost_Elements[[#This Row],[Rate | 4]]*$AD$4)+Cost_Elements[[#This Row],[Rate | 4]],(Cost_Elements[[#This Row],[Rate | 4]]*$AD$5)+Cost_Elements[[#This Row],[Rate | 4]])</f>
        <v>0</v>
      </c>
      <c r="AD108" s="74"/>
      <c r="AE108" s="75">
        <f ca="1">IFERROR(IF(Cost_Elements[[#This Row],[Row]]&gt;='Do Not Use or Delete'!$L$2, IF(Cost_Elements[[#This Row],[Row]]&lt;='Do Not Use or Delete'!$M$2,AC108*AD108,0),0)+IF(Cost_Elements[[#This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8" s="64"/>
      <c r="AG108" s="65"/>
      <c r="AH108" s="76">
        <f ca="1">IF(PRODUCT(Cost_Elements[[#This Row],[BLS or SCLS]]="BLS"),(Cost_Elements[[#This Row],[Rate | 5]]*$AI$4)+Cost_Elements[[#This Row],[Rate | 5]],(Cost_Elements[[#This Row],[Rate | 5]]*$AI$5)+Cost_Elements[[#This Row],[Rate | 5]])</f>
        <v>0</v>
      </c>
      <c r="AI108" s="74"/>
      <c r="AJ108" s="458"/>
      <c r="AK108" s="458"/>
      <c r="AL108" s="75">
        <f ca="1">IFERROR(IF(Cost_Elements[[#This Row],[Row]]&gt;='Do Not Use or Delete'!$L$2, IF(Cost_Elements[[#This Row],[Row]]&lt;='Do Not Use or Delete'!$M$2,AH108*AI108,0),0)+IF(Cost_Elements[[#This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8" s="64"/>
      <c r="AN108" s="65"/>
      <c r="AO108" s="77">
        <f t="shared" si="4"/>
        <v>0</v>
      </c>
      <c r="AP108" s="78">
        <f t="shared" ca="1" si="5"/>
        <v>0</v>
      </c>
      <c r="AQ108" s="68">
        <f ca="1">ROW(Cost_Elements[[#This Row],[Amount | Total]])</f>
        <v>108</v>
      </c>
    </row>
    <row r="109" spans="1:43">
      <c r="A109" s="240" t="s">
        <v>165</v>
      </c>
      <c r="B109" s="275"/>
      <c r="C109" s="276"/>
      <c r="D109" s="71"/>
      <c r="E109" s="71"/>
      <c r="F109" s="71"/>
      <c r="G109" s="71"/>
      <c r="H109" s="72" t="str">
        <f ca="1">IFERROR(INDEX(Labor_Categories[Minimum Direct Labor Rates],MATCH(Cost_Elements[[#This Row],[Government Labor Category]],Labor_Categories[Labor Categories],0)),"")</f>
        <v/>
      </c>
      <c r="I109" s="79"/>
      <c r="J109" s="74"/>
      <c r="K109" s="75">
        <f ca="1">IFERROR(IF(Cost_Elements[[#This Row],[Row]]&gt;='Do Not Use or Delete'!$L$2, IF(Cost_Elements[[#This Row],[Row]]&lt;='Do Not Use or Delete'!$M$2,I109*J109,0),0)+IF(Cost_Elements[[#This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9" s="63"/>
      <c r="M109" s="63"/>
      <c r="N109" s="76">
        <f ca="1">IF(PRODUCT(Cost_Elements[[#This Row],[BLS or SCLS]]="BLS"),(Cost_Elements[[#This Row],[Rate | 1]]*$O$4)+Cost_Elements[[#This Row],[Rate | 1]],(Cost_Elements[[#This Row],[Rate | 1]]*$O$5)+Cost_Elements[[#This Row],[Rate | 1]])</f>
        <v>0</v>
      </c>
      <c r="O109" s="74"/>
      <c r="P109" s="75">
        <f ca="1">IFERROR(IF(Cost_Elements[[#This Row],[Row]]&gt;='Do Not Use or Delete'!$L$2, IF(Cost_Elements[[#This Row],[Row]]&lt;='Do Not Use or Delete'!$M$2,N109*O109,0),0)+IF(Cost_Elements[[#This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9" s="63"/>
      <c r="R109" s="63"/>
      <c r="S109" s="76">
        <f ca="1">IF(PRODUCT(Cost_Elements[[#This Row],[BLS or SCLS]]="BLS"),(Cost_Elements[[#This Row],[Rate | 2]]*$T$4)+Cost_Elements[[#This Row],[Rate | 2]],(Cost_Elements[[#This Row],[Rate | 2]]*$T$5)+Cost_Elements[[#This Row],[Rate | 2]])</f>
        <v>0</v>
      </c>
      <c r="T109" s="74"/>
      <c r="U109" s="75">
        <f ca="1">IFERROR(IF(Cost_Elements[[#This Row],[Row]]&gt;='Do Not Use or Delete'!$L$2, IF(Cost_Elements[[#This Row],[Row]]&lt;='Do Not Use or Delete'!$M$2,S109*T109,0),0)+IF(Cost_Elements[[#This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9" s="63"/>
      <c r="W109" s="63"/>
      <c r="X109" s="76">
        <f ca="1">IF(PRODUCT(Cost_Elements[[#This Row],[BLS or SCLS]]="BLS"),(Cost_Elements[[#This Row],[Rate | 3]]*$Y$4)+Cost_Elements[[#This Row],[Rate | 3]],(Cost_Elements[[#This Row],[Rate | 3]]*$Y$5)+Cost_Elements[[#This Row],[Rate | 3]])</f>
        <v>0</v>
      </c>
      <c r="Y109" s="74"/>
      <c r="Z109" s="75">
        <f ca="1">IFERROR(IF(Cost_Elements[[#This Row],[Row]]&gt;='Do Not Use or Delete'!$L$2, IF(Cost_Elements[[#This Row],[Row]]&lt;='Do Not Use or Delete'!$M$2,X109*Y109,0),0)+IF(Cost_Elements[[#This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9" s="63"/>
      <c r="AB109" s="63"/>
      <c r="AC109" s="76">
        <f ca="1">IF(PRODUCT(Cost_Elements[[#This Row],[BLS or SCLS]]="BLS"),(Cost_Elements[[#This Row],[Rate | 4]]*$AD$4)+Cost_Elements[[#This Row],[Rate | 4]],(Cost_Elements[[#This Row],[Rate | 4]]*$AD$5)+Cost_Elements[[#This Row],[Rate | 4]])</f>
        <v>0</v>
      </c>
      <c r="AD109" s="74"/>
      <c r="AE109" s="75">
        <f ca="1">IFERROR(IF(Cost_Elements[[#This Row],[Row]]&gt;='Do Not Use or Delete'!$L$2, IF(Cost_Elements[[#This Row],[Row]]&lt;='Do Not Use or Delete'!$M$2,AC109*AD109,0),0)+IF(Cost_Elements[[#This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9" s="64"/>
      <c r="AG109" s="65"/>
      <c r="AH109" s="76">
        <f ca="1">IF(PRODUCT(Cost_Elements[[#This Row],[BLS or SCLS]]="BLS"),(Cost_Elements[[#This Row],[Rate | 5]]*$AI$4)+Cost_Elements[[#This Row],[Rate | 5]],(Cost_Elements[[#This Row],[Rate | 5]]*$AI$5)+Cost_Elements[[#This Row],[Rate | 5]])</f>
        <v>0</v>
      </c>
      <c r="AI109" s="74"/>
      <c r="AJ109" s="458"/>
      <c r="AK109" s="458"/>
      <c r="AL109" s="75">
        <f ca="1">IFERROR(IF(Cost_Elements[[#This Row],[Row]]&gt;='Do Not Use or Delete'!$L$2, IF(Cost_Elements[[#This Row],[Row]]&lt;='Do Not Use or Delete'!$M$2,AH109*AI109,0),0)+IF(Cost_Elements[[#This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9" s="64"/>
      <c r="AN109" s="65"/>
      <c r="AO109" s="77">
        <f t="shared" si="4"/>
        <v>0</v>
      </c>
      <c r="AP109" s="78">
        <f t="shared" ca="1" si="5"/>
        <v>0</v>
      </c>
      <c r="AQ109" s="68">
        <f ca="1">ROW(Cost_Elements[[#This Row],[Amount | Total]])</f>
        <v>109</v>
      </c>
    </row>
    <row r="110" spans="1:43">
      <c r="A110" s="240" t="s">
        <v>165</v>
      </c>
      <c r="B110" s="275"/>
      <c r="C110" s="276"/>
      <c r="D110" s="71"/>
      <c r="E110" s="71"/>
      <c r="F110" s="71"/>
      <c r="G110" s="71"/>
      <c r="H110" s="72" t="str">
        <f ca="1">IFERROR(INDEX(Labor_Categories[Minimum Direct Labor Rates],MATCH(Cost_Elements[[#This Row],[Government Labor Category]],Labor_Categories[Labor Categories],0)),"")</f>
        <v/>
      </c>
      <c r="I110" s="79"/>
      <c r="J110" s="74"/>
      <c r="K110" s="75">
        <f ca="1">IFERROR(IF(Cost_Elements[[#This Row],[Row]]&gt;='Do Not Use or Delete'!$L$2, IF(Cost_Elements[[#This Row],[Row]]&lt;='Do Not Use or Delete'!$M$2,I110*J110,0),0)+IF(Cost_Elements[[#This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0" s="63"/>
      <c r="M110" s="63"/>
      <c r="N110" s="76">
        <f ca="1">IF(PRODUCT(Cost_Elements[[#This Row],[BLS or SCLS]]="BLS"),(Cost_Elements[[#This Row],[Rate | 1]]*$O$4)+Cost_Elements[[#This Row],[Rate | 1]],(Cost_Elements[[#This Row],[Rate | 1]]*$O$5)+Cost_Elements[[#This Row],[Rate | 1]])</f>
        <v>0</v>
      </c>
      <c r="O110" s="74"/>
      <c r="P110" s="75">
        <f ca="1">IFERROR(IF(Cost_Elements[[#This Row],[Row]]&gt;='Do Not Use or Delete'!$L$2, IF(Cost_Elements[[#This Row],[Row]]&lt;='Do Not Use or Delete'!$M$2,N110*O110,0),0)+IF(Cost_Elements[[#This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0" s="63"/>
      <c r="R110" s="63"/>
      <c r="S110" s="76">
        <f ca="1">IF(PRODUCT(Cost_Elements[[#This Row],[BLS or SCLS]]="BLS"),(Cost_Elements[[#This Row],[Rate | 2]]*$T$4)+Cost_Elements[[#This Row],[Rate | 2]],(Cost_Elements[[#This Row],[Rate | 2]]*$T$5)+Cost_Elements[[#This Row],[Rate | 2]])</f>
        <v>0</v>
      </c>
      <c r="T110" s="74"/>
      <c r="U110" s="75">
        <f ca="1">IFERROR(IF(Cost_Elements[[#This Row],[Row]]&gt;='Do Not Use or Delete'!$L$2, IF(Cost_Elements[[#This Row],[Row]]&lt;='Do Not Use or Delete'!$M$2,S110*T110,0),0)+IF(Cost_Elements[[#This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0" s="63"/>
      <c r="W110" s="63"/>
      <c r="X110" s="76">
        <f ca="1">IF(PRODUCT(Cost_Elements[[#This Row],[BLS or SCLS]]="BLS"),(Cost_Elements[[#This Row],[Rate | 3]]*$Y$4)+Cost_Elements[[#This Row],[Rate | 3]],(Cost_Elements[[#This Row],[Rate | 3]]*$Y$5)+Cost_Elements[[#This Row],[Rate | 3]])</f>
        <v>0</v>
      </c>
      <c r="Y110" s="74"/>
      <c r="Z110" s="75">
        <f ca="1">IFERROR(IF(Cost_Elements[[#This Row],[Row]]&gt;='Do Not Use or Delete'!$L$2, IF(Cost_Elements[[#This Row],[Row]]&lt;='Do Not Use or Delete'!$M$2,X110*Y110,0),0)+IF(Cost_Elements[[#This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0" s="63"/>
      <c r="AB110" s="63"/>
      <c r="AC110" s="76">
        <f ca="1">IF(PRODUCT(Cost_Elements[[#This Row],[BLS or SCLS]]="BLS"),(Cost_Elements[[#This Row],[Rate | 4]]*$AD$4)+Cost_Elements[[#This Row],[Rate | 4]],(Cost_Elements[[#This Row],[Rate | 4]]*$AD$5)+Cost_Elements[[#This Row],[Rate | 4]])</f>
        <v>0</v>
      </c>
      <c r="AD110" s="74"/>
      <c r="AE110" s="75">
        <f ca="1">IFERROR(IF(Cost_Elements[[#This Row],[Row]]&gt;='Do Not Use or Delete'!$L$2, IF(Cost_Elements[[#This Row],[Row]]&lt;='Do Not Use or Delete'!$M$2,AC110*AD110,0),0)+IF(Cost_Elements[[#This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0" s="64"/>
      <c r="AG110" s="65"/>
      <c r="AH110" s="76">
        <f ca="1">IF(PRODUCT(Cost_Elements[[#This Row],[BLS or SCLS]]="BLS"),(Cost_Elements[[#This Row],[Rate | 5]]*$AI$4)+Cost_Elements[[#This Row],[Rate | 5]],(Cost_Elements[[#This Row],[Rate | 5]]*$AI$5)+Cost_Elements[[#This Row],[Rate | 5]])</f>
        <v>0</v>
      </c>
      <c r="AI110" s="74"/>
      <c r="AJ110" s="458"/>
      <c r="AK110" s="458"/>
      <c r="AL110" s="75">
        <f ca="1">IFERROR(IF(Cost_Elements[[#This Row],[Row]]&gt;='Do Not Use or Delete'!$L$2, IF(Cost_Elements[[#This Row],[Row]]&lt;='Do Not Use or Delete'!$M$2,AH110*AI110,0),0)+IF(Cost_Elements[[#This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0" s="64"/>
      <c r="AN110" s="65"/>
      <c r="AO110" s="77">
        <f t="shared" si="4"/>
        <v>0</v>
      </c>
      <c r="AP110" s="78">
        <f t="shared" ca="1" si="5"/>
        <v>0</v>
      </c>
      <c r="AQ110" s="68">
        <f ca="1">ROW(Cost_Elements[[#This Row],[Amount | Total]])</f>
        <v>110</v>
      </c>
    </row>
    <row r="111" spans="1:43">
      <c r="A111" s="240" t="s">
        <v>165</v>
      </c>
      <c r="B111" s="275"/>
      <c r="C111" s="276"/>
      <c r="D111" s="71"/>
      <c r="E111" s="71"/>
      <c r="F111" s="71"/>
      <c r="G111" s="71"/>
      <c r="H111" s="72" t="str">
        <f ca="1">IFERROR(INDEX(Labor_Categories[Minimum Direct Labor Rates],MATCH(Cost_Elements[[#This Row],[Government Labor Category]],Labor_Categories[Labor Categories],0)),"")</f>
        <v/>
      </c>
      <c r="I111" s="79"/>
      <c r="J111" s="74"/>
      <c r="K111" s="75">
        <f ca="1">IFERROR(IF(Cost_Elements[[#This Row],[Row]]&gt;='Do Not Use or Delete'!$L$2, IF(Cost_Elements[[#This Row],[Row]]&lt;='Do Not Use or Delete'!$M$2,I111*J111,0),0)+IF(Cost_Elements[[#This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1" s="63"/>
      <c r="M111" s="63"/>
      <c r="N111" s="76">
        <f ca="1">IF(PRODUCT(Cost_Elements[[#This Row],[BLS or SCLS]]="BLS"),(Cost_Elements[[#This Row],[Rate | 1]]*$O$4)+Cost_Elements[[#This Row],[Rate | 1]],(Cost_Elements[[#This Row],[Rate | 1]]*$O$5)+Cost_Elements[[#This Row],[Rate | 1]])</f>
        <v>0</v>
      </c>
      <c r="O111" s="74"/>
      <c r="P111" s="75">
        <f ca="1">IFERROR(IF(Cost_Elements[[#This Row],[Row]]&gt;='Do Not Use or Delete'!$L$2, IF(Cost_Elements[[#This Row],[Row]]&lt;='Do Not Use or Delete'!$M$2,N111*O111,0),0)+IF(Cost_Elements[[#This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1" s="63"/>
      <c r="R111" s="63"/>
      <c r="S111" s="76">
        <f ca="1">IF(PRODUCT(Cost_Elements[[#This Row],[BLS or SCLS]]="BLS"),(Cost_Elements[[#This Row],[Rate | 2]]*$T$4)+Cost_Elements[[#This Row],[Rate | 2]],(Cost_Elements[[#This Row],[Rate | 2]]*$T$5)+Cost_Elements[[#This Row],[Rate | 2]])</f>
        <v>0</v>
      </c>
      <c r="T111" s="74"/>
      <c r="U111" s="75">
        <f ca="1">IFERROR(IF(Cost_Elements[[#This Row],[Row]]&gt;='Do Not Use or Delete'!$L$2, IF(Cost_Elements[[#This Row],[Row]]&lt;='Do Not Use or Delete'!$M$2,S111*T111,0),0)+IF(Cost_Elements[[#This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1" s="63"/>
      <c r="W111" s="63"/>
      <c r="X111" s="76">
        <f ca="1">IF(PRODUCT(Cost_Elements[[#This Row],[BLS or SCLS]]="BLS"),(Cost_Elements[[#This Row],[Rate | 3]]*$Y$4)+Cost_Elements[[#This Row],[Rate | 3]],(Cost_Elements[[#This Row],[Rate | 3]]*$Y$5)+Cost_Elements[[#This Row],[Rate | 3]])</f>
        <v>0</v>
      </c>
      <c r="Y111" s="74"/>
      <c r="Z111" s="75">
        <f ca="1">IFERROR(IF(Cost_Elements[[#This Row],[Row]]&gt;='Do Not Use or Delete'!$L$2, IF(Cost_Elements[[#This Row],[Row]]&lt;='Do Not Use or Delete'!$M$2,X111*Y111,0),0)+IF(Cost_Elements[[#This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1" s="63"/>
      <c r="AB111" s="63"/>
      <c r="AC111" s="76">
        <f ca="1">IF(PRODUCT(Cost_Elements[[#This Row],[BLS or SCLS]]="BLS"),(Cost_Elements[[#This Row],[Rate | 4]]*$AD$4)+Cost_Elements[[#This Row],[Rate | 4]],(Cost_Elements[[#This Row],[Rate | 4]]*$AD$5)+Cost_Elements[[#This Row],[Rate | 4]])</f>
        <v>0</v>
      </c>
      <c r="AD111" s="74"/>
      <c r="AE111" s="75">
        <f ca="1">IFERROR(IF(Cost_Elements[[#This Row],[Row]]&gt;='Do Not Use or Delete'!$L$2, IF(Cost_Elements[[#This Row],[Row]]&lt;='Do Not Use or Delete'!$M$2,AC111*AD111,0),0)+IF(Cost_Elements[[#This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1" s="64"/>
      <c r="AG111" s="65"/>
      <c r="AH111" s="76">
        <f ca="1">IF(PRODUCT(Cost_Elements[[#This Row],[BLS or SCLS]]="BLS"),(Cost_Elements[[#This Row],[Rate | 5]]*$AI$4)+Cost_Elements[[#This Row],[Rate | 5]],(Cost_Elements[[#This Row],[Rate | 5]]*$AI$5)+Cost_Elements[[#This Row],[Rate | 5]])</f>
        <v>0</v>
      </c>
      <c r="AI111" s="74"/>
      <c r="AJ111" s="458"/>
      <c r="AK111" s="458"/>
      <c r="AL111" s="75">
        <f ca="1">IFERROR(IF(Cost_Elements[[#This Row],[Row]]&gt;='Do Not Use or Delete'!$L$2, IF(Cost_Elements[[#This Row],[Row]]&lt;='Do Not Use or Delete'!$M$2,AH111*AI111,0),0)+IF(Cost_Elements[[#This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1" s="64"/>
      <c r="AN111" s="65"/>
      <c r="AO111" s="77">
        <f t="shared" si="4"/>
        <v>0</v>
      </c>
      <c r="AP111" s="78">
        <f t="shared" ca="1" si="5"/>
        <v>0</v>
      </c>
      <c r="AQ111" s="68">
        <f ca="1">ROW(Cost_Elements[[#This Row],[Amount | Total]])</f>
        <v>111</v>
      </c>
    </row>
    <row r="112" spans="1:43">
      <c r="A112" s="240"/>
      <c r="B112" s="275"/>
      <c r="C112" s="276"/>
      <c r="D112" s="71"/>
      <c r="E112" s="71"/>
      <c r="F112" s="71"/>
      <c r="G112" s="71"/>
      <c r="H112" s="72" t="str">
        <f ca="1">IFERROR(INDEX(Labor_Categories[Minimum Direct Labor Rates],MATCH(Cost_Elements[[#This Row],[Government Labor Category]],Labor_Categories[Labor Categories],0)),"")</f>
        <v/>
      </c>
      <c r="I112" s="79"/>
      <c r="J112" s="74"/>
      <c r="K112" s="75"/>
      <c r="L112" s="63"/>
      <c r="M112" s="63"/>
      <c r="N112" s="76">
        <f ca="1">IF(PRODUCT(Cost_Elements[[#This Row],[BLS or SCLS]]="BLS"),(Cost_Elements[[#This Row],[Rate | 1]]*$O$4)+Cost_Elements[[#This Row],[Rate | 1]],(Cost_Elements[[#This Row],[Rate | 1]]*$O$5)+Cost_Elements[[#This Row],[Rate | 1]])</f>
        <v>0</v>
      </c>
      <c r="O112" s="74"/>
      <c r="P112" s="75"/>
      <c r="Q112" s="63"/>
      <c r="R112" s="63"/>
      <c r="S112" s="76">
        <f ca="1">IF(PRODUCT(Cost_Elements[[#This Row],[BLS or SCLS]]="BLS"),(Cost_Elements[[#This Row],[Rate | 2]]*$T$4)+Cost_Elements[[#This Row],[Rate | 2]],(Cost_Elements[[#This Row],[Rate | 2]]*$T$5)+Cost_Elements[[#This Row],[Rate | 2]])</f>
        <v>0</v>
      </c>
      <c r="T112" s="74"/>
      <c r="U112" s="75"/>
      <c r="V112" s="63"/>
      <c r="W112" s="63"/>
      <c r="X112" s="76">
        <f ca="1">IF(PRODUCT(Cost_Elements[[#This Row],[BLS or SCLS]]="BLS"),(Cost_Elements[[#This Row],[Rate | 3]]*$Y$4)+Cost_Elements[[#This Row],[Rate | 3]],(Cost_Elements[[#This Row],[Rate | 3]]*$Y$5)+Cost_Elements[[#This Row],[Rate | 3]])</f>
        <v>0</v>
      </c>
      <c r="Y112" s="74"/>
      <c r="Z112" s="75"/>
      <c r="AA112" s="63"/>
      <c r="AB112" s="63"/>
      <c r="AC112" s="76">
        <f ca="1">IF(PRODUCT(Cost_Elements[[#This Row],[BLS or SCLS]]="BLS"),(Cost_Elements[[#This Row],[Rate | 4]]*$AD$4)+Cost_Elements[[#This Row],[Rate | 4]],(Cost_Elements[[#This Row],[Rate | 4]]*$AD$5)+Cost_Elements[[#This Row],[Rate | 4]])</f>
        <v>0</v>
      </c>
      <c r="AD112" s="74"/>
      <c r="AE112" s="75"/>
      <c r="AF112" s="64"/>
      <c r="AG112" s="65"/>
      <c r="AH112" s="76">
        <f ca="1">IF(PRODUCT(Cost_Elements[[#This Row],[BLS or SCLS]]="BLS"),(Cost_Elements[[#This Row],[Rate | 4]]*$AI$4)+Cost_Elements[[#This Row],[Rate | 4]],(Cost_Elements[[#This Row],[Rate | 4]]*$AI$5)+Cost_Elements[[#This Row],[Rate | 4]])</f>
        <v>0</v>
      </c>
      <c r="AI112" s="74"/>
      <c r="AJ112" s="458"/>
      <c r="AK112" s="458"/>
      <c r="AL112" s="75"/>
      <c r="AM112" s="64"/>
      <c r="AN112" s="65"/>
      <c r="AO112" s="77"/>
      <c r="AP112" s="78"/>
      <c r="AQ112" s="68">
        <f ca="1">ROW(Cost_Elements[[#This Row],[Amount | Total]])</f>
        <v>112</v>
      </c>
    </row>
    <row r="113" spans="1:50" s="27" customFormat="1">
      <c r="A113" s="241" t="s">
        <v>166</v>
      </c>
      <c r="B113" s="80"/>
      <c r="C113" s="80"/>
      <c r="D113" s="81"/>
      <c r="E113" s="81"/>
      <c r="F113" s="81"/>
      <c r="G113" s="81"/>
      <c r="H113" s="59" t="str">
        <f ca="1">IFERROR(INDEX(Labor_Categories[Minimum Direct Labor Rates],MATCH(Cost_Elements[[#This Row],[Government Labor Category]],Labor_Categories[Labor Categories],0)),"")</f>
        <v/>
      </c>
      <c r="I113" s="82"/>
      <c r="J113" s="83">
        <f ca="1">SUM(J10:J112)</f>
        <v>0</v>
      </c>
      <c r="K113" s="84">
        <f ca="1">SUM(K10:K112)</f>
        <v>0</v>
      </c>
      <c r="L113" s="242"/>
      <c r="M113" s="242"/>
      <c r="N113" s="82"/>
      <c r="O113" s="83">
        <f ca="1">SUM(O10:O112)</f>
        <v>0</v>
      </c>
      <c r="P113" s="84">
        <f ca="1">SUM(P10:P112)</f>
        <v>0</v>
      </c>
      <c r="Q113" s="242"/>
      <c r="R113" s="242"/>
      <c r="S113" s="82"/>
      <c r="T113" s="83">
        <f ca="1">SUM(T10:T112)</f>
        <v>0</v>
      </c>
      <c r="U113" s="84">
        <f ca="1">SUM(U10:U112)</f>
        <v>0</v>
      </c>
      <c r="V113" s="242"/>
      <c r="W113" s="242"/>
      <c r="X113" s="82"/>
      <c r="Y113" s="83">
        <f ca="1">SUM(Y10:Y112)</f>
        <v>0</v>
      </c>
      <c r="Z113" s="84">
        <f ca="1">SUM(Z10:Z112)</f>
        <v>0</v>
      </c>
      <c r="AA113" s="242"/>
      <c r="AB113" s="242"/>
      <c r="AC113" s="82"/>
      <c r="AD113" s="83">
        <f ca="1">SUM(AD10:AD112)</f>
        <v>0</v>
      </c>
      <c r="AE113" s="84">
        <f ca="1">SUM(AE10:AE112)</f>
        <v>0</v>
      </c>
      <c r="AF113" s="85"/>
      <c r="AG113" s="243"/>
      <c r="AH113" s="82"/>
      <c r="AI113" s="83">
        <f ca="1">SUM(AI10:AI112)</f>
        <v>0</v>
      </c>
      <c r="AJ113" s="462"/>
      <c r="AK113" s="462"/>
      <c r="AL113" s="84">
        <f ca="1">SUM(AL10:AL112)</f>
        <v>0</v>
      </c>
      <c r="AM113" s="85"/>
      <c r="AN113" s="243"/>
      <c r="AO113" s="86">
        <f ca="1">SUM(J113,O113,T113,Y113,AD113,AI113)</f>
        <v>0</v>
      </c>
      <c r="AP113" s="87">
        <f ca="1">K113+P113+U113+Z113+AE113+AL113</f>
        <v>0</v>
      </c>
      <c r="AQ113" s="68">
        <f ca="1">ROW(Cost_Elements[[#This Row],[Amount | Total]])</f>
        <v>113</v>
      </c>
      <c r="AR113" s="28"/>
      <c r="AS113" s="28"/>
      <c r="AT113" s="28"/>
      <c r="AU113" s="28"/>
      <c r="AV113" s="28"/>
      <c r="AW113" s="28"/>
      <c r="AX113" s="28"/>
    </row>
    <row r="114" spans="1:50">
      <c r="A114" s="241"/>
      <c r="B114" s="69"/>
      <c r="C114" s="69"/>
      <c r="D114" s="61"/>
      <c r="E114" s="61"/>
      <c r="F114" s="61"/>
      <c r="G114" s="61"/>
      <c r="H114" s="59" t="str">
        <f ca="1">IFERROR(INDEX(Labor_Categories[Minimum Direct Labor Rates],MATCH(Cost_Elements[[#This Row],[Government Labor Category]],Labor_Categories[Labor Categories],0)),"")</f>
        <v/>
      </c>
      <c r="I114" s="11"/>
      <c r="J114" s="69"/>
      <c r="K114" s="88"/>
      <c r="L114" s="89" t="s">
        <v>167</v>
      </c>
      <c r="M114" s="89"/>
      <c r="N114" s="244">
        <v>0</v>
      </c>
      <c r="O114" s="69"/>
      <c r="P114" s="88"/>
      <c r="Q114" s="89" t="s">
        <v>167</v>
      </c>
      <c r="R114" s="89"/>
      <c r="S114" s="11"/>
      <c r="T114" s="69"/>
      <c r="U114" s="88"/>
      <c r="V114" s="89" t="s">
        <v>167</v>
      </c>
      <c r="W114" s="89"/>
      <c r="X114" s="11"/>
      <c r="Y114" s="69"/>
      <c r="Z114" s="88"/>
      <c r="AA114" s="89" t="s">
        <v>167</v>
      </c>
      <c r="AB114" s="89"/>
      <c r="AC114" s="11"/>
      <c r="AD114" s="69"/>
      <c r="AE114" s="88"/>
      <c r="AF114" s="90" t="s">
        <v>167</v>
      </c>
      <c r="AG114" s="91"/>
      <c r="AH114" s="11"/>
      <c r="AI114" s="69"/>
      <c r="AJ114" s="172"/>
      <c r="AK114" s="172"/>
      <c r="AL114" s="88"/>
      <c r="AM114" s="90" t="s">
        <v>167</v>
      </c>
      <c r="AN114" s="91"/>
      <c r="AO114" s="245"/>
      <c r="AP114" s="92"/>
      <c r="AQ114" s="68">
        <f ca="1">ROW(Cost_Elements[[#This Row],[Amount | Total]])</f>
        <v>114</v>
      </c>
    </row>
    <row r="115" spans="1:50">
      <c r="A115" s="239" t="s">
        <v>168</v>
      </c>
      <c r="B115" s="69"/>
      <c r="C115" s="69"/>
      <c r="D115" s="61"/>
      <c r="E115" s="61"/>
      <c r="F115" s="61"/>
      <c r="G115" s="61"/>
      <c r="H115" s="59" t="str">
        <f ca="1">IFERROR(INDEX(Labor_Categories[Minimum Direct Labor Rates],MATCH(Cost_Elements[[#This Row],[Government Labor Category]],Labor_Categories[Labor Categories],0)),"")</f>
        <v/>
      </c>
      <c r="I115" s="11"/>
      <c r="J115" s="93" t="s">
        <v>169</v>
      </c>
      <c r="K115" s="94" t="str">
        <f ca="1">IFERROR(IF(Cost_Elements[[#This Row],[Row]]&gt;='Do Not Use or Delete'!#REF!, IF(Cost_Elements[[#This Row],[Row]]&lt;='Do Not Use or Delete'!#REF!,I115*J115,0),0)+IF(Cost_Elements[[#This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115" s="89" t="s">
        <v>170</v>
      </c>
      <c r="M115" s="89" t="s">
        <v>171</v>
      </c>
      <c r="N115" s="244"/>
      <c r="O115" s="93" t="s">
        <v>169</v>
      </c>
      <c r="P115" s="94" t="str">
        <f ca="1">IFERROR(IF(Cost_Elements[[#This Row],[Row]]&gt;='Do Not Use or Delete'!#REF!, IF(Cost_Elements[[#This Row],[Row]]&lt;='Do Not Use or Delete'!#REF!,N115*O115,0),0)+IF(Cost_Elements[[#This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115" s="89" t="s">
        <v>170</v>
      </c>
      <c r="R115" s="89" t="s">
        <v>171</v>
      </c>
      <c r="S115" s="11"/>
      <c r="T115" s="93" t="s">
        <v>169</v>
      </c>
      <c r="U115" s="94" t="str">
        <f ca="1">IFERROR(IF(Cost_Elements[[#This Row],[Row]]&gt;='Do Not Use or Delete'!#REF!, IF(Cost_Elements[[#This Row],[Row]]&lt;='Do Not Use or Delete'!#REF!,S115*T115,0),0)+IF(Cost_Elements[[#This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115" s="89" t="s">
        <v>170</v>
      </c>
      <c r="W115" s="89" t="s">
        <v>171</v>
      </c>
      <c r="X115" s="11"/>
      <c r="Y115" s="93" t="s">
        <v>169</v>
      </c>
      <c r="Z115" s="94" t="str">
        <f ca="1">IFERROR(IF(Cost_Elements[[#This Row],[Row]]&gt;='Do Not Use or Delete'!#REF!, IF(Cost_Elements[[#This Row],[Row]]&lt;='Do Not Use or Delete'!#REF!,X115*Y115,0),0)+IF(Cost_Elements[[#This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115" s="89" t="s">
        <v>170</v>
      </c>
      <c r="AB115" s="89" t="s">
        <v>171</v>
      </c>
      <c r="AC115" s="11"/>
      <c r="AD115" s="93" t="s">
        <v>169</v>
      </c>
      <c r="AE115" s="94" t="str">
        <f ca="1">IFERROR(IF(Cost_Elements[[#This Row],[Row]]&gt;='Do Not Use or Delete'!#REF!, IF(Cost_Elements[[#This Row],[Row]]&lt;='Do Not Use or Delete'!#REF!,AC115*AD115,0),0)+IF(Cost_Elements[[#This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115" s="90" t="s">
        <v>170</v>
      </c>
      <c r="AG115" s="91" t="s">
        <v>171</v>
      </c>
      <c r="AH115" s="11"/>
      <c r="AI115" s="93" t="s">
        <v>169</v>
      </c>
      <c r="AJ115" s="463"/>
      <c r="AK115" s="463"/>
      <c r="AL115" s="94" t="str">
        <f ca="1">IFERROR(IF(Cost_Elements[[#This Row],[Row]]&gt;='Do Not Use or Delete'!#REF!, IF(Cost_Elements[[#This Row],[Row]]&lt;='Do Not Use or Delete'!#REF!,AH115*AI115,0),0)+IF(Cost_Elements[[#This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M115" s="90" t="s">
        <v>170</v>
      </c>
      <c r="AN115" s="91" t="s">
        <v>171</v>
      </c>
      <c r="AO115" s="246"/>
      <c r="AP115" s="95"/>
      <c r="AQ115" s="68">
        <f ca="1">ROW(Cost_Elements[[#This Row],[Amount | Total]])</f>
        <v>115</v>
      </c>
    </row>
    <row r="116" spans="1:50">
      <c r="A116" s="247" t="s">
        <v>172</v>
      </c>
      <c r="B116" s="96" t="s">
        <v>93</v>
      </c>
      <c r="C116" s="69"/>
      <c r="D116" s="61"/>
      <c r="E116" s="97" t="s">
        <v>48</v>
      </c>
      <c r="F116" s="97"/>
      <c r="G116" s="61"/>
      <c r="H116" s="59" t="str">
        <f ca="1">IFERROR(INDEX(Labor_Categories[Minimum Direct Labor Rates],MATCH(Cost_Elements[[#This Row],[Government Labor Category]],Labor_Categories[Labor Categories],0)),"")</f>
        <v/>
      </c>
      <c r="I116" s="98">
        <f ca="1">'Indirect Rates and Fee'!D13</f>
        <v>0</v>
      </c>
      <c r="J116" s="99">
        <f ca="1">SUMIF($E$10:$E$112, $E116, K$10:K$112)+SUM(M116:M117)</f>
        <v>0</v>
      </c>
      <c r="K116" s="100">
        <f ca="1">IFERROR(IF(Cost_Elements[[#This Row],[Row]]&gt;='Do Not Use or Delete'!$L$2, IF(Cost_Elements[[#This Row],[Row]]&lt;='Do Not Use or Delete'!$M$2,I116*J116,0),0)+IF(Cost_Elements[[#This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6" s="89">
        <f ca="1">SUMIFS((K$6:K$112),G$6:G$112,"f",E6:E112,"K")</f>
        <v>0</v>
      </c>
      <c r="M116" s="89">
        <f ca="1">Cost_Elements[[#This Row],[Overhead on Fringe Calc. | 1]]*$I$120</f>
        <v>0</v>
      </c>
      <c r="N116" s="98">
        <f ca="1">'Indirect Rates and Fee'!E13</f>
        <v>0</v>
      </c>
      <c r="O116" s="99">
        <f ca="1">SUMIF($E$9:$E$112, $E116, P$9:P$112)+SUM(R116:R117)</f>
        <v>0</v>
      </c>
      <c r="P116" s="100">
        <f ca="1">IFERROR(IF(Cost_Elements[[#This Row],[Row]]&gt;='Do Not Use or Delete'!$L$2, IF(Cost_Elements[[#This Row],[Row]]&lt;='Do Not Use or Delete'!$M$2,N116*O116,0),0)+IF(Cost_Elements[[#This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6" s="89">
        <f ca="1">SUMIFS((P$6:P$112),G$6:G$112,"f",E6:E112,"K")</f>
        <v>0</v>
      </c>
      <c r="R116" s="89">
        <f ca="1">Cost_Elements[[#This Row],[Overhead on Fringe Calc. | 2]]*$I$120</f>
        <v>0</v>
      </c>
      <c r="S116" s="98">
        <f ca="1">'Indirect Rates and Fee'!F13</f>
        <v>0</v>
      </c>
      <c r="T116" s="99">
        <f ca="1">SUMIF($E$9:$E$112, $E116, U$9:U$112)+SUM(W116:W117)</f>
        <v>0</v>
      </c>
      <c r="U116" s="100">
        <f ca="1">IFERROR(IF(Cost_Elements[[#This Row],[Row]]&gt;='Do Not Use or Delete'!$L$2, IF(Cost_Elements[[#This Row],[Row]]&lt;='Do Not Use or Delete'!$M$2,S116*T116,0),0)+IF(Cost_Elements[[#This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6" s="89">
        <f ca="1">SUMIFS((U$6:U$112),G$6:G$112,"f",E6:E112,"K")</f>
        <v>0</v>
      </c>
      <c r="W116" s="89">
        <f ca="1">Cost_Elements[[#This Row],[Overhead on Fringe Calc. | 3]]*$I$120</f>
        <v>0</v>
      </c>
      <c r="X116" s="98">
        <f ca="1">'Indirect Rates and Fee'!G13</f>
        <v>0</v>
      </c>
      <c r="Y116" s="99">
        <f ca="1">SUMIF($E$9:$E$112, $E116, Z$9:Z$112)+SUM(AB116:AB117)</f>
        <v>0</v>
      </c>
      <c r="Z116" s="100">
        <f ca="1">IFERROR(IF(Cost_Elements[[#This Row],[Row]]&gt;='Do Not Use or Delete'!$L$2, IF(Cost_Elements[[#This Row],[Row]]&lt;='Do Not Use or Delete'!$M$2,X116*Y116,0),0)+IF(Cost_Elements[[#This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6" s="89">
        <f ca="1">SUMIFS((Z$6:Z$112),G$6:G$112,"f",E6:E112,"K")</f>
        <v>0</v>
      </c>
      <c r="AB116" s="89">
        <f ca="1">Cost_Elements[[#This Row],[Overhead on Fringe Calc. | 4]]*$I$120</f>
        <v>0</v>
      </c>
      <c r="AC116" s="98">
        <f ca="1">'Indirect Rates and Fee'!H13</f>
        <v>0</v>
      </c>
      <c r="AD116" s="99">
        <f ca="1">SUMIF($E$9:$E$112, $E116, AE$9:AE$112)+SUM(AG116:AG117)</f>
        <v>0</v>
      </c>
      <c r="AE116" s="100">
        <f ca="1">IFERROR(IF(Cost_Elements[[#This Row],[Row]]&gt;='Do Not Use or Delete'!$L$2, IF(Cost_Elements[[#This Row],[Row]]&lt;='Do Not Use or Delete'!$M$2,AC116*AD116,0),0)+IF(Cost_Elements[[#This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6" s="90">
        <f ca="1">SUMIFS((AE$6:AE$112),G$6:G$112,"f",E6:E112,"K")</f>
        <v>0</v>
      </c>
      <c r="AG116" s="91">
        <f ca="1">Cost_Elements[[#This Row],[Overhead on Fringe Calc. | 5]]*$I$120</f>
        <v>0</v>
      </c>
      <c r="AH116" s="98">
        <f ca="1">'Indirect Rates and Fee'!I13</f>
        <v>0</v>
      </c>
      <c r="AI116" s="99">
        <f ca="1">SUMIF($E$9:$E$112, $E116, AL$9:AL$112)+SUM(AN116:AN117)</f>
        <v>0</v>
      </c>
      <c r="AJ116" s="464"/>
      <c r="AK116" s="464"/>
      <c r="AL116" s="100">
        <f ca="1">IFERROR(IF(Cost_Elements[[#This Row],[Row]]&gt;='Do Not Use or Delete'!$L$2, IF(Cost_Elements[[#This Row],[Row]]&lt;='Do Not Use or Delete'!$M$2,AH116*AI116,0),0)+IF(Cost_Elements[[#This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6" s="90">
        <f ca="1">SUMIFS((AL$6:AL$112),G$6:G$112,"f",E6:E112,"K")</f>
        <v>0</v>
      </c>
      <c r="AN116" s="91">
        <f ca="1">Cost_Elements[[#This Row],[Overhead on Fringe Calc. | 6]]*$I$120</f>
        <v>0</v>
      </c>
      <c r="AO116" s="246"/>
      <c r="AP116" s="101">
        <f ca="1">K116+U116+AE116+P116+Z116+AL116</f>
        <v>0</v>
      </c>
      <c r="AQ116" s="68">
        <f ca="1">ROW(Cost_Elements[[#This Row],[Amount | Total]])</f>
        <v>116</v>
      </c>
    </row>
    <row r="117" spans="1:50">
      <c r="A117" s="247" t="s">
        <v>172</v>
      </c>
      <c r="B117" s="96" t="s">
        <v>173</v>
      </c>
      <c r="C117" s="69"/>
      <c r="D117" s="61"/>
      <c r="E117" s="97" t="s">
        <v>30</v>
      </c>
      <c r="F117" s="97"/>
      <c r="G117" s="61"/>
      <c r="H117" s="59" t="str">
        <f ca="1">IFERROR(INDEX(Labor_Categories[Minimum Direct Labor Rates],MATCH(Cost_Elements[[#This Row],[Government Labor Category]],Labor_Categories[Labor Categories],0)),"")</f>
        <v/>
      </c>
      <c r="I117" s="98">
        <f ca="1">'Indirect Rates and Fee'!D14</f>
        <v>0</v>
      </c>
      <c r="J117" s="99">
        <f ca="1">SUMIF($E$10:$E$112, $E117, K$10:K$112)+SUM(M120:M121)</f>
        <v>0</v>
      </c>
      <c r="K117" s="100">
        <f ca="1">IFERROR(IF(Cost_Elements[[#This Row],[Row]]&gt;='Do Not Use or Delete'!$L$2, IF(Cost_Elements[[#This Row],[Row]]&lt;='Do Not Use or Delete'!$M$2,I117*J117,0),0)+IF(Cost_Elements[[#This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7" s="89">
        <f ca="1">SUMIFS((K$6:K$112),G$6:G$112,"p",E6:E112,"K")</f>
        <v>0</v>
      </c>
      <c r="M117" s="89">
        <f ca="1">Cost_Elements[[#This Row],[Overhead on Fringe Calc. | 1]]*$I$121</f>
        <v>0</v>
      </c>
      <c r="N117" s="98">
        <f ca="1">'Indirect Rates and Fee'!E14</f>
        <v>0</v>
      </c>
      <c r="O117" s="99">
        <f ca="1">SUMIF($E$9:$E$112, $E117, P$9:P$112)+SUM(R120:R121)</f>
        <v>0</v>
      </c>
      <c r="P117" s="100">
        <f ca="1">IFERROR(IF(Cost_Elements[[#This Row],[Row]]&gt;='Do Not Use or Delete'!$L$2, IF(Cost_Elements[[#This Row],[Row]]&lt;='Do Not Use or Delete'!$M$2,N117*O117,0),0)+IF(Cost_Elements[[#This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7" s="89">
        <f ca="1">SUMIFS((P$6:P$112),G$6:G$112,"p",E6:E112,"K")</f>
        <v>0</v>
      </c>
      <c r="R117" s="89">
        <f ca="1">Cost_Elements[[#This Row],[Overhead on Fringe Calc. | 2]]*$I$121</f>
        <v>0</v>
      </c>
      <c r="S117" s="98">
        <f ca="1">'Indirect Rates and Fee'!F14</f>
        <v>0</v>
      </c>
      <c r="T117" s="99">
        <f ca="1">SUMIF($E$9:$E$112, $E117, U$9:U$112)+SUM(W120:W121)</f>
        <v>0</v>
      </c>
      <c r="U117" s="100">
        <f ca="1">IFERROR(IF(Cost_Elements[[#This Row],[Row]]&gt;='Do Not Use or Delete'!$L$2, IF(Cost_Elements[[#This Row],[Row]]&lt;='Do Not Use or Delete'!$M$2,S117*T117,0),0)+IF(Cost_Elements[[#This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7" s="89">
        <f ca="1">SUMIFS((U$6:U$112),G$6:G$112,"p",E6:E112,"K")</f>
        <v>0</v>
      </c>
      <c r="W117" s="89">
        <f ca="1">Cost_Elements[[#This Row],[Overhead on Fringe Calc. | 3]]*$I$121</f>
        <v>0</v>
      </c>
      <c r="X117" s="98">
        <f ca="1">'Indirect Rates and Fee'!G14</f>
        <v>0</v>
      </c>
      <c r="Y117" s="99">
        <f ca="1">SUMIF($E$9:$E$112, $E117, Z$9:Z$112)+SUM(AB120:AB121)</f>
        <v>0</v>
      </c>
      <c r="Z117" s="100">
        <f ca="1">IFERROR(IF(Cost_Elements[[#This Row],[Row]]&gt;='Do Not Use or Delete'!$L$2, IF(Cost_Elements[[#This Row],[Row]]&lt;='Do Not Use or Delete'!$M$2,X117*Y117,0),0)+IF(Cost_Elements[[#This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7" s="89">
        <f ca="1">SUMIFS((Z$6:Z$112),G$6:G$112,"p",E6:E112,"K")</f>
        <v>0</v>
      </c>
      <c r="AB117" s="89">
        <f ca="1">Cost_Elements[[#This Row],[Overhead on Fringe Calc. | 4]]*$I$121</f>
        <v>0</v>
      </c>
      <c r="AC117" s="98">
        <f ca="1">'Indirect Rates and Fee'!H14</f>
        <v>0</v>
      </c>
      <c r="AD117" s="99">
        <f ca="1">SUMIF($E$9:$E$112, $E117, AE$9:AE$112)+SUM(AG120:AG121)</f>
        <v>0</v>
      </c>
      <c r="AE117" s="100">
        <f ca="1">IFERROR(IF(Cost_Elements[[#This Row],[Row]]&gt;='Do Not Use or Delete'!$L$2, IF(Cost_Elements[[#This Row],[Row]]&lt;='Do Not Use or Delete'!$M$2,AC117*AD117,0),0)+IF(Cost_Elements[[#This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7" s="90">
        <f ca="1">SUMIFS((AE$6:AE$112),G$6:G$112,"p",E6:E112,"K")</f>
        <v>0</v>
      </c>
      <c r="AG117" s="91">
        <f ca="1">Cost_Elements[[#This Row],[Overhead on Fringe Calc. | 5]]*$I$121</f>
        <v>0</v>
      </c>
      <c r="AH117" s="98">
        <f ca="1">'Indirect Rates and Fee'!I14</f>
        <v>0</v>
      </c>
      <c r="AI117" s="99">
        <f ca="1">SUMIF($E$9:$E$112, $E117, AL$9:AL$112)+SUM(AN120:AN121)</f>
        <v>0</v>
      </c>
      <c r="AJ117" s="464"/>
      <c r="AK117" s="464"/>
      <c r="AL117" s="100">
        <f ca="1">IFERROR(IF(Cost_Elements[[#This Row],[Row]]&gt;='Do Not Use or Delete'!$L$2, IF(Cost_Elements[[#This Row],[Row]]&lt;='Do Not Use or Delete'!$M$2,AH117*AI117,0),0)+IF(Cost_Elements[[#This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7" s="90">
        <f ca="1">SUMIFS((AL$6:AL$112),G$6:G$112,"p",E6:E112,"K")</f>
        <v>0</v>
      </c>
      <c r="AN117" s="91">
        <f ca="1">Cost_Elements[[#This Row],[Overhead on Fringe Calc. | 6]]*$I$121</f>
        <v>0</v>
      </c>
      <c r="AO117" s="246"/>
      <c r="AP117" s="101">
        <f ca="1">K117+U117+AE117+P117+Z117+AL117</f>
        <v>0</v>
      </c>
      <c r="AQ117" s="68">
        <f ca="1">ROW(Cost_Elements[[#This Row],[Amount | Total]])</f>
        <v>117</v>
      </c>
    </row>
    <row r="118" spans="1:50">
      <c r="A118" s="247" t="s">
        <v>172</v>
      </c>
      <c r="B118" s="96" t="s">
        <v>174</v>
      </c>
      <c r="C118" s="69"/>
      <c r="D118" s="61"/>
      <c r="E118" s="97" t="s">
        <v>96</v>
      </c>
      <c r="F118" s="97"/>
      <c r="G118" s="61"/>
      <c r="H118" s="59" t="str">
        <f ca="1">IFERROR(INDEX(Labor_Categories[Minimum Direct Labor Rates],MATCH(Cost_Elements[[#This Row],[Government Labor Category]],Labor_Categories[Labor Categories],0)),"")</f>
        <v/>
      </c>
      <c r="I118" s="98">
        <f ca="1">'Indirect Rates and Fee'!D15</f>
        <v>0</v>
      </c>
      <c r="J118" s="99">
        <f ca="1">SUMIF($E$9:$E$112, $E118, K$9:K$112)+SUM(M124:M125)</f>
        <v>0</v>
      </c>
      <c r="K118" s="100">
        <f ca="1">IFERROR(IF(Cost_Elements[[#This Row],[Row]]&gt;='Do Not Use or Delete'!$L$2, IF(Cost_Elements[[#This Row],[Row]]&lt;='Do Not Use or Delete'!$M$2,I118*J118,0),0)+IF(Cost_Elements[[#This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8" s="248" t="s">
        <v>175</v>
      </c>
      <c r="M118" s="248" t="s">
        <v>171</v>
      </c>
      <c r="N118" s="98">
        <f ca="1">'Indirect Rates and Fee'!E15</f>
        <v>0</v>
      </c>
      <c r="O118" s="99">
        <f ca="1">SUMIF($E$9:$E$112, $E118, P$9:P$112)+SUM(R124:R125)</f>
        <v>0</v>
      </c>
      <c r="P118" s="100">
        <f ca="1">IFERROR(IF(Cost_Elements[[#This Row],[Row]]&gt;='Do Not Use or Delete'!$L$2, IF(Cost_Elements[[#This Row],[Row]]&lt;='Do Not Use or Delete'!$M$2,N118*O118,0),0)+IF(Cost_Elements[[#This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8" s="248" t="s">
        <v>175</v>
      </c>
      <c r="R118" s="248" t="s">
        <v>171</v>
      </c>
      <c r="S118" s="98">
        <f ca="1">'Indirect Rates and Fee'!F15</f>
        <v>0</v>
      </c>
      <c r="T118" s="99">
        <f ca="1">SUMIF($E$9:$E$112, $E118, U$9:U$112)+SUM(W124:W125)</f>
        <v>0</v>
      </c>
      <c r="U118" s="100">
        <f ca="1">IFERROR(IF(Cost_Elements[[#This Row],[Row]]&gt;='Do Not Use or Delete'!$L$2, IF(Cost_Elements[[#This Row],[Row]]&lt;='Do Not Use or Delete'!$M$2,S118*T118,0),0)+IF(Cost_Elements[[#This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8" s="248" t="s">
        <v>175</v>
      </c>
      <c r="W118" s="248" t="s">
        <v>171</v>
      </c>
      <c r="X118" s="98">
        <f ca="1">'Indirect Rates and Fee'!G15</f>
        <v>0</v>
      </c>
      <c r="Y118" s="99">
        <f ca="1">SUMIF($E$9:$E$112, $E118, Z$9:Z$112)+SUM(AB124:AB125)</f>
        <v>0</v>
      </c>
      <c r="Z118" s="100">
        <f ca="1">IFERROR(IF(Cost_Elements[[#This Row],[Row]]&gt;='Do Not Use or Delete'!$L$2, IF(Cost_Elements[[#This Row],[Row]]&lt;='Do Not Use or Delete'!$M$2,X118*Y118,0),0)+IF(Cost_Elements[[#This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8" s="248" t="s">
        <v>175</v>
      </c>
      <c r="AB118" s="248" t="s">
        <v>171</v>
      </c>
      <c r="AC118" s="98">
        <f ca="1">'Indirect Rates and Fee'!H15</f>
        <v>0</v>
      </c>
      <c r="AD118" s="99">
        <f ca="1">SUMIF($E$9:$E$112, $E118, AE$9:AE$112)+SUM(AG124:AG125)</f>
        <v>0</v>
      </c>
      <c r="AE118" s="100">
        <f ca="1">IFERROR(IF(Cost_Elements[[#This Row],[Row]]&gt;='Do Not Use or Delete'!$L$2, IF(Cost_Elements[[#This Row],[Row]]&lt;='Do Not Use or Delete'!$M$2,AC118*AD118,0),0)+IF(Cost_Elements[[#This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8" s="102" t="s">
        <v>175</v>
      </c>
      <c r="AG118" s="249" t="s">
        <v>171</v>
      </c>
      <c r="AH118" s="98">
        <f ca="1">'Indirect Rates and Fee'!I15</f>
        <v>0</v>
      </c>
      <c r="AI118" s="99">
        <f ca="1">SUMIF($E$9:$E$112, $E118, AL$9:AL$112)+SUM(AN124:AN125)</f>
        <v>0</v>
      </c>
      <c r="AJ118" s="464"/>
      <c r="AK118" s="464"/>
      <c r="AL118" s="100">
        <f ca="1">IFERROR(IF(Cost_Elements[[#This Row],[Row]]&gt;='Do Not Use or Delete'!$L$2, IF(Cost_Elements[[#This Row],[Row]]&lt;='Do Not Use or Delete'!$M$2,AH118*AI118,0),0)+IF(Cost_Elements[[#This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8" s="102" t="s">
        <v>175</v>
      </c>
      <c r="AN118" s="249" t="s">
        <v>171</v>
      </c>
      <c r="AO118" s="246"/>
      <c r="AP118" s="101">
        <f ca="1">K118+U118+AE118+P118+Z118+AL118</f>
        <v>0</v>
      </c>
      <c r="AQ118" s="68">
        <f ca="1">ROW(Cost_Elements[[#This Row],[Amount | Total]])</f>
        <v>118</v>
      </c>
    </row>
    <row r="119" spans="1:50">
      <c r="A119" s="250" t="s">
        <v>176</v>
      </c>
      <c r="B119" s="69"/>
      <c r="C119" s="69"/>
      <c r="D119" s="61"/>
      <c r="E119" s="61"/>
      <c r="F119" s="61"/>
      <c r="G119" s="61"/>
      <c r="H119" s="59" t="str">
        <f ca="1">IFERROR(INDEX(Labor_Categories[Minimum Direct Labor Rates],MATCH(Cost_Elements[[#This Row],[Government Labor Category]],Labor_Categories[Labor Categories],0)),"")</f>
        <v/>
      </c>
      <c r="I119" s="214"/>
      <c r="J119" s="103"/>
      <c r="K119" s="100">
        <f ca="1">IFERROR(IF(Cost_Elements[[#This Row],[Row]]&gt;='Do Not Use or Delete'!$L$2, IF(Cost_Elements[[#This Row],[Row]]&lt;='Do Not Use or Delete'!$M$2,I119*J119,0),0)+IF(Cost_Elements[[#This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9" s="248"/>
      <c r="M119" s="248"/>
      <c r="N119" s="214"/>
      <c r="O119" s="103"/>
      <c r="P119" s="100">
        <f ca="1">IFERROR(IF(Cost_Elements[[#This Row],[Row]]&gt;='Do Not Use or Delete'!$L$2, IF(Cost_Elements[[#This Row],[Row]]&lt;='Do Not Use or Delete'!$M$2,N119*O119,0),0)+IF(Cost_Elements[[#This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9" s="248"/>
      <c r="R119" s="248"/>
      <c r="S119" s="214"/>
      <c r="T119" s="103"/>
      <c r="U119" s="100">
        <f ca="1">IFERROR(IF(Cost_Elements[[#This Row],[Row]]&gt;='Do Not Use or Delete'!$L$2, IF(Cost_Elements[[#This Row],[Row]]&lt;='Do Not Use or Delete'!$M$2,S119*T119,0),0)+IF(Cost_Elements[[#This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9" s="248"/>
      <c r="W119" s="248"/>
      <c r="X119" s="214"/>
      <c r="Y119" s="103"/>
      <c r="Z119" s="100"/>
      <c r="AA119" s="248"/>
      <c r="AB119" s="248"/>
      <c r="AC119" s="214"/>
      <c r="AD119" s="103"/>
      <c r="AE119" s="100">
        <f ca="1">IFERROR(IF(Cost_Elements[[#This Row],[Row]]&gt;='Do Not Use or Delete'!$L$2, IF(Cost_Elements[[#This Row],[Row]]&lt;='Do Not Use or Delete'!$M$2,AC119*AD119,0),0)+IF(Cost_Elements[[#This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9" s="102"/>
      <c r="AG119" s="249"/>
      <c r="AH119" s="214"/>
      <c r="AI119" s="103"/>
      <c r="AJ119" s="465"/>
      <c r="AK119" s="465"/>
      <c r="AL119" s="100">
        <f ca="1">IFERROR(IF(Cost_Elements[[#This Row],[Row]]&gt;='Do Not Use or Delete'!$L$2, IF(Cost_Elements[[#This Row],[Row]]&lt;='Do Not Use or Delete'!$M$2,AH119*AI119,0),0)+IF(Cost_Elements[[#This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9" s="102"/>
      <c r="AN119" s="249"/>
      <c r="AO119" s="246"/>
      <c r="AP119" s="104">
        <f ca="1">SUM(AE119,Z119,U119,P119,K119,AL119)</f>
        <v>0</v>
      </c>
      <c r="AQ119" s="68">
        <f ca="1">ROW(Cost_Elements[[#This Row],[Amount | Total]])</f>
        <v>119</v>
      </c>
    </row>
    <row r="120" spans="1:50">
      <c r="A120" s="247" t="s">
        <v>177</v>
      </c>
      <c r="B120" s="96" t="s">
        <v>178</v>
      </c>
      <c r="C120" s="69"/>
      <c r="D120" s="61"/>
      <c r="E120" s="61"/>
      <c r="F120" s="61"/>
      <c r="G120" s="97" t="s">
        <v>28</v>
      </c>
      <c r="H120" s="59" t="str">
        <f ca="1">IFERROR(INDEX(Labor_Categories[Minimum Direct Labor Rates],MATCH(Cost_Elements[[#This Row],[Government Labor Category]],Labor_Categories[Labor Categories],0)),"")</f>
        <v/>
      </c>
      <c r="I120" s="98">
        <f ca="1">'Indirect Rates and Fee'!D9</f>
        <v>0</v>
      </c>
      <c r="J120" s="99">
        <f ca="1">SUMIF($G$10:$G$112,$G120, K$10:K$112)</f>
        <v>0</v>
      </c>
      <c r="K120" s="100">
        <f ca="1">IFERROR(IF(Cost_Elements[[#This Row],[Row]]&gt;='Do Not Use or Delete'!$L$2, IF(Cost_Elements[[#This Row],[Row]]&lt;='Do Not Use or Delete'!$M$2,I120*J120,0),0)+IF(Cost_Elements[[#This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0" s="89">
        <f ca="1">SUMIFS((K$6:K$112),G$6:G$112,"f",E6:E112,"G")</f>
        <v>0</v>
      </c>
      <c r="M120" s="89">
        <f ca="1">Cost_Elements[[#This Row],[Overhead on Fringe Calc. | 1]]*$I$120</f>
        <v>0</v>
      </c>
      <c r="N120" s="98">
        <f ca="1">'Indirect Rates and Fee'!E9</f>
        <v>0</v>
      </c>
      <c r="O120" s="99">
        <f ca="1">SUMIF($G$10:$G$112,$G120, P$10:P$112)</f>
        <v>0</v>
      </c>
      <c r="P120" s="100">
        <f ca="1">IFERROR(IF(Cost_Elements[[#This Row],[Row]]&gt;='Do Not Use or Delete'!$L$2, IF(Cost_Elements[[#This Row],[Row]]&lt;='Do Not Use or Delete'!$M$2,N120*O120,0),0)+IF(Cost_Elements[[#This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0" s="89">
        <f ca="1">SUMIFS((P$6:P$112),G$6:G$112,"f",E6:E112,"G")</f>
        <v>0</v>
      </c>
      <c r="R120" s="89">
        <f ca="1">Cost_Elements[[#This Row],[Overhead on Fringe Calc. | 2]]*$I$120</f>
        <v>0</v>
      </c>
      <c r="S120" s="98">
        <f ca="1">'Indirect Rates and Fee'!F9</f>
        <v>0</v>
      </c>
      <c r="T120" s="99">
        <f ca="1">SUMIF($G$10:$G$112,$G120, U$10:U$112)</f>
        <v>0</v>
      </c>
      <c r="U120" s="100">
        <f ca="1">IFERROR(IF(Cost_Elements[[#This Row],[Row]]&gt;='Do Not Use or Delete'!$L$2, IF(Cost_Elements[[#This Row],[Row]]&lt;='Do Not Use or Delete'!$M$2,S120*T120,0),0)+IF(Cost_Elements[[#This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0" s="89">
        <f ca="1">SUMIFS((U$6:U$112),G$6:G$112,"f",E6:E112,"G")</f>
        <v>0</v>
      </c>
      <c r="W120" s="89">
        <f ca="1">Cost_Elements[[#This Row],[Overhead on Fringe Calc. | 3]]*$I$120</f>
        <v>0</v>
      </c>
      <c r="X120" s="98">
        <f ca="1">'Indirect Rates and Fee'!G9</f>
        <v>0</v>
      </c>
      <c r="Y120" s="99">
        <f ca="1">SUMIF($G$10:$G$112,$G120, Z$10:Z$112)</f>
        <v>0</v>
      </c>
      <c r="Z120" s="100">
        <f ca="1">IFERROR(IF(Cost_Elements[[#This Row],[Row]]&gt;='Do Not Use or Delete'!$L$2, IF(Cost_Elements[[#This Row],[Row]]&lt;='Do Not Use or Delete'!$M$2,X120*Y120,0),0)+IF(Cost_Elements[[#This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0" s="89">
        <f ca="1">SUMIFS((Z$6:Z$112),G$6:G$112,"f",E6:E112,"G")</f>
        <v>0</v>
      </c>
      <c r="AB120" s="89">
        <f ca="1">Cost_Elements[[#This Row],[Overhead on Fringe Calc. | 4]]*$I$120</f>
        <v>0</v>
      </c>
      <c r="AC120" s="98">
        <f ca="1">'Indirect Rates and Fee'!H9</f>
        <v>0</v>
      </c>
      <c r="AD120" s="99">
        <f ca="1">SUMIF($G$10:$G$112,$G120, AE$10:AE$112)</f>
        <v>0</v>
      </c>
      <c r="AE120" s="100">
        <f ca="1">IFERROR(IF(Cost_Elements[[#This Row],[Row]]&gt;='Do Not Use or Delete'!$L$2, IF(Cost_Elements[[#This Row],[Row]]&lt;='Do Not Use or Delete'!$M$2,AC120*AD120,0),0)+IF(Cost_Elements[[#This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0" s="90">
        <f ca="1">SUMIFS((AE$6:AE$112),G$6:G$112,"f",E6:E112,"G")</f>
        <v>0</v>
      </c>
      <c r="AG120" s="91">
        <f ca="1">Cost_Elements[[#This Row],[Overhead on Fringe Calc. | 5]]*$I$120</f>
        <v>0</v>
      </c>
      <c r="AH120" s="98">
        <f ca="1">'Indirect Rates and Fee'!I9</f>
        <v>0</v>
      </c>
      <c r="AI120" s="99">
        <f ca="1">SUMIF($G$10:$G$112,$G120, AL$10:AL$112)</f>
        <v>0</v>
      </c>
      <c r="AJ120" s="464"/>
      <c r="AK120" s="464"/>
      <c r="AL120" s="100">
        <f ca="1">IFERROR(IF(Cost_Elements[[#This Row],[Row]]&gt;='Do Not Use or Delete'!$L$2, IF(Cost_Elements[[#This Row],[Row]]&lt;='Do Not Use or Delete'!$M$2,AH120*AI120,0),0)+IF(Cost_Elements[[#This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0" s="90">
        <f ca="1">SUMIFS((AL$6:AL$112),G$6:G$112,"f",E6:E112,"G")</f>
        <v>0</v>
      </c>
      <c r="AN120" s="91">
        <f ca="1">Cost_Elements[[#This Row],[Overhead on Fringe Calc. | 6]]*$I$120</f>
        <v>0</v>
      </c>
      <c r="AO120" s="246"/>
      <c r="AP120" s="101">
        <f ca="1">K120+U120+AE120+P120+Z120+AL120</f>
        <v>0</v>
      </c>
      <c r="AQ120" s="68">
        <f ca="1">ROW(Cost_Elements[[#This Row],[Amount | Total]])</f>
        <v>120</v>
      </c>
    </row>
    <row r="121" spans="1:50">
      <c r="A121" s="247" t="s">
        <v>177</v>
      </c>
      <c r="B121" s="96" t="s">
        <v>179</v>
      </c>
      <c r="C121" s="69"/>
      <c r="D121" s="61"/>
      <c r="E121" s="61"/>
      <c r="F121" s="61"/>
      <c r="G121" s="97" t="s">
        <v>90</v>
      </c>
      <c r="H121" s="59" t="str">
        <f ca="1">IFERROR(INDEX(Labor_Categories[Minimum Direct Labor Rates],MATCH(Cost_Elements[[#This Row],[Government Labor Category]],Labor_Categories[Labor Categories],0)),"")</f>
        <v/>
      </c>
      <c r="I121" s="98">
        <f ca="1">'Indirect Rates and Fee'!D10</f>
        <v>0</v>
      </c>
      <c r="J121" s="99">
        <f ca="1">SUMIF($G$10:$G$112,$G121, K$10:K$112)</f>
        <v>0</v>
      </c>
      <c r="K121" s="100">
        <f ca="1">IFERROR(IF(Cost_Elements[[#This Row],[Row]]&gt;='Do Not Use or Delete'!$L$2, IF(Cost_Elements[[#This Row],[Row]]&lt;='Do Not Use or Delete'!$M$2,I121*J121,0),0)+IF(Cost_Elements[[#This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1" s="89">
        <f ca="1">SUMIFS((K$6:K$112),G$6:G$112,"p",E6:E112,"G")</f>
        <v>0</v>
      </c>
      <c r="M121" s="89">
        <f ca="1">Cost_Elements[[#This Row],[Overhead on Fringe Calc. | 1]]*$I$121</f>
        <v>0</v>
      </c>
      <c r="N121" s="98">
        <f ca="1">'Indirect Rates and Fee'!E10</f>
        <v>0</v>
      </c>
      <c r="O121" s="99">
        <f ca="1">SUMIF($G$10:$G$112,$G121, P$10:P$112)</f>
        <v>0</v>
      </c>
      <c r="P121" s="100">
        <f ca="1">IFERROR(IF(Cost_Elements[[#This Row],[Row]]&gt;='Do Not Use or Delete'!$L$2, IF(Cost_Elements[[#This Row],[Row]]&lt;='Do Not Use or Delete'!$M$2,N121*O121,0),0)+IF(Cost_Elements[[#This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1" s="89">
        <f ca="1">SUMIFS((P$6:P$112),G$6:G$112,"p",E6:E112,"G")</f>
        <v>0</v>
      </c>
      <c r="R121" s="89">
        <f ca="1">Cost_Elements[[#This Row],[Overhead on Fringe Calc. | 2]]*$I$121</f>
        <v>0</v>
      </c>
      <c r="S121" s="98">
        <f ca="1">'Indirect Rates and Fee'!F10</f>
        <v>0</v>
      </c>
      <c r="T121" s="99">
        <f ca="1">SUMIF($G$10:$G$112,$G121, U$10:U$112)</f>
        <v>0</v>
      </c>
      <c r="U121" s="100">
        <f ca="1">IFERROR(IF(Cost_Elements[[#This Row],[Row]]&gt;='Do Not Use or Delete'!$L$2, IF(Cost_Elements[[#This Row],[Row]]&lt;='Do Not Use or Delete'!$M$2,S121*T121,0),0)+IF(Cost_Elements[[#This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1" s="89">
        <f ca="1">SUMIFS((U$6:U$112),G$6:G$112,"p",E6:E112,"G")</f>
        <v>0</v>
      </c>
      <c r="W121" s="89">
        <f ca="1">Cost_Elements[[#This Row],[Overhead on Fringe Calc. | 3]]*$I$121</f>
        <v>0</v>
      </c>
      <c r="X121" s="98">
        <f ca="1">'Indirect Rates and Fee'!G10</f>
        <v>0</v>
      </c>
      <c r="Y121" s="99">
        <f ca="1">SUMIF($G$10:$G$112,$G121, Z$10:Z$112)</f>
        <v>0</v>
      </c>
      <c r="Z121" s="100">
        <f ca="1">IFERROR(IF(Cost_Elements[[#This Row],[Row]]&gt;='Do Not Use or Delete'!$L$2, IF(Cost_Elements[[#This Row],[Row]]&lt;='Do Not Use or Delete'!$M$2,X121*Y121,0),0)+IF(Cost_Elements[[#This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1" s="89">
        <f ca="1">SUMIFS((Z$6:Z$112),G$6:G$112,"p",E6:E112,"G")</f>
        <v>0</v>
      </c>
      <c r="AB121" s="89">
        <f ca="1">Cost_Elements[[#This Row],[Overhead on Fringe Calc. | 4]]*$I$121</f>
        <v>0</v>
      </c>
      <c r="AC121" s="98">
        <f ca="1">'Indirect Rates and Fee'!H10</f>
        <v>0</v>
      </c>
      <c r="AD121" s="99">
        <f ca="1">SUMIF($G$10:$G$112,$G121, AE$10:AE$112)</f>
        <v>0</v>
      </c>
      <c r="AE121" s="100">
        <f ca="1">IFERROR(IF(Cost_Elements[[#This Row],[Row]]&gt;='Do Not Use or Delete'!$L$2, IF(Cost_Elements[[#This Row],[Row]]&lt;='Do Not Use or Delete'!$M$2,AC121*AD121,0),0)+IF(Cost_Elements[[#This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1" s="90">
        <f ca="1">SUMIFS((AE$6:AE$112),G$6:G$112,"p",E6:E112,"G")</f>
        <v>0</v>
      </c>
      <c r="AG121" s="91">
        <f ca="1">Cost_Elements[[#This Row],[Overhead on Fringe Calc. | 5]]*$I$121</f>
        <v>0</v>
      </c>
      <c r="AH121" s="98">
        <f ca="1">'Indirect Rates and Fee'!I10</f>
        <v>0</v>
      </c>
      <c r="AI121" s="99">
        <f ca="1">SUMIF($G$10:$G$112,$G121, AL$10:AL$112)</f>
        <v>0</v>
      </c>
      <c r="AJ121" s="464"/>
      <c r="AK121" s="464"/>
      <c r="AL121" s="100">
        <f ca="1">IFERROR(IF(Cost_Elements[[#This Row],[Row]]&gt;='Do Not Use or Delete'!$L$2, IF(Cost_Elements[[#This Row],[Row]]&lt;='Do Not Use or Delete'!$M$2,AH121*AI121,0),0)+IF(Cost_Elements[[#This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1" s="90">
        <f ca="1">SUMIFS((AL$6:AL$112),G$6:G$112,"p",E6:E112,"G")</f>
        <v>0</v>
      </c>
      <c r="AN121" s="91">
        <f ca="1">Cost_Elements[[#This Row],[Overhead on Fringe Calc. | 6]]*$I$121</f>
        <v>0</v>
      </c>
      <c r="AO121" s="246"/>
      <c r="AP121" s="101">
        <f ca="1">K121+U121+AE121+P121+Z121+AL121</f>
        <v>0</v>
      </c>
      <c r="AQ121" s="68">
        <f ca="1">ROW(Cost_Elements[[#This Row],[Amount | Total]])</f>
        <v>121</v>
      </c>
    </row>
    <row r="122" spans="1:50">
      <c r="A122" s="250" t="s">
        <v>180</v>
      </c>
      <c r="B122" s="69"/>
      <c r="C122" s="69"/>
      <c r="D122" s="61"/>
      <c r="E122" s="61"/>
      <c r="F122" s="61"/>
      <c r="G122" s="61"/>
      <c r="H122" s="59" t="str">
        <f ca="1">IFERROR(INDEX(Labor_Categories[Minimum Direct Labor Rates],MATCH(Cost_Elements[[#This Row],[Government Labor Category]],Labor_Categories[Labor Categories],0)),"")</f>
        <v/>
      </c>
      <c r="I122" s="214"/>
      <c r="J122" s="103"/>
      <c r="K122" s="100">
        <f ca="1">IFERROR(IF(Cost_Elements[[#This Row],[Row]]&gt;='Do Not Use or Delete'!$L$2, IF(Cost_Elements[[#This Row],[Row]]&lt;='Do Not Use or Delete'!$M$2,I122*J122,0),0)+IF(Cost_Elements[[#This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2" s="248"/>
      <c r="M122" s="248"/>
      <c r="N122" s="214"/>
      <c r="O122" s="103"/>
      <c r="P122" s="100">
        <f ca="1">IFERROR(IF(Cost_Elements[[#This Row],[Row]]&gt;='Do Not Use or Delete'!$L$2, IF(Cost_Elements[[#This Row],[Row]]&lt;='Do Not Use or Delete'!$M$2,N122*O122,0),0)+IF(Cost_Elements[[#This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2" s="248"/>
      <c r="R122" s="248"/>
      <c r="S122" s="214"/>
      <c r="T122" s="103"/>
      <c r="U122" s="100">
        <f ca="1">IFERROR(IF(Cost_Elements[[#This Row],[Row]]&gt;='Do Not Use or Delete'!$L$2, IF(Cost_Elements[[#This Row],[Row]]&lt;='Do Not Use or Delete'!$M$2,S122*T122,0),0)+IF(Cost_Elements[[#This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2" s="248"/>
      <c r="W122" s="248"/>
      <c r="X122" s="214"/>
      <c r="Y122" s="103"/>
      <c r="Z122" s="100">
        <f ca="1">IFERROR(IF(Cost_Elements[[#This Row],[Row]]&gt;='Do Not Use or Delete'!$L$2, IF(Cost_Elements[[#This Row],[Row]]&lt;='Do Not Use or Delete'!$M$2,X122*Y122,0),0)+IF(Cost_Elements[[#This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2" s="248"/>
      <c r="AB122" s="248"/>
      <c r="AC122" s="214"/>
      <c r="AD122" s="103"/>
      <c r="AE122" s="100">
        <f ca="1">IFERROR(IF(Cost_Elements[[#This Row],[Row]]&gt;='Do Not Use or Delete'!$L$2, IF(Cost_Elements[[#This Row],[Row]]&lt;='Do Not Use or Delete'!$M$2,AC122*AD122,0),0)+IF(Cost_Elements[[#This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2" s="102"/>
      <c r="AG122" s="249"/>
      <c r="AH122" s="214"/>
      <c r="AI122" s="103"/>
      <c r="AJ122" s="465"/>
      <c r="AK122" s="465"/>
      <c r="AL122" s="100">
        <f ca="1">IFERROR(IF(Cost_Elements[[#This Row],[Row]]&gt;='Do Not Use or Delete'!$L$2, IF(Cost_Elements[[#This Row],[Row]]&lt;='Do Not Use or Delete'!$M$2,AH122*AI122,0),0)+IF(Cost_Elements[[#This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2" s="102"/>
      <c r="AN122" s="249"/>
      <c r="AO122" s="246"/>
      <c r="AP122" s="104">
        <f ca="1">SUM(AE122,Z122,U122,P122,K122,AL122)</f>
        <v>0</v>
      </c>
      <c r="AQ122" s="68">
        <f ca="1">ROW(Cost_Elements[[#This Row],[Amount | Total]])</f>
        <v>122</v>
      </c>
    </row>
    <row r="123" spans="1:50">
      <c r="A123" s="239" t="s">
        <v>181</v>
      </c>
      <c r="B123" s="69"/>
      <c r="C123" s="69"/>
      <c r="D123" s="61"/>
      <c r="E123" s="61"/>
      <c r="F123" s="61"/>
      <c r="G123" s="61"/>
      <c r="H123" s="59" t="str">
        <f ca="1">IFERROR(INDEX(Labor_Categories[Minimum Direct Labor Rates],MATCH(Cost_Elements[[#This Row],[Government Labor Category]],Labor_Categories[Labor Categories],0)),"")</f>
        <v/>
      </c>
      <c r="I123" s="11"/>
      <c r="J123" s="69"/>
      <c r="K123" s="100">
        <f ca="1">IFERROR(IF(Cost_Elements[[#This Row],[Row]]&gt;='Do Not Use or Delete'!$L$2, IF(Cost_Elements[[#This Row],[Row]]&lt;='Do Not Use or Delete'!$M$2,I123*J123,0),0)+IF(Cost_Elements[[#This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3" s="248" t="s">
        <v>182</v>
      </c>
      <c r="M123" s="248" t="s">
        <v>171</v>
      </c>
      <c r="N123" s="11"/>
      <c r="O123" s="69"/>
      <c r="P123" s="100">
        <f ca="1">IFERROR(IF(Cost_Elements[[#This Row],[Row]]&gt;='Do Not Use or Delete'!$L$2, IF(Cost_Elements[[#This Row],[Row]]&lt;='Do Not Use or Delete'!$M$2,N123*O123,0),0)+IF(Cost_Elements[[#This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3" s="248" t="s">
        <v>182</v>
      </c>
      <c r="R123" s="248" t="s">
        <v>171</v>
      </c>
      <c r="S123" s="11"/>
      <c r="T123" s="69"/>
      <c r="U123" s="100">
        <f ca="1">IFERROR(IF(Cost_Elements[[#This Row],[Row]]&gt;='Do Not Use or Delete'!$L$2, IF(Cost_Elements[[#This Row],[Row]]&lt;='Do Not Use or Delete'!$M$2,S123*T123,0),0)+IF(Cost_Elements[[#This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3" s="248" t="s">
        <v>182</v>
      </c>
      <c r="W123" s="248" t="s">
        <v>171</v>
      </c>
      <c r="X123" s="11"/>
      <c r="Y123" s="69"/>
      <c r="Z123" s="100">
        <f ca="1">IFERROR(IF(Cost_Elements[[#This Row],[Row]]&gt;='Do Not Use or Delete'!$L$2, IF(Cost_Elements[[#This Row],[Row]]&lt;='Do Not Use or Delete'!$M$2,X123*Y123,0),0)+IF(Cost_Elements[[#This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3" s="248" t="s">
        <v>182</v>
      </c>
      <c r="AB123" s="248" t="s">
        <v>171</v>
      </c>
      <c r="AC123" s="11"/>
      <c r="AD123" s="69"/>
      <c r="AE123" s="100">
        <f ca="1">IFERROR(IF(Cost_Elements[[#This Row],[Row]]&gt;='Do Not Use or Delete'!$L$2, IF(Cost_Elements[[#This Row],[Row]]&lt;='Do Not Use or Delete'!$M$2,AC123*AD123,0),0)+IF(Cost_Elements[[#This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3" s="102" t="s">
        <v>182</v>
      </c>
      <c r="AG123" s="249" t="s">
        <v>171</v>
      </c>
      <c r="AH123" s="11"/>
      <c r="AI123" s="69"/>
      <c r="AJ123" s="172"/>
      <c r="AK123" s="172"/>
      <c r="AL123" s="100">
        <f ca="1">IFERROR(IF(Cost_Elements[[#This Row],[Row]]&gt;='Do Not Use or Delete'!$L$2, IF(Cost_Elements[[#This Row],[Row]]&lt;='Do Not Use or Delete'!$M$2,AH123*AI123,0),0)+IF(Cost_Elements[[#This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3" s="102" t="s">
        <v>182</v>
      </c>
      <c r="AN123" s="249" t="s">
        <v>171</v>
      </c>
      <c r="AO123" s="246"/>
      <c r="AP123" s="104">
        <f ca="1">K123+U123+AE123+P123+Z123+AL123</f>
        <v>0</v>
      </c>
      <c r="AQ123" s="68">
        <f ca="1">ROW(Cost_Elements[[#This Row],[Amount | Total]])</f>
        <v>123</v>
      </c>
    </row>
    <row r="124" spans="1:50">
      <c r="A124" s="239"/>
      <c r="B124" s="69"/>
      <c r="C124" s="69"/>
      <c r="D124" s="61"/>
      <c r="E124" s="61"/>
      <c r="F124" s="61"/>
      <c r="G124" s="61"/>
      <c r="H124" s="59" t="str">
        <f ca="1">IFERROR(INDEX(Labor_Categories[Minimum Direct Labor Rates],MATCH(Cost_Elements[[#This Row],[Government Labor Category]],Labor_Categories[Labor Categories],0)),"")</f>
        <v/>
      </c>
      <c r="I124" s="11"/>
      <c r="J124" s="69"/>
      <c r="K124" s="88"/>
      <c r="L124" s="89">
        <f ca="1">SUMIFS((K$6:K$112),G$6:G$112,"f",E6:E112,"T")</f>
        <v>0</v>
      </c>
      <c r="M124" s="89">
        <f ca="1">Cost_Elements[[#This Row],[Overhead on Fringe Calc. | 1]]*$I$120</f>
        <v>0</v>
      </c>
      <c r="N124" s="11"/>
      <c r="O124" s="69"/>
      <c r="P124" s="88"/>
      <c r="Q124" s="89">
        <f ca="1">SUMIFS((P$6:P$112),G$6:G$112,"f",E6:E112,"T")</f>
        <v>0</v>
      </c>
      <c r="R124" s="89">
        <f ca="1">Cost_Elements[[#This Row],[Overhead on Fringe Calc. | 2]]*$I$120</f>
        <v>0</v>
      </c>
      <c r="S124" s="11"/>
      <c r="T124" s="69"/>
      <c r="U124" s="88"/>
      <c r="V124" s="89">
        <f ca="1">SUMIFS((U$6:U$112),G$6:G$112,"f",E6:E112,"T")</f>
        <v>0</v>
      </c>
      <c r="W124" s="89">
        <f ca="1">Cost_Elements[[#This Row],[Overhead on Fringe Calc. | 3]]*$I$120</f>
        <v>0</v>
      </c>
      <c r="X124" s="11"/>
      <c r="Y124" s="69"/>
      <c r="Z124" s="88"/>
      <c r="AA124" s="89">
        <f ca="1">SUMIFS((Z$6:Z$112),G$6:G$112,"f",E6:E112,"T")</f>
        <v>0</v>
      </c>
      <c r="AB124" s="89">
        <f ca="1">Cost_Elements[[#This Row],[Overhead on Fringe Calc. | 4]]*$I$120</f>
        <v>0</v>
      </c>
      <c r="AC124" s="11"/>
      <c r="AD124" s="69"/>
      <c r="AE124" s="88"/>
      <c r="AF124" s="90">
        <f ca="1">SUMIFS((AE$6:AE$112),G$6:G$112,"f",E6:E112,"T")</f>
        <v>0</v>
      </c>
      <c r="AG124" s="91">
        <f ca="1">Cost_Elements[[#This Row],[Overhead on Fringe Calc. | 5]]*$I$120</f>
        <v>0</v>
      </c>
      <c r="AH124" s="11"/>
      <c r="AI124" s="69"/>
      <c r="AJ124" s="172"/>
      <c r="AK124" s="172"/>
      <c r="AL124" s="88"/>
      <c r="AM124" s="90">
        <f ca="1">SUMIFS((AL$6:AL$112),G$6:G$112,"f",E6:E112,"T")</f>
        <v>0</v>
      </c>
      <c r="AN124" s="91">
        <f ca="1">Cost_Elements[[#This Row],[Overhead on Fringe Calc. | 6]]*$I$120</f>
        <v>0</v>
      </c>
      <c r="AO124" s="245"/>
      <c r="AP124" s="105"/>
      <c r="AQ124" s="68">
        <f ca="1">ROW(Cost_Elements[[#This Row],[Amount | Total]])</f>
        <v>124</v>
      </c>
    </row>
    <row r="125" spans="1:50">
      <c r="A125" s="239" t="s">
        <v>183</v>
      </c>
      <c r="B125" s="69" t="s">
        <v>184</v>
      </c>
      <c r="C125" s="69"/>
      <c r="D125" s="61"/>
      <c r="E125" s="61"/>
      <c r="F125" s="61"/>
      <c r="G125" s="61"/>
      <c r="H125" s="59" t="str">
        <f ca="1">IFERROR(INDEX(Labor_Categories[Minimum Direct Labor Rates],MATCH(Cost_Elements[[#This Row],[Government Labor Category]],Labor_Categories[Labor Categories],0)),"")</f>
        <v/>
      </c>
      <c r="I125" s="106"/>
      <c r="J125" s="107">
        <f ca="1">SUMIF($B$9:$B$74, "*Overtime*", $J9:$J74)</f>
        <v>0</v>
      </c>
      <c r="K125" s="251">
        <f ca="1">SUMIF(B$9:B$112,"*Overtime*", K$9:K$112)</f>
        <v>0</v>
      </c>
      <c r="L125" s="89">
        <f ca="1">SUMIFS((K$6:K$112),G$6:G$112,"p",E6:E112,"T")</f>
        <v>0</v>
      </c>
      <c r="M125" s="89">
        <f ca="1">Cost_Elements[[#This Row],[Overhead on Fringe Calc. | 1]]*$I$121</f>
        <v>0</v>
      </c>
      <c r="N125" s="106"/>
      <c r="O125" s="107">
        <f ca="1">SUMIF($B$9:$B$74, "*Overtime*", $J9:$J74)</f>
        <v>0</v>
      </c>
      <c r="P125" s="251"/>
      <c r="Q125" s="89">
        <f ca="1">SUMIFS((P$6:P$112),G$6:G$112,"p",E6:E112,"T")</f>
        <v>0</v>
      </c>
      <c r="R125" s="89">
        <f ca="1">Cost_Elements[[#This Row],[Overhead on Fringe Calc. | 2]]*$I$121</f>
        <v>0</v>
      </c>
      <c r="S125" s="106"/>
      <c r="T125" s="107">
        <f ca="1">SUMIF($B$9:$B$74, "*Overtime*", $J9:$J74)</f>
        <v>0</v>
      </c>
      <c r="U125" s="251">
        <f ca="1">IFERROR(IF(Cost_Elements[[#This Row],[Row]]&gt;='Do Not Use or Delete'!$L$2, IF(Cost_Elements[[#This Row],[Row]]&lt;='Do Not Use or Delete'!$M$2,S125*T125,0),0)+IF(Cost_Elements[[#This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5" s="89">
        <f ca="1">SUMIFS((U$6:U$112),G$6:G$112,"p",E6:E112,"T")</f>
        <v>0</v>
      </c>
      <c r="W125" s="89">
        <f ca="1">Cost_Elements[[#This Row],[Overhead on Fringe Calc. | 3]]*$I$121</f>
        <v>0</v>
      </c>
      <c r="X125" s="106"/>
      <c r="Y125" s="107">
        <f ca="1">SUMIF($B$9:$B$74, "*Overtime*", $J9:$J74)</f>
        <v>0</v>
      </c>
      <c r="Z125" s="251">
        <f ca="1">IFERROR(IF(Cost_Elements[[#This Row],[Row]]&gt;='Do Not Use or Delete'!$L$2, IF(Cost_Elements[[#This Row],[Row]]&lt;='Do Not Use or Delete'!$M$2,X125*Y125,0),0)+IF(Cost_Elements[[#This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5" s="89">
        <f ca="1">SUMIFS((Z$6:Z$112),G$6:G$112,"p",E6:E112,"T")</f>
        <v>0</v>
      </c>
      <c r="AB125" s="89">
        <f ca="1">Cost_Elements[[#This Row],[Overhead on Fringe Calc. | 4]]*$I$121</f>
        <v>0</v>
      </c>
      <c r="AC125" s="106"/>
      <c r="AD125" s="107">
        <f ca="1">SUMIF($B$9:$B$74, "*Overtime*", $J9:$J74)</f>
        <v>0</v>
      </c>
      <c r="AE125" s="251">
        <f ca="1">IFERROR(IF(Cost_Elements[[#This Row],[Row]]&gt;='Do Not Use or Delete'!$L$2, IF(Cost_Elements[[#This Row],[Row]]&lt;='Do Not Use or Delete'!$M$2,AC125*AD125,0),0)+IF(Cost_Elements[[#This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5" s="90">
        <f ca="1">SUMIFS((AE$6:AE$112),G$6:G$112,"p",E6:E112,"T")</f>
        <v>0</v>
      </c>
      <c r="AG125" s="91">
        <f ca="1">Cost_Elements[[#This Row],[Overhead on Fringe Calc. | 5]]*$I$121</f>
        <v>0</v>
      </c>
      <c r="AH125" s="106"/>
      <c r="AI125" s="107">
        <f ca="1">SUMIF($B$9:$B$74, "*Overtime*", $J9:$J74)</f>
        <v>0</v>
      </c>
      <c r="AJ125" s="245"/>
      <c r="AK125" s="245"/>
      <c r="AL125" s="251">
        <f ca="1">IFERROR(IF(Cost_Elements[[#This Row],[Row]]&gt;='Do Not Use or Delete'!$L$2, IF(Cost_Elements[[#This Row],[Row]]&lt;='Do Not Use or Delete'!$M$2,AH125*AI125,0),0)+IF(Cost_Elements[[#This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5" s="90">
        <f ca="1">SUMIFS((AL$6:AL$112),G$6:G$112,"p",E6:E112,"T")</f>
        <v>0</v>
      </c>
      <c r="AN125" s="91">
        <f ca="1">Cost_Elements[[#This Row],[Overhead on Fringe Calc. | 6]]*$I$121</f>
        <v>0</v>
      </c>
      <c r="AO125" s="245"/>
      <c r="AP125" s="101">
        <f ca="1">K125+U125+AE125+P125+Z125+AL125</f>
        <v>0</v>
      </c>
      <c r="AQ125" s="68">
        <f ca="1">ROW(Cost_Elements[[#This Row],[Amount | Total]])</f>
        <v>125</v>
      </c>
    </row>
    <row r="126" spans="1:50">
      <c r="A126" s="252" t="s">
        <v>98</v>
      </c>
      <c r="B126" s="108" t="str">
        <f>+'Indirect Rates and Fee'!C17</f>
        <v>G&amp;A</v>
      </c>
      <c r="C126" s="69"/>
      <c r="D126" s="61"/>
      <c r="E126" s="61"/>
      <c r="F126" s="61"/>
      <c r="G126" s="61"/>
      <c r="H126" s="59" t="str">
        <f ca="1">IFERROR(INDEX(Labor_Categories[Minimum Direct Labor Rates],MATCH(Cost_Elements[[#This Row],[Government Labor Category]],Labor_Categories[Labor Categories],0)),"")</f>
        <v/>
      </c>
      <c r="I126" s="98">
        <f ca="1">'Indirect Rates and Fee'!D17</f>
        <v>0</v>
      </c>
      <c r="J126" s="109">
        <f ca="1">K125+K123+K113</f>
        <v>0</v>
      </c>
      <c r="K126" s="251">
        <f ca="1">IFERROR(IF(Cost_Elements[[#This Row],[Row]]&gt;='Do Not Use or Delete'!$L$2, IF(Cost_Elements[[#This Row],[Row]]&lt;='Do Not Use or Delete'!$M$2,I126*J126,0),0)+IF(Cost_Elements[[#This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6" s="248"/>
      <c r="M126" s="248"/>
      <c r="N126" s="98">
        <f ca="1">'Indirect Rates and Fee'!E17</f>
        <v>0</v>
      </c>
      <c r="O126" s="109">
        <f ca="1">P125+P123+P113</f>
        <v>0</v>
      </c>
      <c r="P126" s="251">
        <f ca="1">IFERROR(IF(Cost_Elements[[#This Row],[Row]]&gt;='Do Not Use or Delete'!$L$2, IF(Cost_Elements[[#This Row],[Row]]&lt;='Do Not Use or Delete'!$M$2,N126*O126,0),0)+IF(Cost_Elements[[#This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6" s="248"/>
      <c r="R126" s="248"/>
      <c r="S126" s="98">
        <f ca="1">'Indirect Rates and Fee'!F17</f>
        <v>0</v>
      </c>
      <c r="T126" s="109">
        <f ca="1">U125+U123+U113</f>
        <v>0</v>
      </c>
      <c r="U126" s="251">
        <f ca="1">IFERROR(IF(Cost_Elements[[#This Row],[Row]]&gt;='Do Not Use or Delete'!$L$2, IF(Cost_Elements[[#This Row],[Row]]&lt;='Do Not Use or Delete'!$M$2,S126*T126,0),0)+IF(Cost_Elements[[#This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6" s="248"/>
      <c r="W126" s="248"/>
      <c r="X126" s="98">
        <f ca="1">'Indirect Rates and Fee'!G17</f>
        <v>0</v>
      </c>
      <c r="Y126" s="109">
        <f ca="1">Z125+Z123+Z113</f>
        <v>0</v>
      </c>
      <c r="Z126" s="251">
        <f ca="1">IFERROR(IF(Cost_Elements[[#This Row],[Row]]&gt;='Do Not Use or Delete'!$L$2, IF(Cost_Elements[[#This Row],[Row]]&lt;='Do Not Use or Delete'!$M$2,X126*Y126,0),0)+IF(Cost_Elements[[#This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6" s="248"/>
      <c r="AB126" s="248"/>
      <c r="AC126" s="98">
        <f ca="1">'Indirect Rates and Fee'!H17</f>
        <v>0</v>
      </c>
      <c r="AD126" s="109">
        <f ca="1">AE125+AE123+AE113</f>
        <v>0</v>
      </c>
      <c r="AE126" s="251">
        <f ca="1">IFERROR(IF(Cost_Elements[[#This Row],[Row]]&gt;='Do Not Use or Delete'!$L$2, IF(Cost_Elements[[#This Row],[Row]]&lt;='Do Not Use or Delete'!$M$2,AC126*AD126,0),0)+IF(Cost_Elements[[#This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6" s="102"/>
      <c r="AG126" s="249"/>
      <c r="AH126" s="98">
        <f ca="1">'Indirect Rates and Fee'!I17</f>
        <v>0</v>
      </c>
      <c r="AI126" s="109">
        <f ca="1">AL125+AL123+AL113</f>
        <v>0</v>
      </c>
      <c r="AJ126" s="466"/>
      <c r="AK126" s="466"/>
      <c r="AL126" s="251">
        <f ca="1">IFERROR(IF(Cost_Elements[[#This Row],[Row]]&gt;='Do Not Use or Delete'!$L$2, IF(Cost_Elements[[#This Row],[Row]]&lt;='Do Not Use or Delete'!$M$2,AH126*AI126,0),0)+IF(Cost_Elements[[#This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6" s="102"/>
      <c r="AN126" s="249"/>
      <c r="AO126" s="246"/>
      <c r="AP126" s="101">
        <f ca="1">K126+U126+AE126+P126+Z126+AL126</f>
        <v>0</v>
      </c>
      <c r="AQ126" s="68">
        <f ca="1">ROW(Cost_Elements[[#This Row],[Amount | Total]])</f>
        <v>126</v>
      </c>
    </row>
    <row r="127" spans="1:50">
      <c r="A127" s="253" t="s">
        <v>185</v>
      </c>
      <c r="B127" s="69"/>
      <c r="C127" s="69"/>
      <c r="D127" s="61"/>
      <c r="E127" s="61"/>
      <c r="F127" s="61"/>
      <c r="G127" s="61"/>
      <c r="H127" s="59" t="str">
        <f ca="1">IFERROR(INDEX(Labor_Categories[Minimum Direct Labor Rates],MATCH(Cost_Elements[[#This Row],[Government Labor Category]],Labor_Categories[Labor Categories],0)),"")</f>
        <v/>
      </c>
      <c r="I127" s="11"/>
      <c r="J127" s="69"/>
      <c r="K127" s="251">
        <f ca="1">IFERROR(IF(Cost_Elements[[#This Row],[Row]]&gt;='Do Not Use or Delete'!$L$2, IF(Cost_Elements[[#This Row],[Row]]&lt;='Do Not Use or Delete'!$M$2,I127*J127,0),0)+IF(Cost_Elements[[#This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7" s="248"/>
      <c r="M127" s="248"/>
      <c r="N127" s="11"/>
      <c r="O127" s="69"/>
      <c r="P127" s="251">
        <f ca="1">IFERROR(IF(Cost_Elements[[#This Row],[Row]]&gt;='Do Not Use or Delete'!$L$2, IF(Cost_Elements[[#This Row],[Row]]&lt;='Do Not Use or Delete'!$M$2,N127*O127,0),0)+IF(Cost_Elements[[#This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7" s="248"/>
      <c r="R127" s="248"/>
      <c r="S127" s="11"/>
      <c r="T127" s="69"/>
      <c r="U127" s="251">
        <f ca="1">IFERROR(IF(Cost_Elements[[#This Row],[Row]]&gt;='Do Not Use or Delete'!$L$2, IF(Cost_Elements[[#This Row],[Row]]&lt;='Do Not Use or Delete'!$M$2,S127*T127,0),0)+IF(Cost_Elements[[#This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7" s="248"/>
      <c r="W127" s="248"/>
      <c r="X127" s="11"/>
      <c r="Y127" s="69"/>
      <c r="Z127" s="251">
        <f ca="1">IFERROR(IF(Cost_Elements[[#This Row],[Row]]&gt;='Do Not Use or Delete'!$L$2, IF(Cost_Elements[[#This Row],[Row]]&lt;='Do Not Use or Delete'!$M$2,X127*Y127,0),0)+IF(Cost_Elements[[#This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7" s="248"/>
      <c r="AB127" s="248"/>
      <c r="AC127" s="11"/>
      <c r="AD127" s="69"/>
      <c r="AE127" s="251">
        <f ca="1">IFERROR(IF(Cost_Elements[[#This Row],[Row]]&gt;='Do Not Use or Delete'!$L$2, IF(Cost_Elements[[#This Row],[Row]]&lt;='Do Not Use or Delete'!$M$2,AC127*AD127,0),0)+IF(Cost_Elements[[#This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7" s="102"/>
      <c r="AG127" s="249"/>
      <c r="AH127" s="11"/>
      <c r="AI127" s="69"/>
      <c r="AJ127" s="467"/>
      <c r="AK127" s="467"/>
      <c r="AL127" s="251">
        <f ca="1">IFERROR(IF(Cost_Elements[[#This Row],[Row]]&gt;='Do Not Use or Delete'!$L$2, IF(Cost_Elements[[#This Row],[Row]]&lt;='Do Not Use or Delete'!$M$2,AH127*AI127,0),0)+IF(Cost_Elements[[#This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7" s="102"/>
      <c r="AN127" s="249"/>
      <c r="AO127" s="246"/>
      <c r="AP127" s="101">
        <f ca="1">K127+U127+AE127+P127+Z127+AL127</f>
        <v>0</v>
      </c>
      <c r="AQ127" s="68">
        <f ca="1">ROW(Cost_Elements[[#This Row],[Amount | Total]])</f>
        <v>127</v>
      </c>
    </row>
    <row r="128" spans="1:50" s="27" customFormat="1">
      <c r="A128" s="254" t="s">
        <v>186</v>
      </c>
      <c r="B128" s="80"/>
      <c r="C128" s="80"/>
      <c r="D128" s="81"/>
      <c r="E128" s="81"/>
      <c r="F128" s="81"/>
      <c r="G128" s="81"/>
      <c r="H128" s="110" t="str">
        <f ca="1">IFERROR(INDEX(Labor_Categories[Minimum Direct Labor Rates],MATCH(Cost_Elements[[#This Row],[Government Labor Category]],Labor_Categories[Labor Categories],0)),"")</f>
        <v/>
      </c>
      <c r="I128" s="82"/>
      <c r="J128" s="80"/>
      <c r="K128" s="251">
        <f ca="1">IFERROR(IF(Cost_Elements[[#This Row],[Row]]&gt;='Do Not Use or Delete'!$L$2, IF(Cost_Elements[[#This Row],[Row]]&lt;='Do Not Use or Delete'!$M$2,I128*J128,0),0)+IF(Cost_Elements[[#This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8" s="242"/>
      <c r="M128" s="242"/>
      <c r="N128" s="82"/>
      <c r="O128" s="80"/>
      <c r="P128" s="251">
        <f ca="1">IFERROR(IF(Cost_Elements[[#This Row],[Row]]&gt;='Do Not Use or Delete'!$L$2, IF(Cost_Elements[[#This Row],[Row]]&lt;='Do Not Use or Delete'!$M$2,N128*O128,0),0)+IF(Cost_Elements[[#This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8" s="242"/>
      <c r="R128" s="242"/>
      <c r="S128" s="82"/>
      <c r="T128" s="80"/>
      <c r="U128" s="251">
        <f ca="1">IFERROR(IF(Cost_Elements[[#This Row],[Row]]&gt;='Do Not Use or Delete'!$L$2, IF(Cost_Elements[[#This Row],[Row]]&lt;='Do Not Use or Delete'!$M$2,S128*T128,0),0)+IF(Cost_Elements[[#This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8" s="242"/>
      <c r="W128" s="242"/>
      <c r="X128" s="82"/>
      <c r="Y128" s="80"/>
      <c r="Z128" s="251">
        <f ca="1">IFERROR(IF(Cost_Elements[[#This Row],[Row]]&gt;='Do Not Use or Delete'!$L$2, IF(Cost_Elements[[#This Row],[Row]]&lt;='Do Not Use or Delete'!$M$2,X128*Y128,0),0)+IF(Cost_Elements[[#This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8" s="242"/>
      <c r="AB128" s="242"/>
      <c r="AC128" s="82"/>
      <c r="AD128" s="80"/>
      <c r="AE128" s="251">
        <f ca="1">IFERROR(IF(Cost_Elements[[#This Row],[Row]]&gt;='Do Not Use or Delete'!$L$2, IF(Cost_Elements[[#This Row],[Row]]&lt;='Do Not Use or Delete'!$M$2,AC128*AD128,0),0)+IF(Cost_Elements[[#This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8" s="85"/>
      <c r="AG128" s="243"/>
      <c r="AH128" s="82"/>
      <c r="AI128" s="80"/>
      <c r="AJ128" s="468"/>
      <c r="AK128" s="468"/>
      <c r="AL128" s="251">
        <f ca="1">IFERROR(IF(Cost_Elements[[#This Row],[Row]]&gt;='Do Not Use or Delete'!$L$2, IF(Cost_Elements[[#This Row],[Row]]&lt;='Do Not Use or Delete'!$M$2,AH128*AI128,0),0)+IF(Cost_Elements[[#This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8" s="85"/>
      <c r="AN128" s="243"/>
      <c r="AO128" s="255"/>
      <c r="AP128" s="104">
        <f ca="1">K128+U128+AE128+P128+Z128+AL128</f>
        <v>0</v>
      </c>
      <c r="AQ128" s="68">
        <f ca="1">ROW(Cost_Elements[[#This Row],[Amount | Total]])</f>
        <v>128</v>
      </c>
      <c r="AR128" s="28"/>
      <c r="AS128" s="28"/>
      <c r="AT128" s="28"/>
      <c r="AU128" s="28"/>
      <c r="AV128" s="28"/>
      <c r="AW128" s="28"/>
      <c r="AX128" s="28"/>
    </row>
    <row r="129" spans="1:50">
      <c r="A129" s="247"/>
      <c r="B129" s="80"/>
      <c r="C129" s="80"/>
      <c r="D129" s="81"/>
      <c r="E129" s="81"/>
      <c r="F129" s="81"/>
      <c r="G129" s="61"/>
      <c r="H129" s="59" t="str">
        <f ca="1">IFERROR(INDEX(Labor_Categories[Minimum Direct Labor Rates],MATCH(Cost_Elements[[#This Row],[Government Labor Category]],Labor_Categories[Labor Categories],0)),"")</f>
        <v/>
      </c>
      <c r="I129" s="111"/>
      <c r="J129" s="9" t="s">
        <v>169</v>
      </c>
      <c r="K129" s="112" t="str">
        <f ca="1">IFERROR(IF(Cost_Elements[[#This Row],[Row]]&gt;='Do Not Use or Delete'!#REF!, IF(Cost_Elements[[#This Row],[Row]]&lt;='Do Not Use or Delete'!#REF!,I129*J129,0),0)+IF(Cost_Elements[[#This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129" s="256"/>
      <c r="M129" s="256"/>
      <c r="N129" s="113"/>
      <c r="O129" s="9" t="s">
        <v>169</v>
      </c>
      <c r="P129" s="112" t="str">
        <f ca="1">IFERROR(IF(Cost_Elements[[#This Row],[Row]]&gt;='Do Not Use or Delete'!#REF!, IF(Cost_Elements[[#This Row],[Row]]&lt;='Do Not Use or Delete'!#REF!,N129*O129,0),0)+IF(Cost_Elements[[#This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129" s="256"/>
      <c r="R129" s="256"/>
      <c r="S129" s="113"/>
      <c r="T129" s="9" t="s">
        <v>169</v>
      </c>
      <c r="U129" s="112" t="str">
        <f ca="1">IFERROR(IF(Cost_Elements[[#This Row],[Row]]&gt;='Do Not Use or Delete'!#REF!, IF(Cost_Elements[[#This Row],[Row]]&lt;='Do Not Use or Delete'!#REF!,S129*T129,0),0)+IF(Cost_Elements[[#This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129" s="256"/>
      <c r="W129" s="256"/>
      <c r="X129" s="113"/>
      <c r="Y129" s="9" t="s">
        <v>169</v>
      </c>
      <c r="Z129" s="112" t="str">
        <f ca="1">IFERROR(IF(Cost_Elements[[#This Row],[Row]]&gt;='Do Not Use or Delete'!#REF!, IF(Cost_Elements[[#This Row],[Row]]&lt;='Do Not Use or Delete'!#REF!,X129*Y129,0),0)+IF(Cost_Elements[[#This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129" s="256"/>
      <c r="AB129" s="256"/>
      <c r="AC129" s="113"/>
      <c r="AD129" s="9" t="s">
        <v>169</v>
      </c>
      <c r="AE129" s="112"/>
      <c r="AF129" s="102"/>
      <c r="AG129" s="249"/>
      <c r="AH129" s="113"/>
      <c r="AI129" s="9" t="s">
        <v>169</v>
      </c>
      <c r="AJ129" s="469"/>
      <c r="AK129" s="469"/>
      <c r="AL129" s="112"/>
      <c r="AM129" s="102"/>
      <c r="AN129" s="249"/>
      <c r="AO129" s="245"/>
      <c r="AP129" s="105"/>
      <c r="AQ129" s="68">
        <f ca="1">ROW(Cost_Elements[[#This Row],[Amount | Total]])</f>
        <v>129</v>
      </c>
    </row>
    <row r="130" spans="1:50">
      <c r="A130" s="257" t="s">
        <v>187</v>
      </c>
      <c r="B130" s="69"/>
      <c r="C130" s="69"/>
      <c r="D130" s="61"/>
      <c r="E130" s="61"/>
      <c r="F130" s="61"/>
      <c r="G130" s="61"/>
      <c r="H130" s="59" t="str">
        <f ca="1">IFERROR(INDEX(Labor_Categories[Minimum Direct Labor Rates],MATCH(Cost_Elements[[#This Row],[Government Labor Category]],Labor_Categories[Labor Categories],0)),"")</f>
        <v/>
      </c>
      <c r="I130" s="114"/>
      <c r="J130" s="99">
        <f ca="1">+K128</f>
        <v>0</v>
      </c>
      <c r="K130" s="100">
        <f ca="1">IFERROR(IF(Cost_Elements[[#This Row],[Row]]&gt;='Do Not Use or Delete'!$L$2, IF(Cost_Elements[[#This Row],[Row]]&lt;='Do Not Use or Delete'!$M$2,I130*J130,0),0)+IF(Cost_Elements[[#This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0" s="248"/>
      <c r="M130" s="248"/>
      <c r="N130" s="115"/>
      <c r="O130" s="99">
        <f ca="1">P128</f>
        <v>0</v>
      </c>
      <c r="P130" s="100">
        <f ca="1">IFERROR(IF(Cost_Elements[[#This Row],[Row]]&gt;='Do Not Use or Delete'!$L$2, IF(Cost_Elements[[#This Row],[Row]]&lt;='Do Not Use or Delete'!$M$2,N130*O130,0),0)+IF(Cost_Elements[[#This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0" s="248"/>
      <c r="R130" s="248"/>
      <c r="S130" s="115"/>
      <c r="T130" s="99">
        <f ca="1">U128</f>
        <v>0</v>
      </c>
      <c r="U130" s="100">
        <f ca="1">IFERROR(IF(Cost_Elements[[#This Row],[Row]]&gt;='Do Not Use or Delete'!$L$2, IF(Cost_Elements[[#This Row],[Row]]&lt;='Do Not Use or Delete'!$M$2,S130*T130,0),0)+IF(Cost_Elements[[#This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0" s="248"/>
      <c r="W130" s="248"/>
      <c r="X130" s="115"/>
      <c r="Y130" s="99">
        <f ca="1">Z128</f>
        <v>0</v>
      </c>
      <c r="Z130" s="100">
        <f ca="1">IFERROR(IF(Cost_Elements[[#This Row],[Row]]&gt;='Do Not Use or Delete'!$L$2, IF(Cost_Elements[[#This Row],[Row]]&lt;='Do Not Use or Delete'!$L$2,X130*Y130,0),0)+IF(Cost_Elements[[#This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0" s="248"/>
      <c r="AB130" s="248"/>
      <c r="AC130" s="115"/>
      <c r="AD130" s="99">
        <f ca="1">AE128</f>
        <v>0</v>
      </c>
      <c r="AE130" s="100">
        <f ca="1">IFERROR(IF(Cost_Elements[[#This Row],[Row]]&gt;='Do Not Use or Delete'!$L$2, IF(Cost_Elements[[#This Row],[Row]]&lt;='Do Not Use or Delete'!$M$2,AC130*AD130,0),0)+IF(Cost_Elements[[#This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0" s="102"/>
      <c r="AG130" s="249"/>
      <c r="AH130" s="115"/>
      <c r="AI130" s="99">
        <f ca="1">AL128</f>
        <v>0</v>
      </c>
      <c r="AJ130" s="464"/>
      <c r="AK130" s="464"/>
      <c r="AL130" s="100">
        <f ca="1">IFERROR(IF(Cost_Elements[[#This Row],[Row]]&gt;='Do Not Use or Delete'!$L$2, IF(Cost_Elements[[#This Row],[Row]]&lt;='Do Not Use or Delete'!$M$2,AH130*AI130,0),0)+IF(Cost_Elements[[#This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0" s="102"/>
      <c r="AN130" s="249"/>
      <c r="AO130" s="255"/>
      <c r="AP130" s="101">
        <f ca="1">K130+U130+AE130+P130+Z130+AL130</f>
        <v>0</v>
      </c>
      <c r="AQ130" s="68">
        <f ca="1">ROW(Cost_Elements[[#This Row],[Amount | Total]])</f>
        <v>130</v>
      </c>
    </row>
    <row r="131" spans="1:50" s="27" customFormat="1">
      <c r="A131" s="254" t="s">
        <v>188</v>
      </c>
      <c r="B131" s="80"/>
      <c r="C131" s="116"/>
      <c r="D131" s="117"/>
      <c r="E131" s="117"/>
      <c r="F131" s="117"/>
      <c r="G131" s="81"/>
      <c r="H131" s="59" t="str">
        <f ca="1">IFERROR(INDEX(Labor_Categories[Minimum Direct Labor Rates],MATCH(Cost_Elements[[#This Row],[Government Labor Category]],Labor_Categories[Labor Categories],0)),"")</f>
        <v/>
      </c>
      <c r="I131" s="82"/>
      <c r="J131" s="80"/>
      <c r="K131" s="100">
        <f ca="1">IFERROR(IF(Cost_Elements[[#This Row],[Row]]&gt;='Do Not Use or Delete'!$L$2, IF(Cost_Elements[[#This Row],[Row]]&lt;='Do Not Use or Delete'!$M$2,I131*J131,0),0)+IF(Cost_Elements[[#This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1" s="242"/>
      <c r="M131" s="242"/>
      <c r="N131" s="82"/>
      <c r="O131" s="80"/>
      <c r="P131" s="100">
        <f ca="1">IFERROR(IF(Cost_Elements[[#This Row],[Row]]&gt;='Do Not Use or Delete'!$L$2, IF(Cost_Elements[[#This Row],[Row]]&lt;='Do Not Use or Delete'!$M$2,N131*O131,0),0)+IF(Cost_Elements[[#This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1" s="242"/>
      <c r="R131" s="242"/>
      <c r="S131" s="82"/>
      <c r="T131" s="80"/>
      <c r="U131" s="100">
        <f ca="1">IFERROR(IF(Cost_Elements[[#This Row],[Row]]&gt;='Do Not Use or Delete'!$L$2, IF(Cost_Elements[[#This Row],[Row]]&lt;='Do Not Use or Delete'!$M$2,S131*T131,0),0)+IF(Cost_Elements[[#This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1" s="242"/>
      <c r="W131" s="242"/>
      <c r="X131" s="82"/>
      <c r="Y131" s="80"/>
      <c r="Z131" s="100">
        <f ca="1">IFERROR(IF(Cost_Elements[[#This Row],[Row]]&gt;='Do Not Use or Delete'!$L$2, IF(Cost_Elements[[#This Row],[Row]]&lt;='Do Not Use or Delete'!$L$2,X131*Y131,0),0)+IF(Cost_Elements[[#This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1" s="242"/>
      <c r="AB131" s="242"/>
      <c r="AC131" s="82"/>
      <c r="AD131" s="80"/>
      <c r="AE131" s="100">
        <f ca="1">IFERROR(IF(Cost_Elements[[#This Row],[Row]]&gt;='Do Not Use or Delete'!$L$2, IF(Cost_Elements[[#This Row],[Row]]&lt;='Do Not Use or Delete'!$M$2,AC131*AD131,0),0)+IF(Cost_Elements[[#This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1" s="85"/>
      <c r="AG131" s="243"/>
      <c r="AH131" s="82"/>
      <c r="AI131" s="80"/>
      <c r="AJ131" s="470"/>
      <c r="AK131" s="470"/>
      <c r="AL131" s="100">
        <f ca="1">IFERROR(IF(Cost_Elements[[#This Row],[Row]]&gt;='Do Not Use or Delete'!$L$2, IF(Cost_Elements[[#This Row],[Row]]&lt;='Do Not Use or Delete'!$M$2,AH131*AI131,0),0)+IF(Cost_Elements[[#This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1" s="85"/>
      <c r="AN131" s="243"/>
      <c r="AO131" s="255"/>
      <c r="AP131" s="104">
        <f ca="1">K131+U131+AE131+P131+Z131+AL131</f>
        <v>0</v>
      </c>
      <c r="AQ131" s="68">
        <f ca="1">ROW(Cost_Elements[[#This Row],[Amount | Total]])</f>
        <v>131</v>
      </c>
      <c r="AR131" s="28"/>
      <c r="AS131" s="28"/>
      <c r="AT131" s="28"/>
      <c r="AU131" s="28"/>
      <c r="AV131" s="28"/>
      <c r="AW131" s="28"/>
      <c r="AX131" s="28"/>
    </row>
    <row r="132" spans="1:50">
      <c r="A132" s="239"/>
      <c r="B132" s="80"/>
      <c r="C132" s="69"/>
      <c r="D132" s="61"/>
      <c r="E132" s="61"/>
      <c r="F132" s="61"/>
      <c r="G132" s="61"/>
      <c r="H132" s="59" t="str">
        <f ca="1">IFERROR(INDEX(Labor_Categories[Minimum Direct Labor Rates],MATCH(Cost_Elements[[#This Row],[Government Labor Category]],Labor_Categories[Labor Categories],0)),"")</f>
        <v/>
      </c>
      <c r="I132" s="11"/>
      <c r="J132" s="69"/>
      <c r="K132" s="94"/>
      <c r="L132" s="248"/>
      <c r="M132" s="248"/>
      <c r="N132" s="11"/>
      <c r="O132" s="69"/>
      <c r="P132" s="94"/>
      <c r="Q132" s="248"/>
      <c r="R132" s="248"/>
      <c r="S132" s="11"/>
      <c r="T132" s="69"/>
      <c r="U132" s="94"/>
      <c r="V132" s="248"/>
      <c r="W132" s="248"/>
      <c r="X132" s="11"/>
      <c r="Y132" s="69"/>
      <c r="Z132" s="94"/>
      <c r="AA132" s="248"/>
      <c r="AB132" s="248"/>
      <c r="AC132" s="11"/>
      <c r="AD132" s="69"/>
      <c r="AE132" s="94"/>
      <c r="AF132" s="102"/>
      <c r="AG132" s="249"/>
      <c r="AH132" s="11"/>
      <c r="AI132" s="69"/>
      <c r="AJ132" s="172"/>
      <c r="AK132" s="172"/>
      <c r="AL132" s="94"/>
      <c r="AM132" s="102"/>
      <c r="AN132" s="249"/>
      <c r="AO132" s="246"/>
      <c r="AP132" s="95"/>
      <c r="AQ132" s="68">
        <f ca="1">ROW(Cost_Elements[[#This Row],[Amount | Total]])</f>
        <v>132</v>
      </c>
    </row>
    <row r="133" spans="1:50">
      <c r="A133" s="253" t="s">
        <v>189</v>
      </c>
      <c r="B133" s="80"/>
      <c r="C133" s="69"/>
      <c r="D133" s="61"/>
      <c r="E133" s="61"/>
      <c r="F133" s="61"/>
      <c r="G133" s="61"/>
      <c r="H133" s="59" t="str">
        <f ca="1">IFERROR(INDEX(Labor_Categories[Minimum Direct Labor Rates],MATCH(Cost_Elements[[#This Row],[Government Labor Category]],Labor_Categories[Labor Categories],0)),"")</f>
        <v/>
      </c>
      <c r="I133" s="11"/>
      <c r="J133" s="103"/>
      <c r="K133" s="258"/>
      <c r="L133" s="259"/>
      <c r="M133" s="259"/>
      <c r="N133" s="11"/>
      <c r="O133" s="69"/>
      <c r="P133" s="258"/>
      <c r="Q133" s="259"/>
      <c r="R133" s="259"/>
      <c r="S133" s="11"/>
      <c r="T133" s="69"/>
      <c r="U133" s="258"/>
      <c r="V133" s="259"/>
      <c r="W133" s="259"/>
      <c r="X133" s="11"/>
      <c r="Y133" s="69"/>
      <c r="Z133" s="258"/>
      <c r="AA133" s="259"/>
      <c r="AB133" s="259"/>
      <c r="AC133" s="11"/>
      <c r="AD133" s="69"/>
      <c r="AE133" s="258"/>
      <c r="AF133" s="118"/>
      <c r="AG133" s="260"/>
      <c r="AH133" s="11"/>
      <c r="AI133" s="69"/>
      <c r="AJ133" s="467"/>
      <c r="AK133" s="467"/>
      <c r="AL133" s="258"/>
      <c r="AM133" s="118"/>
      <c r="AN133" s="260"/>
      <c r="AO133" s="261"/>
      <c r="AP133" s="95"/>
      <c r="AQ133" s="68">
        <f ca="1">ROW(Cost_Elements[[#This Row],[Amount | Total]])</f>
        <v>133</v>
      </c>
    </row>
    <row r="134" spans="1:50">
      <c r="A134" s="239"/>
      <c r="B134" s="80"/>
      <c r="C134" s="69"/>
      <c r="D134" s="61"/>
      <c r="E134" s="61"/>
      <c r="F134" s="61"/>
      <c r="G134" s="61"/>
      <c r="H134" s="59" t="str">
        <f ca="1">IFERROR(INDEX(Labor_Categories[Minimum Direct Labor Rates],MATCH(Cost_Elements[[#This Row],[Government Labor Category]],Labor_Categories[Labor Categories],0)),"")</f>
        <v/>
      </c>
      <c r="I134" s="11"/>
      <c r="J134" s="103"/>
      <c r="K134" s="258"/>
      <c r="L134" s="259"/>
      <c r="M134" s="259"/>
      <c r="N134" s="11"/>
      <c r="O134" s="69"/>
      <c r="P134" s="258"/>
      <c r="Q134" s="259"/>
      <c r="R134" s="259"/>
      <c r="S134" s="11"/>
      <c r="T134" s="69"/>
      <c r="U134" s="258"/>
      <c r="V134" s="259"/>
      <c r="W134" s="259"/>
      <c r="X134" s="11"/>
      <c r="Y134" s="69"/>
      <c r="Z134" s="258"/>
      <c r="AA134" s="259"/>
      <c r="AB134" s="259"/>
      <c r="AC134" s="11"/>
      <c r="AD134" s="69"/>
      <c r="AE134" s="258"/>
      <c r="AF134" s="118"/>
      <c r="AG134" s="260"/>
      <c r="AH134" s="11"/>
      <c r="AI134" s="69"/>
      <c r="AJ134" s="467"/>
      <c r="AK134" s="467"/>
      <c r="AL134" s="258"/>
      <c r="AM134" s="118"/>
      <c r="AN134" s="260"/>
      <c r="AO134" s="261"/>
      <c r="AP134" s="95"/>
      <c r="AQ134" s="68">
        <f ca="1">ROW(Cost_Elements[[#This Row],[Amount | Total]])</f>
        <v>134</v>
      </c>
    </row>
    <row r="135" spans="1:50">
      <c r="A135" s="239"/>
      <c r="B135" s="69"/>
      <c r="C135" s="69"/>
      <c r="D135" s="61"/>
      <c r="E135" s="61"/>
      <c r="F135" s="61"/>
      <c r="G135" s="61"/>
      <c r="H135" s="59" t="str">
        <f ca="1">IFERROR(INDEX(Labor_Categories[Minimum Direct Labor Rates],MATCH(Cost_Elements[[#This Row],[Government Labor Category]],Labor_Categories[Labor Categories],0)),"")</f>
        <v/>
      </c>
      <c r="I135" s="11"/>
      <c r="J135" s="69"/>
      <c r="K135" s="94"/>
      <c r="L135" s="248"/>
      <c r="M135" s="248"/>
      <c r="N135" s="11">
        <f ca="1">(Cost_Elements[[#This Row],[Rate | 1]]*$O$4)+Cost_Elements[[#This Row],[Rate | 1]]</f>
        <v>0</v>
      </c>
      <c r="O135" s="69">
        <f ca="1">(Cost_Elements[[#This Row],[Rate | 1]]*$O$4)+Cost_Elements[[#This Row],[Rate | 1]]</f>
        <v>0</v>
      </c>
      <c r="P135" s="94"/>
      <c r="Q135" s="248"/>
      <c r="R135" s="248"/>
      <c r="S135" s="11">
        <f ca="1">(Cost_Elements[[#This Row],[Rate | 2]]*$T$4)+Cost_Elements[[#This Row],[Rate | 2]]</f>
        <v>0</v>
      </c>
      <c r="T135" s="69">
        <f ca="1">(Cost_Elements[[#This Row],[Rate | 2]]*$T$4)+Cost_Elements[[#This Row],[Rate | 2]]</f>
        <v>0</v>
      </c>
      <c r="U135" s="94"/>
      <c r="V135" s="248"/>
      <c r="W135" s="248"/>
      <c r="X135" s="11">
        <f ca="1">(Cost_Elements[[#This Row],[Rate | 3]]*$Y$4)+Cost_Elements[[#This Row],[Rate | 3]]</f>
        <v>0</v>
      </c>
      <c r="Y135" s="69">
        <f ca="1">(Cost_Elements[[#This Row],[Rate | 3]]*$Y$4)+Cost_Elements[[#This Row],[Rate | 3]]</f>
        <v>0</v>
      </c>
      <c r="Z135" s="94"/>
      <c r="AA135" s="248"/>
      <c r="AB135" s="248"/>
      <c r="AC135" s="11">
        <f ca="1">(Cost_Elements[[#This Row],[Rate | 4]]*$AD$4)+Cost_Elements[[#This Row],[Rate | 4]]</f>
        <v>0</v>
      </c>
      <c r="AD135" s="69">
        <f ca="1">(Cost_Elements[[#This Row],[Rate | 4]]*$AD$4)+Cost_Elements[[#This Row],[Rate | 4]]</f>
        <v>0</v>
      </c>
      <c r="AE135" s="88"/>
      <c r="AF135" s="102"/>
      <c r="AG135" s="249"/>
      <c r="AH135" s="11">
        <f ca="1">(Cost_Elements[[#This Row],[Rate | 4]]*$AD$4)+Cost_Elements[[#This Row],[Rate | 4]]</f>
        <v>0</v>
      </c>
      <c r="AI135" s="69">
        <f ca="1">(Cost_Elements[[#This Row],[Rate | 4]]*$AD$4)+Cost_Elements[[#This Row],[Rate | 4]]</f>
        <v>0</v>
      </c>
      <c r="AJ135" s="172"/>
      <c r="AK135" s="172"/>
      <c r="AL135" s="94"/>
      <c r="AM135" s="102"/>
      <c r="AN135" s="249"/>
      <c r="AO135" s="246"/>
      <c r="AP135" s="95"/>
      <c r="AQ135" s="68">
        <f ca="1">ROW(Cost_Elements[[#This Row],[Amount | Total]])</f>
        <v>135</v>
      </c>
    </row>
    <row r="136" spans="1:50" ht="15" customHeight="1">
      <c r="A136" s="239" t="s">
        <v>190</v>
      </c>
      <c r="B136" s="69"/>
      <c r="C136" s="69"/>
      <c r="D136" s="61"/>
      <c r="E136" s="61"/>
      <c r="F136" s="61"/>
      <c r="G136" s="61"/>
      <c r="H136" s="59" t="str">
        <f ca="1">IFERROR(INDEX(Labor_Categories[Minimum Direct Labor Rates],MATCH(Cost_Elements[[#This Row],[Government Labor Category]],Labor_Categories[Labor Categories],0)),"")</f>
        <v/>
      </c>
      <c r="I136" s="11"/>
      <c r="J136" s="119">
        <f ca="1">SUM(J137:J150)</f>
        <v>0</v>
      </c>
      <c r="K136" s="120">
        <f ca="1">SUM(K137:K150)</f>
        <v>0</v>
      </c>
      <c r="L136" s="242"/>
      <c r="M136" s="242"/>
      <c r="N136" s="82"/>
      <c r="O136" s="119">
        <f ca="1">SUM(O137:O150)</f>
        <v>0</v>
      </c>
      <c r="P136" s="120">
        <f ca="1">SUM(P137:P150)</f>
        <v>0</v>
      </c>
      <c r="Q136" s="242"/>
      <c r="R136" s="242"/>
      <c r="S136" s="82"/>
      <c r="T136" s="119">
        <f ca="1">SUM(T137:T150)</f>
        <v>0</v>
      </c>
      <c r="U136" s="120">
        <f ca="1">SUM(U137:U150)</f>
        <v>0</v>
      </c>
      <c r="V136" s="242"/>
      <c r="W136" s="242"/>
      <c r="X136" s="82"/>
      <c r="Y136" s="119">
        <f ca="1">SUM(Y137:Y150)</f>
        <v>0</v>
      </c>
      <c r="Z136" s="120">
        <f ca="1">SUM(Z137:Z150)</f>
        <v>0</v>
      </c>
      <c r="AA136" s="242"/>
      <c r="AB136" s="242"/>
      <c r="AC136" s="82"/>
      <c r="AD136" s="119">
        <f ca="1">SUM(AD137:AD150)</f>
        <v>0</v>
      </c>
      <c r="AE136" s="120">
        <f ca="1">SUM(AE137:AE150)</f>
        <v>0</v>
      </c>
      <c r="AF136" s="85"/>
      <c r="AG136" s="238"/>
      <c r="AH136" s="82"/>
      <c r="AI136" s="119">
        <f ca="1">SUM(AI137:AI150)</f>
        <v>0</v>
      </c>
      <c r="AJ136" s="119"/>
      <c r="AK136" s="119"/>
      <c r="AL136" s="120">
        <f ca="1">SUM(AL137:AL150)</f>
        <v>0</v>
      </c>
      <c r="AM136" s="85"/>
      <c r="AN136" s="238"/>
      <c r="AO136" s="119">
        <f>SUM(AO137:AO150)</f>
        <v>0</v>
      </c>
      <c r="AP136" s="87">
        <f ca="1">SUM(AP137:AP150)</f>
        <v>0</v>
      </c>
      <c r="AQ136" s="68">
        <f ca="1">ROW(Cost_Elements[[#This Row],[Amount | Total]])</f>
        <v>136</v>
      </c>
    </row>
    <row r="137" spans="1:50" ht="16.5" customHeight="1">
      <c r="A137" s="240" t="s">
        <v>165</v>
      </c>
      <c r="B137" s="275"/>
      <c r="C137" s="277"/>
      <c r="D137" s="318"/>
      <c r="E137" s="318"/>
      <c r="F137" s="318"/>
      <c r="G137" s="318"/>
      <c r="H137" s="121" t="str">
        <f ca="1">IFERROR(INDEX(Labor_Categories[Minimum Direct Labor Rates],MATCH(Cost_Elements[[#This Row],[Government Labor Category]],Labor_Categories[Labor Categories],0)),"")</f>
        <v/>
      </c>
      <c r="I137" s="73"/>
      <c r="J137" s="74"/>
      <c r="K137" s="75">
        <f ca="1">IFERROR(IF(Cost_Elements[[#This Row],[Row]]&gt;='Do Not Use or Delete'!$L$2, IF(Cost_Elements[[#This Row],[Row]]&lt;='Do Not Use or Delete'!$M$2,I137*J137,0),0)+IF(Cost_Elements[[#This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7" s="63"/>
      <c r="M137" s="63"/>
      <c r="N137" s="73"/>
      <c r="O137" s="74"/>
      <c r="P137" s="75">
        <f ca="1">IFERROR(IF(Cost_Elements[[#This Row],[Row]]&gt;='Do Not Use or Delete'!$L$2, IF(Cost_Elements[[#This Row],[Row]]&lt;='Do Not Use or Delete'!$M$2,N137*O137,0),0)+IF(Cost_Elements[[#This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7" s="63"/>
      <c r="R137" s="63"/>
      <c r="S137" s="73"/>
      <c r="T137" s="74"/>
      <c r="U137" s="75">
        <f ca="1">IFERROR(IF(Cost_Elements[[#This Row],[Row]]&gt;='Do Not Use or Delete'!$L$2, IF(Cost_Elements[[#This Row],[Row]]&lt;='Do Not Use or Delete'!$M$2,S137*T137,0),0)+IF(Cost_Elements[[#This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7" s="63"/>
      <c r="W137" s="63"/>
      <c r="X137" s="73"/>
      <c r="Y137" s="74"/>
      <c r="Z137" s="75">
        <f ca="1">IFERROR(IF(Cost_Elements[[#This Row],[Row]]&gt;='Do Not Use or Delete'!$L$2, IF(Cost_Elements[[#This Row],[Row]]&lt;='Do Not Use or Delete'!$M$2,X137*Y137,0),0)+IF(Cost_Elements[[#This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7" s="63"/>
      <c r="AB137" s="63"/>
      <c r="AC137" s="73"/>
      <c r="AD137" s="74"/>
      <c r="AE137" s="75">
        <f ca="1">IFERROR(IF(Cost_Elements[[#This Row],[Row]]&gt;='Do Not Use or Delete'!$L$2, IF(Cost_Elements[[#This Row],[Row]]&lt;='Do Not Use or Delete'!$M$2,AC137*AD137,0),0)+IF(Cost_Elements[[#This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7" s="64"/>
      <c r="AG137" s="65"/>
      <c r="AH137" s="73"/>
      <c r="AI137" s="74"/>
      <c r="AJ137" s="458"/>
      <c r="AK137" s="458"/>
      <c r="AL137" s="75">
        <f ca="1">IFERROR(IF(Cost_Elements[[#This Row],[Row]]&gt;='Do Not Use or Delete'!$L$2, IF(Cost_Elements[[#This Row],[Row]]&lt;='Do Not Use or Delete'!$M$2,AH137*AI137,0),0)+IF(Cost_Elements[[#This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7" s="64"/>
      <c r="AN137" s="65"/>
      <c r="AO137" s="77">
        <f>J137+T137+AD137+O137+Y137+AI137</f>
        <v>0</v>
      </c>
      <c r="AP137" s="78">
        <f ca="1">K137+U137+AE137+P137+Z137+AL137</f>
        <v>0</v>
      </c>
      <c r="AQ137" s="68">
        <f ca="1">ROW(Cost_Elements[[#This Row],[Amount | Total]])</f>
        <v>137</v>
      </c>
    </row>
    <row r="138" spans="1:50" ht="15" customHeight="1">
      <c r="A138" s="240" t="s">
        <v>165</v>
      </c>
      <c r="B138" s="275"/>
      <c r="C138" s="277"/>
      <c r="D138" s="318"/>
      <c r="E138" s="318"/>
      <c r="F138" s="318"/>
      <c r="G138" s="318"/>
      <c r="H138" s="121" t="str">
        <f ca="1">IFERROR(INDEX(Labor_Categories[Minimum Direct Labor Rates],MATCH(Cost_Elements[[#This Row],[Government Labor Category]],Labor_Categories[Labor Categories],0)),"")</f>
        <v/>
      </c>
      <c r="I138" s="73"/>
      <c r="J138" s="74"/>
      <c r="K138" s="75">
        <f ca="1">IFERROR(IF(Cost_Elements[[#This Row],[Row]]&gt;='Do Not Use or Delete'!$L$2, IF(Cost_Elements[[#This Row],[Row]]&lt;='Do Not Use or Delete'!$M$2,I138*J138,0),0)+IF(Cost_Elements[[#This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8" s="63"/>
      <c r="M138" s="63"/>
      <c r="N138" s="73"/>
      <c r="O138" s="74"/>
      <c r="P138" s="75">
        <f ca="1">IFERROR(IF(Cost_Elements[[#This Row],[Row]]&gt;='Do Not Use or Delete'!$L$2, IF(Cost_Elements[[#This Row],[Row]]&lt;='Do Not Use or Delete'!$M$2,N138*O138,0),0)+IF(Cost_Elements[[#This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8" s="63"/>
      <c r="R138" s="63"/>
      <c r="S138" s="73"/>
      <c r="T138" s="74"/>
      <c r="U138" s="75">
        <f ca="1">IFERROR(IF(Cost_Elements[[#This Row],[Row]]&gt;='Do Not Use or Delete'!$L$2, IF(Cost_Elements[[#This Row],[Row]]&lt;='Do Not Use or Delete'!$M$2,S138*T138,0),0)+IF(Cost_Elements[[#This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8" s="63"/>
      <c r="W138" s="63"/>
      <c r="X138" s="73"/>
      <c r="Y138" s="74"/>
      <c r="Z138" s="75">
        <f ca="1">IFERROR(IF(Cost_Elements[[#This Row],[Row]]&gt;='Do Not Use or Delete'!$L$2, IF(Cost_Elements[[#This Row],[Row]]&lt;='Do Not Use or Delete'!$M$2,X138*Y138,0),0)+IF(Cost_Elements[[#This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8" s="63"/>
      <c r="AB138" s="63"/>
      <c r="AC138" s="73"/>
      <c r="AD138" s="74"/>
      <c r="AE138" s="75">
        <f ca="1">IFERROR(IF(Cost_Elements[[#This Row],[Row]]&gt;='Do Not Use or Delete'!$L$2, IF(Cost_Elements[[#This Row],[Row]]&lt;='Do Not Use or Delete'!$M$2,AC138*AD138,0),0)+IF(Cost_Elements[[#This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8" s="64"/>
      <c r="AG138" s="65"/>
      <c r="AH138" s="73"/>
      <c r="AI138" s="74"/>
      <c r="AJ138" s="458"/>
      <c r="AK138" s="458"/>
      <c r="AL138" s="75">
        <f ca="1">IFERROR(IF(Cost_Elements[[#This Row],[Row]]&gt;='Do Not Use or Delete'!$L$2, IF(Cost_Elements[[#This Row],[Row]]&lt;='Do Not Use or Delete'!$M$2,AH138*AI138,0),0)+IF(Cost_Elements[[#This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8" s="64"/>
      <c r="AN138" s="65"/>
      <c r="AO138" s="77">
        <f t="shared" ref="AO138:AO150" si="6">J138+T138+AD138+O138+Y138+AI138</f>
        <v>0</v>
      </c>
      <c r="AP138" s="78">
        <f t="shared" ref="AP138:AP150" ca="1" si="7">K138+U138+AE138+P138+Z138+AL138</f>
        <v>0</v>
      </c>
      <c r="AQ138" s="68">
        <f ca="1">ROW(Cost_Elements[[#This Row],[Amount | Total]])</f>
        <v>138</v>
      </c>
    </row>
    <row r="139" spans="1:50">
      <c r="A139" s="240" t="s">
        <v>165</v>
      </c>
      <c r="B139" s="275"/>
      <c r="C139" s="277"/>
      <c r="D139" s="318"/>
      <c r="E139" s="318"/>
      <c r="F139" s="318"/>
      <c r="G139" s="318"/>
      <c r="H139" s="121" t="str">
        <f ca="1">IFERROR(INDEX(Labor_Categories[Minimum Direct Labor Rates],MATCH(Cost_Elements[[#This Row],[Government Labor Category]],Labor_Categories[Labor Categories],0)),"")</f>
        <v/>
      </c>
      <c r="I139" s="73"/>
      <c r="J139" s="74"/>
      <c r="K139" s="75">
        <f ca="1">IFERROR(IF(Cost_Elements[[#This Row],[Row]]&gt;='Do Not Use or Delete'!$L$2, IF(Cost_Elements[[#This Row],[Row]]&lt;='Do Not Use or Delete'!$M$2,I139*J139,0),0)+IF(Cost_Elements[[#This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9" s="63"/>
      <c r="M139" s="63"/>
      <c r="N139" s="73"/>
      <c r="O139" s="74"/>
      <c r="P139" s="75">
        <f ca="1">IFERROR(IF(Cost_Elements[[#This Row],[Row]]&gt;='Do Not Use or Delete'!$L$2, IF(Cost_Elements[[#This Row],[Row]]&lt;='Do Not Use or Delete'!$M$2,N139*O139,0),0)+IF(Cost_Elements[[#This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9" s="63"/>
      <c r="R139" s="63"/>
      <c r="S139" s="73"/>
      <c r="T139" s="74"/>
      <c r="U139" s="75">
        <f ca="1">IFERROR(IF(Cost_Elements[[#This Row],[Row]]&gt;='Do Not Use or Delete'!$L$2, IF(Cost_Elements[[#This Row],[Row]]&lt;='Do Not Use or Delete'!$M$2,S139*T139,0),0)+IF(Cost_Elements[[#This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9" s="63"/>
      <c r="W139" s="63"/>
      <c r="X139" s="73"/>
      <c r="Y139" s="74"/>
      <c r="Z139" s="75">
        <f ca="1">IFERROR(IF(Cost_Elements[[#This Row],[Row]]&gt;='Do Not Use or Delete'!$L$2, IF(Cost_Elements[[#This Row],[Row]]&lt;='Do Not Use or Delete'!$M$2,X139*Y139,0),0)+IF(Cost_Elements[[#This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9" s="63"/>
      <c r="AB139" s="63"/>
      <c r="AC139" s="73"/>
      <c r="AD139" s="74"/>
      <c r="AE139" s="75">
        <f ca="1">IFERROR(IF(Cost_Elements[[#This Row],[Row]]&gt;='Do Not Use or Delete'!$L$2, IF(Cost_Elements[[#This Row],[Row]]&lt;='Do Not Use or Delete'!$M$2,AC139*AD139,0),0)+IF(Cost_Elements[[#This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9" s="64"/>
      <c r="AG139" s="65"/>
      <c r="AH139" s="73"/>
      <c r="AI139" s="74"/>
      <c r="AJ139" s="458"/>
      <c r="AK139" s="458"/>
      <c r="AL139" s="75">
        <f ca="1">IFERROR(IF(Cost_Elements[[#This Row],[Row]]&gt;='Do Not Use or Delete'!$L$2, IF(Cost_Elements[[#This Row],[Row]]&lt;='Do Not Use or Delete'!$M$2,AH139*AI139,0),0)+IF(Cost_Elements[[#This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9" s="64"/>
      <c r="AN139" s="65"/>
      <c r="AO139" s="77">
        <f t="shared" si="6"/>
        <v>0</v>
      </c>
      <c r="AP139" s="78">
        <f t="shared" ca="1" si="7"/>
        <v>0</v>
      </c>
      <c r="AQ139" s="68">
        <f ca="1">ROW(Cost_Elements[[#This Row],[Amount | Total]])</f>
        <v>139</v>
      </c>
    </row>
    <row r="140" spans="1:50">
      <c r="A140" s="240" t="s">
        <v>165</v>
      </c>
      <c r="B140" s="275"/>
      <c r="C140" s="277"/>
      <c r="D140" s="318"/>
      <c r="E140" s="318"/>
      <c r="F140" s="318"/>
      <c r="G140" s="318"/>
      <c r="H140" s="121" t="str">
        <f ca="1">IFERROR(INDEX(Labor_Categories[Minimum Direct Labor Rates],MATCH(Cost_Elements[[#This Row],[Government Labor Category]],Labor_Categories[Labor Categories],0)),"")</f>
        <v/>
      </c>
      <c r="I140" s="73"/>
      <c r="J140" s="74"/>
      <c r="K140" s="75">
        <f ca="1">IFERROR(IF(Cost_Elements[[#This Row],[Row]]&gt;='Do Not Use or Delete'!$L$2, IF(Cost_Elements[[#This Row],[Row]]&lt;='Do Not Use or Delete'!$M$2,I140*J140,0),0)+IF(Cost_Elements[[#This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0" s="63"/>
      <c r="M140" s="63"/>
      <c r="N140" s="73"/>
      <c r="O140" s="74"/>
      <c r="P140" s="75">
        <f ca="1">IFERROR(IF(Cost_Elements[[#This Row],[Row]]&gt;='Do Not Use or Delete'!$L$2, IF(Cost_Elements[[#This Row],[Row]]&lt;='Do Not Use or Delete'!$M$2,N140*O140,0),0)+IF(Cost_Elements[[#This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0" s="63"/>
      <c r="R140" s="63"/>
      <c r="S140" s="73"/>
      <c r="T140" s="74"/>
      <c r="U140" s="75">
        <f ca="1">IFERROR(IF(Cost_Elements[[#This Row],[Row]]&gt;='Do Not Use or Delete'!$L$2, IF(Cost_Elements[[#This Row],[Row]]&lt;='Do Not Use or Delete'!$M$2,S140*T140,0),0)+IF(Cost_Elements[[#This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0" s="63"/>
      <c r="W140" s="63"/>
      <c r="X140" s="73"/>
      <c r="Y140" s="74"/>
      <c r="Z140" s="75">
        <f ca="1">IFERROR(IF(Cost_Elements[[#This Row],[Row]]&gt;='Do Not Use or Delete'!$L$2, IF(Cost_Elements[[#This Row],[Row]]&lt;='Do Not Use or Delete'!$M$2,X140*Y140,0),0)+IF(Cost_Elements[[#This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0" s="63"/>
      <c r="AB140" s="63"/>
      <c r="AC140" s="73"/>
      <c r="AD140" s="74"/>
      <c r="AE140" s="75">
        <f ca="1">IFERROR(IF(Cost_Elements[[#This Row],[Row]]&gt;='Do Not Use or Delete'!$L$2, IF(Cost_Elements[[#This Row],[Row]]&lt;='Do Not Use or Delete'!$M$2,AC140*AD140,0),0)+IF(Cost_Elements[[#This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0" s="64"/>
      <c r="AG140" s="65"/>
      <c r="AH140" s="73"/>
      <c r="AI140" s="74"/>
      <c r="AJ140" s="458"/>
      <c r="AK140" s="458"/>
      <c r="AL140" s="75">
        <f ca="1">IFERROR(IF(Cost_Elements[[#This Row],[Row]]&gt;='Do Not Use or Delete'!$L$2, IF(Cost_Elements[[#This Row],[Row]]&lt;='Do Not Use or Delete'!$M$2,AH140*AI140,0),0)+IF(Cost_Elements[[#This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0" s="64"/>
      <c r="AN140" s="65"/>
      <c r="AO140" s="77">
        <f t="shared" si="6"/>
        <v>0</v>
      </c>
      <c r="AP140" s="78">
        <f t="shared" ca="1" si="7"/>
        <v>0</v>
      </c>
      <c r="AQ140" s="68">
        <f ca="1">ROW(Cost_Elements[[#This Row],[Amount | Total]])</f>
        <v>140</v>
      </c>
    </row>
    <row r="141" spans="1:50">
      <c r="A141" s="240" t="s">
        <v>165</v>
      </c>
      <c r="B141" s="275"/>
      <c r="C141" s="277"/>
      <c r="D141" s="318"/>
      <c r="E141" s="318"/>
      <c r="F141" s="318"/>
      <c r="G141" s="318"/>
      <c r="H141" s="121" t="str">
        <f ca="1">IFERROR(INDEX(Labor_Categories[Minimum Direct Labor Rates],MATCH(Cost_Elements[[#This Row],[Government Labor Category]],Labor_Categories[Labor Categories],0)),"")</f>
        <v/>
      </c>
      <c r="I141" s="73"/>
      <c r="J141" s="74"/>
      <c r="K141" s="75">
        <f ca="1">IFERROR(IF(Cost_Elements[[#This Row],[Row]]&gt;='Do Not Use or Delete'!$L$2, IF(Cost_Elements[[#This Row],[Row]]&lt;='Do Not Use or Delete'!$M$2,I141*J141,0),0)+IF(Cost_Elements[[#This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1" s="63"/>
      <c r="M141" s="63"/>
      <c r="N141" s="73"/>
      <c r="O141" s="74"/>
      <c r="P141" s="75">
        <f ca="1">IFERROR(IF(Cost_Elements[[#This Row],[Row]]&gt;='Do Not Use or Delete'!$L$2, IF(Cost_Elements[[#This Row],[Row]]&lt;='Do Not Use or Delete'!$M$2,N141*O141,0),0)+IF(Cost_Elements[[#This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1" s="63"/>
      <c r="R141" s="63"/>
      <c r="S141" s="73"/>
      <c r="T141" s="74"/>
      <c r="U141" s="75">
        <f ca="1">IFERROR(IF(Cost_Elements[[#This Row],[Row]]&gt;='Do Not Use or Delete'!$L$2, IF(Cost_Elements[[#This Row],[Row]]&lt;='Do Not Use or Delete'!$M$2,S141*T141,0),0)+IF(Cost_Elements[[#This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1" s="63"/>
      <c r="W141" s="63"/>
      <c r="X141" s="73"/>
      <c r="Y141" s="74"/>
      <c r="Z141" s="75">
        <f ca="1">IFERROR(IF(Cost_Elements[[#This Row],[Row]]&gt;='Do Not Use or Delete'!$L$2, IF(Cost_Elements[[#This Row],[Row]]&lt;='Do Not Use or Delete'!$M$2,X141*Y141,0),0)+IF(Cost_Elements[[#This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1" s="63"/>
      <c r="AB141" s="63"/>
      <c r="AC141" s="73"/>
      <c r="AD141" s="74"/>
      <c r="AE141" s="75">
        <f ca="1">IFERROR(IF(Cost_Elements[[#This Row],[Row]]&gt;='Do Not Use or Delete'!$L$2, IF(Cost_Elements[[#This Row],[Row]]&lt;='Do Not Use or Delete'!$M$2,AC141*AD141,0),0)+IF(Cost_Elements[[#This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1" s="64"/>
      <c r="AG141" s="65"/>
      <c r="AH141" s="73"/>
      <c r="AI141" s="74"/>
      <c r="AJ141" s="458"/>
      <c r="AK141" s="458"/>
      <c r="AL141" s="75">
        <f ca="1">IFERROR(IF(Cost_Elements[[#This Row],[Row]]&gt;='Do Not Use or Delete'!$L$2, IF(Cost_Elements[[#This Row],[Row]]&lt;='Do Not Use or Delete'!$M$2,AH141*AI141,0),0)+IF(Cost_Elements[[#This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1" s="64"/>
      <c r="AN141" s="65"/>
      <c r="AO141" s="77">
        <f t="shared" si="6"/>
        <v>0</v>
      </c>
      <c r="AP141" s="78">
        <f t="shared" ca="1" si="7"/>
        <v>0</v>
      </c>
      <c r="AQ141" s="68">
        <f ca="1">ROW(Cost_Elements[[#This Row],[Amount | Total]])</f>
        <v>141</v>
      </c>
    </row>
    <row r="142" spans="1:50">
      <c r="A142" s="240" t="s">
        <v>165</v>
      </c>
      <c r="B142" s="277"/>
      <c r="C142" s="277"/>
      <c r="D142" s="277"/>
      <c r="E142" s="318"/>
      <c r="F142" s="318"/>
      <c r="G142" s="277"/>
      <c r="H142" s="121" t="str">
        <f ca="1">IFERROR(INDEX(Labor_Categories[Minimum Direct Labor Rates],MATCH(Cost_Elements[[#This Row],[Government Labor Category]],Labor_Categories[Labor Categories],0)),"")</f>
        <v/>
      </c>
      <c r="I142" s="73"/>
      <c r="J142" s="74"/>
      <c r="K142" s="75">
        <f ca="1">IFERROR(IF(Cost_Elements[[#This Row],[Row]]&gt;='Do Not Use or Delete'!$L$2, IF(Cost_Elements[[#This Row],[Row]]&lt;='Do Not Use or Delete'!$M$2,I142*J142,0),0)+IF(Cost_Elements[[#This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2" s="63"/>
      <c r="M142" s="63"/>
      <c r="N142" s="73"/>
      <c r="O142" s="74"/>
      <c r="P142" s="75">
        <f ca="1">IFERROR(IF(Cost_Elements[[#This Row],[Row]]&gt;='Do Not Use or Delete'!$L$2, IF(Cost_Elements[[#This Row],[Row]]&lt;='Do Not Use or Delete'!$M$2,N142*O142,0),0)+IF(Cost_Elements[[#This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2" s="63"/>
      <c r="R142" s="63"/>
      <c r="S142" s="73"/>
      <c r="T142" s="74"/>
      <c r="U142" s="75">
        <f ca="1">IFERROR(IF(Cost_Elements[[#This Row],[Row]]&gt;='Do Not Use or Delete'!$L$2, IF(Cost_Elements[[#This Row],[Row]]&lt;='Do Not Use or Delete'!$M$2,S142*T142,0),0)+IF(Cost_Elements[[#This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2" s="63"/>
      <c r="W142" s="63"/>
      <c r="X142" s="73"/>
      <c r="Y142" s="74"/>
      <c r="Z142" s="75">
        <f ca="1">IFERROR(IF(Cost_Elements[[#This Row],[Row]]&gt;='Do Not Use or Delete'!$L$2, IF(Cost_Elements[[#This Row],[Row]]&lt;='Do Not Use or Delete'!$M$2,X142*Y142,0),0)+IF(Cost_Elements[[#This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2" s="63"/>
      <c r="AB142" s="63"/>
      <c r="AC142" s="73"/>
      <c r="AD142" s="74"/>
      <c r="AE142" s="75">
        <f ca="1">IFERROR(IF(Cost_Elements[[#This Row],[Row]]&gt;='Do Not Use or Delete'!$L$2, IF(Cost_Elements[[#This Row],[Row]]&lt;='Do Not Use or Delete'!$M$2,AC142*AD142,0),0)+IF(Cost_Elements[[#This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2" s="102"/>
      <c r="AG142" s="249"/>
      <c r="AH142" s="73"/>
      <c r="AI142" s="74"/>
      <c r="AJ142" s="458"/>
      <c r="AK142" s="458"/>
      <c r="AL142" s="75">
        <f ca="1">IFERROR(IF(Cost_Elements[[#This Row],[Row]]&gt;='Do Not Use or Delete'!$L$2, IF(Cost_Elements[[#This Row],[Row]]&lt;='Do Not Use or Delete'!$M$2,AH142*AI142,0),0)+IF(Cost_Elements[[#This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2" s="102"/>
      <c r="AN142" s="249"/>
      <c r="AO142" s="77">
        <f t="shared" si="6"/>
        <v>0</v>
      </c>
      <c r="AP142" s="78">
        <f t="shared" ca="1" si="7"/>
        <v>0</v>
      </c>
      <c r="AQ142" s="68">
        <f ca="1">ROW(Cost_Elements[[#This Row],[Amount | Total]])</f>
        <v>142</v>
      </c>
    </row>
    <row r="143" spans="1:50">
      <c r="A143" s="240" t="s">
        <v>165</v>
      </c>
      <c r="B143" s="277"/>
      <c r="C143" s="277"/>
      <c r="D143" s="277"/>
      <c r="E143" s="318"/>
      <c r="F143" s="318"/>
      <c r="G143" s="277"/>
      <c r="H143" s="121" t="str">
        <f ca="1">IFERROR(INDEX(Labor_Categories[Minimum Direct Labor Rates],MATCH(Cost_Elements[[#This Row],[Government Labor Category]],Labor_Categories[Labor Categories],0)),"")</f>
        <v/>
      </c>
      <c r="I143" s="73"/>
      <c r="J143" s="74"/>
      <c r="K143" s="75">
        <f ca="1">IFERROR(IF(Cost_Elements[[#This Row],[Row]]&gt;='Do Not Use or Delete'!$L$2, IF(Cost_Elements[[#This Row],[Row]]&lt;='Do Not Use or Delete'!$M$2,I143*J143,0),0)+IF(Cost_Elements[[#This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3" s="63"/>
      <c r="M143" s="63"/>
      <c r="N143" s="73"/>
      <c r="O143" s="74"/>
      <c r="P143" s="75">
        <f ca="1">IFERROR(IF(Cost_Elements[[#This Row],[Row]]&gt;='Do Not Use or Delete'!$L$2, IF(Cost_Elements[[#This Row],[Row]]&lt;='Do Not Use or Delete'!$M$2,N143*O143,0),0)+IF(Cost_Elements[[#This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3" s="63"/>
      <c r="R143" s="63"/>
      <c r="S143" s="73"/>
      <c r="T143" s="74"/>
      <c r="U143" s="75">
        <f ca="1">IFERROR(IF(Cost_Elements[[#This Row],[Row]]&gt;='Do Not Use or Delete'!$L$2, IF(Cost_Elements[[#This Row],[Row]]&lt;='Do Not Use or Delete'!$M$2,S143*T143,0),0)+IF(Cost_Elements[[#This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3" s="63"/>
      <c r="W143" s="63"/>
      <c r="X143" s="73"/>
      <c r="Y143" s="74"/>
      <c r="Z143" s="75">
        <f ca="1">IFERROR(IF(Cost_Elements[[#This Row],[Row]]&gt;='Do Not Use or Delete'!$L$2, IF(Cost_Elements[[#This Row],[Row]]&lt;='Do Not Use or Delete'!$M$2,X143*Y143,0),0)+IF(Cost_Elements[[#This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3" s="63"/>
      <c r="AB143" s="63"/>
      <c r="AC143" s="73"/>
      <c r="AD143" s="74"/>
      <c r="AE143" s="75">
        <f ca="1">IFERROR(IF(Cost_Elements[[#This Row],[Row]]&gt;='Do Not Use or Delete'!$L$2, IF(Cost_Elements[[#This Row],[Row]]&lt;='Do Not Use or Delete'!$M$2,AC143*AD143,0),0)+IF(Cost_Elements[[#This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3" s="102"/>
      <c r="AG143" s="249"/>
      <c r="AH143" s="73"/>
      <c r="AI143" s="74"/>
      <c r="AJ143" s="458"/>
      <c r="AK143" s="458"/>
      <c r="AL143" s="75">
        <f ca="1">IFERROR(IF(Cost_Elements[[#This Row],[Row]]&gt;='Do Not Use or Delete'!$L$2, IF(Cost_Elements[[#This Row],[Row]]&lt;='Do Not Use or Delete'!$M$2,AH143*AI143,0),0)+IF(Cost_Elements[[#This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3" s="102"/>
      <c r="AN143" s="249"/>
      <c r="AO143" s="77">
        <f t="shared" si="6"/>
        <v>0</v>
      </c>
      <c r="AP143" s="78">
        <f t="shared" ca="1" si="7"/>
        <v>0</v>
      </c>
      <c r="AQ143" s="68">
        <f ca="1">ROW(Cost_Elements[[#This Row],[Amount | Total]])</f>
        <v>143</v>
      </c>
    </row>
    <row r="144" spans="1:50">
      <c r="A144" s="240" t="s">
        <v>165</v>
      </c>
      <c r="B144" s="277"/>
      <c r="C144" s="277"/>
      <c r="D144" s="277"/>
      <c r="E144" s="318"/>
      <c r="F144" s="318"/>
      <c r="G144" s="277"/>
      <c r="H144" s="121" t="str">
        <f ca="1">IFERROR(INDEX(Labor_Categories[Minimum Direct Labor Rates],MATCH(Cost_Elements[[#This Row],[Government Labor Category]],Labor_Categories[Labor Categories],0)),"")</f>
        <v/>
      </c>
      <c r="I144" s="73"/>
      <c r="J144" s="74"/>
      <c r="K144" s="75">
        <f ca="1">IFERROR(IF(Cost_Elements[[#This Row],[Row]]&gt;='Do Not Use or Delete'!$L$2, IF(Cost_Elements[[#This Row],[Row]]&lt;='Do Not Use or Delete'!$M$2,I144*J144,0),0)+IF(Cost_Elements[[#This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4" s="63"/>
      <c r="M144" s="63"/>
      <c r="N144" s="73"/>
      <c r="O144" s="74"/>
      <c r="P144" s="75">
        <f ca="1">IFERROR(IF(Cost_Elements[[#This Row],[Row]]&gt;='Do Not Use or Delete'!$L$2, IF(Cost_Elements[[#This Row],[Row]]&lt;='Do Not Use or Delete'!$M$2,N144*O144,0),0)+IF(Cost_Elements[[#This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4" s="63"/>
      <c r="R144" s="63"/>
      <c r="S144" s="73"/>
      <c r="T144" s="74"/>
      <c r="U144" s="75">
        <f ca="1">IFERROR(IF(Cost_Elements[[#This Row],[Row]]&gt;='Do Not Use or Delete'!$L$2, IF(Cost_Elements[[#This Row],[Row]]&lt;='Do Not Use or Delete'!$M$2,S144*T144,0),0)+IF(Cost_Elements[[#This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4" s="63"/>
      <c r="W144" s="63"/>
      <c r="X144" s="73"/>
      <c r="Y144" s="74"/>
      <c r="Z144" s="75">
        <f ca="1">IFERROR(IF(Cost_Elements[[#This Row],[Row]]&gt;='Do Not Use or Delete'!$L$2, IF(Cost_Elements[[#This Row],[Row]]&lt;='Do Not Use or Delete'!$M$2,X144*Y144,0),0)+IF(Cost_Elements[[#This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4" s="63"/>
      <c r="AB144" s="63"/>
      <c r="AC144" s="73"/>
      <c r="AD144" s="74"/>
      <c r="AE144" s="75">
        <f ca="1">IFERROR(IF(Cost_Elements[[#This Row],[Row]]&gt;='Do Not Use or Delete'!$L$2, IF(Cost_Elements[[#This Row],[Row]]&lt;='Do Not Use or Delete'!$M$2,AC144*AD144,0),0)+IF(Cost_Elements[[#This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4" s="102"/>
      <c r="AG144" s="249"/>
      <c r="AH144" s="73"/>
      <c r="AI144" s="74"/>
      <c r="AJ144" s="458"/>
      <c r="AK144" s="458"/>
      <c r="AL144" s="75">
        <f ca="1">IFERROR(IF(Cost_Elements[[#This Row],[Row]]&gt;='Do Not Use or Delete'!$L$2, IF(Cost_Elements[[#This Row],[Row]]&lt;='Do Not Use or Delete'!$M$2,AH144*AI144,0),0)+IF(Cost_Elements[[#This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4" s="102"/>
      <c r="AN144" s="249"/>
      <c r="AO144" s="77">
        <f t="shared" si="6"/>
        <v>0</v>
      </c>
      <c r="AP144" s="78">
        <f t="shared" ca="1" si="7"/>
        <v>0</v>
      </c>
      <c r="AQ144" s="68">
        <f ca="1">ROW(Cost_Elements[[#This Row],[Amount | Total]])</f>
        <v>144</v>
      </c>
    </row>
    <row r="145" spans="1:43">
      <c r="A145" s="240" t="s">
        <v>165</v>
      </c>
      <c r="B145" s="277"/>
      <c r="C145" s="277"/>
      <c r="D145" s="277"/>
      <c r="E145" s="318"/>
      <c r="F145" s="318"/>
      <c r="G145" s="277"/>
      <c r="H145" s="121" t="str">
        <f ca="1">IFERROR(INDEX(Labor_Categories[Minimum Direct Labor Rates],MATCH(Cost_Elements[[#This Row],[Government Labor Category]],Labor_Categories[Labor Categories],0)),"")</f>
        <v/>
      </c>
      <c r="I145" s="73"/>
      <c r="J145" s="74"/>
      <c r="K145" s="75">
        <f ca="1">IFERROR(IF(Cost_Elements[[#This Row],[Row]]&gt;='Do Not Use or Delete'!$L$2, IF(Cost_Elements[[#This Row],[Row]]&lt;='Do Not Use or Delete'!$M$2,I145*J145,0),0)+IF(Cost_Elements[[#This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5" s="63"/>
      <c r="M145" s="63"/>
      <c r="N145" s="73"/>
      <c r="O145" s="74"/>
      <c r="P145" s="75">
        <f ca="1">IFERROR(IF(Cost_Elements[[#This Row],[Row]]&gt;='Do Not Use or Delete'!$L$2, IF(Cost_Elements[[#This Row],[Row]]&lt;='Do Not Use or Delete'!$M$2,N145*O145,0),0)+IF(Cost_Elements[[#This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5" s="63"/>
      <c r="R145" s="63"/>
      <c r="S145" s="73"/>
      <c r="T145" s="74"/>
      <c r="U145" s="75">
        <f ca="1">IFERROR(IF(Cost_Elements[[#This Row],[Row]]&gt;='Do Not Use or Delete'!$L$2, IF(Cost_Elements[[#This Row],[Row]]&lt;='Do Not Use or Delete'!$M$2,S145*T145,0),0)+IF(Cost_Elements[[#This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5" s="63"/>
      <c r="W145" s="63"/>
      <c r="X145" s="73"/>
      <c r="Y145" s="74"/>
      <c r="Z145" s="75">
        <f ca="1">IFERROR(IF(Cost_Elements[[#This Row],[Row]]&gt;='Do Not Use or Delete'!$L$2, IF(Cost_Elements[[#This Row],[Row]]&lt;='Do Not Use or Delete'!$M$2,X145*Y145,0),0)+IF(Cost_Elements[[#This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5" s="63"/>
      <c r="AB145" s="63"/>
      <c r="AC145" s="73"/>
      <c r="AD145" s="74"/>
      <c r="AE145" s="75">
        <f ca="1">IFERROR(IF(Cost_Elements[[#This Row],[Row]]&gt;='Do Not Use or Delete'!$L$2, IF(Cost_Elements[[#This Row],[Row]]&lt;='Do Not Use or Delete'!$M$2,AC145*AD145,0),0)+IF(Cost_Elements[[#This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5" s="102"/>
      <c r="AG145" s="249"/>
      <c r="AH145" s="73"/>
      <c r="AI145" s="74"/>
      <c r="AJ145" s="458"/>
      <c r="AK145" s="458"/>
      <c r="AL145" s="75">
        <f ca="1">IFERROR(IF(Cost_Elements[[#This Row],[Row]]&gt;='Do Not Use or Delete'!$L$2, IF(Cost_Elements[[#This Row],[Row]]&lt;='Do Not Use or Delete'!$M$2,AH145*AI145,0),0)+IF(Cost_Elements[[#This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5" s="102"/>
      <c r="AN145" s="249"/>
      <c r="AO145" s="77">
        <f t="shared" si="6"/>
        <v>0</v>
      </c>
      <c r="AP145" s="78">
        <f t="shared" ca="1" si="7"/>
        <v>0</v>
      </c>
      <c r="AQ145" s="68">
        <f ca="1">ROW(Cost_Elements[[#This Row],[Amount | Total]])</f>
        <v>145</v>
      </c>
    </row>
    <row r="146" spans="1:43">
      <c r="A146" s="240" t="s">
        <v>165</v>
      </c>
      <c r="B146" s="277"/>
      <c r="C146" s="277"/>
      <c r="D146" s="277"/>
      <c r="E146" s="318"/>
      <c r="F146" s="318"/>
      <c r="G146" s="277"/>
      <c r="H146" s="121" t="str">
        <f ca="1">IFERROR(INDEX(Labor_Categories[Minimum Direct Labor Rates],MATCH(Cost_Elements[[#This Row],[Government Labor Category]],Labor_Categories[Labor Categories],0)),"")</f>
        <v/>
      </c>
      <c r="I146" s="73"/>
      <c r="J146" s="74"/>
      <c r="K146" s="75">
        <f ca="1">IFERROR(IF(Cost_Elements[[#This Row],[Row]]&gt;='Do Not Use or Delete'!$L$2, IF(Cost_Elements[[#This Row],[Row]]&lt;='Do Not Use or Delete'!$M$2,I146*J146,0),0)+IF(Cost_Elements[[#This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6" s="63"/>
      <c r="M146" s="63"/>
      <c r="N146" s="73"/>
      <c r="O146" s="74"/>
      <c r="P146" s="75">
        <f ca="1">IFERROR(IF(Cost_Elements[[#This Row],[Row]]&gt;='Do Not Use or Delete'!$L$2, IF(Cost_Elements[[#This Row],[Row]]&lt;='Do Not Use or Delete'!$M$2,N146*O146,0),0)+IF(Cost_Elements[[#This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6" s="63"/>
      <c r="R146" s="63"/>
      <c r="S146" s="73"/>
      <c r="T146" s="74"/>
      <c r="U146" s="75">
        <f ca="1">IFERROR(IF(Cost_Elements[[#This Row],[Row]]&gt;='Do Not Use or Delete'!$L$2, IF(Cost_Elements[[#This Row],[Row]]&lt;='Do Not Use or Delete'!$M$2,S146*T146,0),0)+IF(Cost_Elements[[#This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6" s="63"/>
      <c r="W146" s="63"/>
      <c r="X146" s="73"/>
      <c r="Y146" s="74"/>
      <c r="Z146" s="75">
        <f ca="1">IFERROR(IF(Cost_Elements[[#This Row],[Row]]&gt;='Do Not Use or Delete'!$L$2, IF(Cost_Elements[[#This Row],[Row]]&lt;='Do Not Use or Delete'!$M$2,X146*Y146,0),0)+IF(Cost_Elements[[#This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6" s="63"/>
      <c r="AB146" s="63"/>
      <c r="AC146" s="73"/>
      <c r="AD146" s="74"/>
      <c r="AE146" s="75">
        <f ca="1">IFERROR(IF(Cost_Elements[[#This Row],[Row]]&gt;='Do Not Use or Delete'!$L$2, IF(Cost_Elements[[#This Row],[Row]]&lt;='Do Not Use or Delete'!$M$2,AC146*AD146,0),0)+IF(Cost_Elements[[#This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6" s="102"/>
      <c r="AG146" s="249"/>
      <c r="AH146" s="73"/>
      <c r="AI146" s="74"/>
      <c r="AJ146" s="458"/>
      <c r="AK146" s="458"/>
      <c r="AL146" s="75">
        <f ca="1">IFERROR(IF(Cost_Elements[[#This Row],[Row]]&gt;='Do Not Use or Delete'!$L$2, IF(Cost_Elements[[#This Row],[Row]]&lt;='Do Not Use or Delete'!$M$2,AH146*AI146,0),0)+IF(Cost_Elements[[#This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6" s="102"/>
      <c r="AN146" s="249"/>
      <c r="AO146" s="77">
        <f t="shared" si="6"/>
        <v>0</v>
      </c>
      <c r="AP146" s="78">
        <f t="shared" ca="1" si="7"/>
        <v>0</v>
      </c>
      <c r="AQ146" s="68">
        <f ca="1">ROW(Cost_Elements[[#This Row],[Amount | Total]])</f>
        <v>146</v>
      </c>
    </row>
    <row r="147" spans="1:43">
      <c r="A147" s="240" t="s">
        <v>165</v>
      </c>
      <c r="B147" s="277"/>
      <c r="C147" s="277"/>
      <c r="D147" s="277"/>
      <c r="E147" s="318"/>
      <c r="F147" s="318"/>
      <c r="G147" s="277"/>
      <c r="H147" s="121" t="str">
        <f ca="1">IFERROR(INDEX(Labor_Categories[Minimum Direct Labor Rates],MATCH(Cost_Elements[[#This Row],[Government Labor Category]],Labor_Categories[Labor Categories],0)),"")</f>
        <v/>
      </c>
      <c r="I147" s="73"/>
      <c r="J147" s="74"/>
      <c r="K147" s="75">
        <f ca="1">IFERROR(IF(Cost_Elements[[#This Row],[Row]]&gt;='Do Not Use or Delete'!$L$2, IF(Cost_Elements[[#This Row],[Row]]&lt;='Do Not Use or Delete'!$M$2,I147*J147,0),0)+IF(Cost_Elements[[#This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7" s="63"/>
      <c r="M147" s="63"/>
      <c r="N147" s="73"/>
      <c r="O147" s="74"/>
      <c r="P147" s="75">
        <f ca="1">IFERROR(IF(Cost_Elements[[#This Row],[Row]]&gt;='Do Not Use or Delete'!$L$2, IF(Cost_Elements[[#This Row],[Row]]&lt;='Do Not Use or Delete'!$M$2,N147*O147,0),0)+IF(Cost_Elements[[#This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7" s="63"/>
      <c r="R147" s="63"/>
      <c r="S147" s="73"/>
      <c r="T147" s="74"/>
      <c r="U147" s="75">
        <f ca="1">IFERROR(IF(Cost_Elements[[#This Row],[Row]]&gt;='Do Not Use or Delete'!$L$2, IF(Cost_Elements[[#This Row],[Row]]&lt;='Do Not Use or Delete'!$M$2,S147*T147,0),0)+IF(Cost_Elements[[#This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7" s="63"/>
      <c r="W147" s="63"/>
      <c r="X147" s="73"/>
      <c r="Y147" s="74"/>
      <c r="Z147" s="75">
        <f ca="1">IFERROR(IF(Cost_Elements[[#This Row],[Row]]&gt;='Do Not Use or Delete'!$L$2, IF(Cost_Elements[[#This Row],[Row]]&lt;='Do Not Use or Delete'!$M$2,X147*Y147,0),0)+IF(Cost_Elements[[#This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7" s="63"/>
      <c r="AB147" s="63"/>
      <c r="AC147" s="73"/>
      <c r="AD147" s="74"/>
      <c r="AE147" s="75">
        <f ca="1">IFERROR(IF(Cost_Elements[[#This Row],[Row]]&gt;='Do Not Use or Delete'!$L$2, IF(Cost_Elements[[#This Row],[Row]]&lt;='Do Not Use or Delete'!$M$2,AC147*AD147,0),0)+IF(Cost_Elements[[#This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7" s="102"/>
      <c r="AG147" s="249"/>
      <c r="AH147" s="73"/>
      <c r="AI147" s="74"/>
      <c r="AJ147" s="458"/>
      <c r="AK147" s="458"/>
      <c r="AL147" s="75">
        <f ca="1">IFERROR(IF(Cost_Elements[[#This Row],[Row]]&gt;='Do Not Use or Delete'!$L$2, IF(Cost_Elements[[#This Row],[Row]]&lt;='Do Not Use or Delete'!$M$2,AH147*AI147,0),0)+IF(Cost_Elements[[#This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7" s="102"/>
      <c r="AN147" s="249"/>
      <c r="AO147" s="77">
        <f t="shared" si="6"/>
        <v>0</v>
      </c>
      <c r="AP147" s="78">
        <f t="shared" ca="1" si="7"/>
        <v>0</v>
      </c>
      <c r="AQ147" s="68">
        <f ca="1">ROW(Cost_Elements[[#This Row],[Amount | Total]])</f>
        <v>147</v>
      </c>
    </row>
    <row r="148" spans="1:43">
      <c r="A148" s="240" t="s">
        <v>165</v>
      </c>
      <c r="B148" s="277"/>
      <c r="C148" s="277"/>
      <c r="D148" s="277"/>
      <c r="E148" s="318"/>
      <c r="F148" s="318"/>
      <c r="G148" s="277"/>
      <c r="H148" s="121" t="str">
        <f ca="1">IFERROR(INDEX(Labor_Categories[Minimum Direct Labor Rates],MATCH(Cost_Elements[[#This Row],[Government Labor Category]],Labor_Categories[Labor Categories],0)),"")</f>
        <v/>
      </c>
      <c r="I148" s="73"/>
      <c r="J148" s="74"/>
      <c r="K148" s="75">
        <f ca="1">IFERROR(IF(Cost_Elements[[#This Row],[Row]]&gt;='Do Not Use or Delete'!$L$2, IF(Cost_Elements[[#This Row],[Row]]&lt;='Do Not Use or Delete'!$M$2,I148*J148,0),0)+IF(Cost_Elements[[#This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8" s="63"/>
      <c r="M148" s="63"/>
      <c r="N148" s="73"/>
      <c r="O148" s="74"/>
      <c r="P148" s="75">
        <f ca="1">IFERROR(IF(Cost_Elements[[#This Row],[Row]]&gt;='Do Not Use or Delete'!$L$2, IF(Cost_Elements[[#This Row],[Row]]&lt;='Do Not Use or Delete'!$M$2,N148*O148,0),0)+IF(Cost_Elements[[#This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8" s="63"/>
      <c r="R148" s="63"/>
      <c r="S148" s="73"/>
      <c r="T148" s="74"/>
      <c r="U148" s="75">
        <f ca="1">IFERROR(IF(Cost_Elements[[#This Row],[Row]]&gt;='Do Not Use or Delete'!$L$2, IF(Cost_Elements[[#This Row],[Row]]&lt;='Do Not Use or Delete'!$M$2,S148*T148,0),0)+IF(Cost_Elements[[#This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8" s="63"/>
      <c r="W148" s="63"/>
      <c r="X148" s="73"/>
      <c r="Y148" s="74"/>
      <c r="Z148" s="75">
        <f ca="1">IFERROR(IF(Cost_Elements[[#This Row],[Row]]&gt;='Do Not Use or Delete'!$L$2, IF(Cost_Elements[[#This Row],[Row]]&lt;='Do Not Use or Delete'!$M$2,X148*Y148,0),0)+IF(Cost_Elements[[#This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8" s="63"/>
      <c r="AB148" s="63"/>
      <c r="AC148" s="73"/>
      <c r="AD148" s="74"/>
      <c r="AE148" s="75">
        <f ca="1">IFERROR(IF(Cost_Elements[[#This Row],[Row]]&gt;='Do Not Use or Delete'!$L$2, IF(Cost_Elements[[#This Row],[Row]]&lt;='Do Not Use or Delete'!$M$2,AC148*AD148,0),0)+IF(Cost_Elements[[#This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8" s="102"/>
      <c r="AG148" s="249"/>
      <c r="AH148" s="73"/>
      <c r="AI148" s="74"/>
      <c r="AJ148" s="458"/>
      <c r="AK148" s="458"/>
      <c r="AL148" s="75">
        <f ca="1">IFERROR(IF(Cost_Elements[[#This Row],[Row]]&gt;='Do Not Use or Delete'!$L$2, IF(Cost_Elements[[#This Row],[Row]]&lt;='Do Not Use or Delete'!$M$2,AH148*AI148,0),0)+IF(Cost_Elements[[#This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8" s="102"/>
      <c r="AN148" s="249"/>
      <c r="AO148" s="77">
        <f t="shared" si="6"/>
        <v>0</v>
      </c>
      <c r="AP148" s="78">
        <f t="shared" ca="1" si="7"/>
        <v>0</v>
      </c>
      <c r="AQ148" s="68">
        <f ca="1">ROW(Cost_Elements[[#This Row],[Amount | Total]])</f>
        <v>148</v>
      </c>
    </row>
    <row r="149" spans="1:43">
      <c r="A149" s="240" t="s">
        <v>165</v>
      </c>
      <c r="B149" s="275"/>
      <c r="C149" s="277"/>
      <c r="D149" s="318"/>
      <c r="E149" s="318"/>
      <c r="F149" s="318"/>
      <c r="G149" s="318"/>
      <c r="H149" s="121" t="str">
        <f ca="1">IFERROR(INDEX(Labor_Categories[Minimum Direct Labor Rates],MATCH(Cost_Elements[[#This Row],[Government Labor Category]],Labor_Categories[Labor Categories],0)),"")</f>
        <v/>
      </c>
      <c r="I149" s="73"/>
      <c r="J149" s="74"/>
      <c r="K149" s="75">
        <f ca="1">IFERROR(IF(Cost_Elements[[#This Row],[Row]]&gt;='Do Not Use or Delete'!$L$2, IF(Cost_Elements[[#This Row],[Row]]&lt;='Do Not Use or Delete'!$M$2,I149*J149,0),0)+IF(Cost_Elements[[#This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9" s="63"/>
      <c r="M149" s="63"/>
      <c r="N149" s="73"/>
      <c r="O149" s="74"/>
      <c r="P149" s="75">
        <f ca="1">IFERROR(IF(Cost_Elements[[#This Row],[Row]]&gt;='Do Not Use or Delete'!$L$2, IF(Cost_Elements[[#This Row],[Row]]&lt;='Do Not Use or Delete'!$M$2,N149*O149,0),0)+IF(Cost_Elements[[#This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9" s="63"/>
      <c r="R149" s="63"/>
      <c r="S149" s="73"/>
      <c r="T149" s="74"/>
      <c r="U149" s="75">
        <f ca="1">IFERROR(IF(Cost_Elements[[#This Row],[Row]]&gt;='Do Not Use or Delete'!$L$2, IF(Cost_Elements[[#This Row],[Row]]&lt;='Do Not Use or Delete'!$M$2,S149*T149,0),0)+IF(Cost_Elements[[#This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9" s="63"/>
      <c r="W149" s="63"/>
      <c r="X149" s="79"/>
      <c r="Y149" s="74"/>
      <c r="Z149" s="75">
        <f ca="1">IFERROR(IF(Cost_Elements[[#This Row],[Row]]&gt;='Do Not Use or Delete'!$L$2, IF(Cost_Elements[[#This Row],[Row]]&lt;='Do Not Use or Delete'!$M$2,X149*Y149,0),0)+IF(Cost_Elements[[#This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9" s="63"/>
      <c r="AB149" s="63"/>
      <c r="AC149" s="79"/>
      <c r="AD149" s="74"/>
      <c r="AE149" s="75">
        <f ca="1">IFERROR(IF(Cost_Elements[[#This Row],[Row]]&gt;='Do Not Use or Delete'!$L$2, IF(Cost_Elements[[#This Row],[Row]]&lt;='Do Not Use or Delete'!$M$2,AC149*AD149,0),0)+IF(Cost_Elements[[#This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9" s="64"/>
      <c r="AG149" s="65"/>
      <c r="AH149" s="79"/>
      <c r="AI149" s="74"/>
      <c r="AJ149" s="458"/>
      <c r="AK149" s="458"/>
      <c r="AL149" s="75">
        <f ca="1">IFERROR(IF(Cost_Elements[[#This Row],[Row]]&gt;='Do Not Use or Delete'!$L$2, IF(Cost_Elements[[#This Row],[Row]]&lt;='Do Not Use or Delete'!$M$2,AH149*AI149,0),0)+IF(Cost_Elements[[#This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9" s="64"/>
      <c r="AN149" s="65"/>
      <c r="AO149" s="77">
        <f t="shared" si="6"/>
        <v>0</v>
      </c>
      <c r="AP149" s="78">
        <f t="shared" ca="1" si="7"/>
        <v>0</v>
      </c>
      <c r="AQ149" s="68">
        <f ca="1">ROW(Cost_Elements[[#This Row],[Amount | Total]])</f>
        <v>149</v>
      </c>
    </row>
    <row r="150" spans="1:43">
      <c r="A150" s="257"/>
      <c r="B150" s="276"/>
      <c r="C150" s="277"/>
      <c r="D150" s="318"/>
      <c r="E150" s="318"/>
      <c r="F150" s="318"/>
      <c r="G150" s="318"/>
      <c r="H150" s="121" t="str">
        <f ca="1">IFERROR(INDEX(Labor_Categories[Minimum Direct Labor Rates],MATCH(Cost_Elements[[#This Row],[Government Labor Category]],Labor_Categories[Labor Categories],0)),"")</f>
        <v/>
      </c>
      <c r="I150" s="73"/>
      <c r="J150" s="74"/>
      <c r="K150" s="75">
        <f ca="1">IFERROR(IF(Cost_Elements[[#This Row],[Row]]&gt;='Do Not Use or Delete'!$L$2, IF(Cost_Elements[[#This Row],[Row]]&lt;='Do Not Use or Delete'!$M$2,I150*J150,0),0)+IF(Cost_Elements[[#This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0" s="63"/>
      <c r="M150" s="63"/>
      <c r="N150" s="73"/>
      <c r="O150" s="74"/>
      <c r="P150" s="75">
        <f ca="1">IFERROR(IF(Cost_Elements[[#This Row],[Row]]&gt;='Do Not Use or Delete'!$L$2, IF(Cost_Elements[[#This Row],[Row]]&lt;='Do Not Use or Delete'!$M$2,N150*O150,0),0)+IF(Cost_Elements[[#This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0" s="63"/>
      <c r="R150" s="63"/>
      <c r="S150" s="73"/>
      <c r="T150" s="74"/>
      <c r="U150" s="75">
        <f ca="1">IFERROR(IF(Cost_Elements[[#This Row],[Row]]&gt;='Do Not Use or Delete'!$L$2, IF(Cost_Elements[[#This Row],[Row]]&lt;='Do Not Use or Delete'!$M$2,S150*T150,0),0)+IF(Cost_Elements[[#This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0" s="63"/>
      <c r="W150" s="63"/>
      <c r="X150" s="79"/>
      <c r="Y150" s="74"/>
      <c r="Z150" s="75">
        <f ca="1">IFERROR(IF(Cost_Elements[[#This Row],[Row]]&gt;='Do Not Use or Delete'!$L$2, IF(Cost_Elements[[#This Row],[Row]]&lt;='Do Not Use or Delete'!$M$2,X150*Y150,0),0)+IF(Cost_Elements[[#This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0" s="63"/>
      <c r="AB150" s="63"/>
      <c r="AC150" s="79"/>
      <c r="AD150" s="74"/>
      <c r="AE150" s="75">
        <f ca="1">IFERROR(IF(Cost_Elements[[#This Row],[Row]]&gt;='Do Not Use or Delete'!$L$2, IF(Cost_Elements[[#This Row],[Row]]&lt;='Do Not Use or Delete'!$M$2,AC150*AD150,0),0)+IF(Cost_Elements[[#This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0" s="64"/>
      <c r="AG150" s="122"/>
      <c r="AH150" s="79"/>
      <c r="AI150" s="74"/>
      <c r="AJ150" s="458"/>
      <c r="AK150" s="458"/>
      <c r="AL150" s="75">
        <f ca="1">IFERROR(IF(Cost_Elements[[#This Row],[Row]]&gt;='Do Not Use or Delete'!$L$2, IF(Cost_Elements[[#This Row],[Row]]&lt;='Do Not Use or Delete'!$M$2,AH150*AI150,0),0)+IF(Cost_Elements[[#This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0" s="64"/>
      <c r="AN150" s="122"/>
      <c r="AO150" s="77">
        <f t="shared" si="6"/>
        <v>0</v>
      </c>
      <c r="AP150" s="78">
        <f t="shared" ca="1" si="7"/>
        <v>0</v>
      </c>
      <c r="AQ150" s="68">
        <f ca="1">ROW(Cost_Elements[[#This Row],[Amount | Total]])</f>
        <v>150</v>
      </c>
    </row>
    <row r="151" spans="1:43">
      <c r="A151" s="239" t="s">
        <v>190</v>
      </c>
      <c r="B151" s="70"/>
      <c r="C151" s="69"/>
      <c r="D151" s="297"/>
      <c r="E151" s="297"/>
      <c r="F151" s="297"/>
      <c r="G151" s="297"/>
      <c r="H151" s="59" t="str">
        <f ca="1">IFERROR(INDEX(Labor_Categories[Minimum Direct Labor Rates],MATCH(Cost_Elements[[#This Row],[Government Labor Category]],Labor_Categories[Labor Categories],0)),"")</f>
        <v/>
      </c>
      <c r="I151" s="11"/>
      <c r="J151" s="119">
        <f ca="1">SUM(J152:J165)</f>
        <v>0</v>
      </c>
      <c r="K151" s="120">
        <f ca="1">SUM(K152:K165)</f>
        <v>0</v>
      </c>
      <c r="L151" s="248"/>
      <c r="M151" s="248"/>
      <c r="N151" s="11">
        <f ca="1">(Cost_Elements[[#This Row],[Rate | 1]]*$O$4)+Cost_Elements[[#This Row],[Rate | 1]]</f>
        <v>0</v>
      </c>
      <c r="O151" s="119">
        <f ca="1">SUM(O152:O165)</f>
        <v>0</v>
      </c>
      <c r="P151" s="120">
        <f ca="1">SUM(P152:P165)</f>
        <v>0</v>
      </c>
      <c r="Q151" s="248"/>
      <c r="R151" s="248"/>
      <c r="S151" s="11">
        <f ca="1">(Cost_Elements[[#This Row],[Rate | 2]]*$T$4)+Cost_Elements[[#This Row],[Rate | 2]]</f>
        <v>0</v>
      </c>
      <c r="T151" s="119">
        <f ca="1">SUM(T152:T165)</f>
        <v>0</v>
      </c>
      <c r="U151" s="120">
        <f ca="1">SUM(U152:U165)</f>
        <v>0</v>
      </c>
      <c r="V151" s="248"/>
      <c r="W151" s="248"/>
      <c r="X151" s="11">
        <f ca="1">(Cost_Elements[[#This Row],[Rate | 3]]*$Y$4)+Cost_Elements[[#This Row],[Rate | 3]]</f>
        <v>0</v>
      </c>
      <c r="Y151" s="119">
        <f ca="1">SUM(Y152:Y165)</f>
        <v>0</v>
      </c>
      <c r="Z151" s="120">
        <f ca="1">SUM(Z152:Z165)</f>
        <v>0</v>
      </c>
      <c r="AA151" s="248"/>
      <c r="AB151" s="248"/>
      <c r="AC151" s="11">
        <f ca="1">(Cost_Elements[[#This Row],[Rate | 4]]*$AD$4)+Cost_Elements[[#This Row],[Rate | 4]]</f>
        <v>0</v>
      </c>
      <c r="AD151" s="119">
        <f ca="1">SUM(AD152:AD165)</f>
        <v>0</v>
      </c>
      <c r="AE151" s="120">
        <f ca="1">SUM(AE152:AE165)</f>
        <v>0</v>
      </c>
      <c r="AF151" s="102"/>
      <c r="AG151" s="91"/>
      <c r="AH151" s="11">
        <f ca="1">(Cost_Elements[[#This Row],[Rate | 4]]*$AD$4)+Cost_Elements[[#This Row],[Rate | 4]]</f>
        <v>0</v>
      </c>
      <c r="AI151" s="119">
        <f ca="1">SUM(AI152:AI165)</f>
        <v>0</v>
      </c>
      <c r="AJ151" s="119"/>
      <c r="AK151" s="119"/>
      <c r="AL151" s="120">
        <f ca="1">SUM(AL152:AL165)</f>
        <v>0</v>
      </c>
      <c r="AM151" s="102"/>
      <c r="AN151" s="91"/>
      <c r="AO151" s="215">
        <f>SUM(AO152:AO165)</f>
        <v>0</v>
      </c>
      <c r="AP151" s="87">
        <f ca="1">SUM(AP152:AP165)</f>
        <v>0</v>
      </c>
      <c r="AQ151" s="68">
        <f ca="1">ROW(Cost_Elements[[#This Row],[Amount | Total]])</f>
        <v>151</v>
      </c>
    </row>
    <row r="152" spans="1:43">
      <c r="A152" s="240" t="s">
        <v>165</v>
      </c>
      <c r="B152" s="275"/>
      <c r="C152" s="277"/>
      <c r="D152" s="318"/>
      <c r="E152" s="318"/>
      <c r="F152" s="318"/>
      <c r="G152" s="318"/>
      <c r="H152" s="121"/>
      <c r="I152" s="73"/>
      <c r="J152" s="74"/>
      <c r="K152" s="75">
        <f ca="1">IFERROR(IF(Cost_Elements[[#This Row],[Row]]&gt;='Do Not Use or Delete'!$L$2, IF(Cost_Elements[[#This Row],[Row]]&lt;='Do Not Use or Delete'!$M$2,I152*J152,0),0)+IF(Cost_Elements[[#This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2" s="63"/>
      <c r="M152" s="63"/>
      <c r="N152" s="73"/>
      <c r="O152" s="74"/>
      <c r="P152" s="75">
        <f ca="1">IFERROR(IF(Cost_Elements[[#This Row],[Row]]&gt;='Do Not Use or Delete'!$L$2, IF(Cost_Elements[[#This Row],[Row]]&lt;='Do Not Use or Delete'!$M$2,N152*O152,0),0)+IF(Cost_Elements[[#This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2" s="63"/>
      <c r="R152" s="63"/>
      <c r="S152" s="79"/>
      <c r="T152" s="74"/>
      <c r="U152" s="75">
        <f ca="1">IFERROR(IF(Cost_Elements[[#This Row],[Row]]&gt;='Do Not Use or Delete'!$L$2, IF(Cost_Elements[[#This Row],[Row]]&lt;='Do Not Use or Delete'!$M$2,S152*T152,0),0)+IF(Cost_Elements[[#This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2" s="63"/>
      <c r="W152" s="63"/>
      <c r="X152" s="79"/>
      <c r="Y152" s="74"/>
      <c r="Z152" s="75">
        <f ca="1">IFERROR(IF(Cost_Elements[[#This Row],[Row]]&gt;='Do Not Use or Delete'!$L$2, IF(Cost_Elements[[#This Row],[Row]]&lt;='Do Not Use or Delete'!$M$2,X152*Y152,0),0)+IF(Cost_Elements[[#This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2" s="63"/>
      <c r="AB152" s="63"/>
      <c r="AC152" s="79"/>
      <c r="AD152" s="74"/>
      <c r="AE152" s="75">
        <f ca="1">IFERROR(IF(Cost_Elements[[#This Row],[Row]]&gt;='Do Not Use or Delete'!$L$2, IF(Cost_Elements[[#This Row],[Row]]&lt;='Do Not Use or Delete'!$M$2,AC152*AD152,0),0)+IF(Cost_Elements[[#This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2" s="64"/>
      <c r="AG152" s="65"/>
      <c r="AH152" s="79"/>
      <c r="AI152" s="74"/>
      <c r="AJ152" s="458"/>
      <c r="AK152" s="458"/>
      <c r="AL152" s="75">
        <f ca="1">IFERROR(IF(Cost_Elements[[#This Row],[Row]]&gt;='Do Not Use or Delete'!$L$2, IF(Cost_Elements[[#This Row],[Row]]&lt;='Do Not Use or Delete'!$M$2,AH152*AI152,0),0)+IF(Cost_Elements[[#This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2" s="64"/>
      <c r="AN152" s="65"/>
      <c r="AO152" s="77">
        <f>J152+T152+AD152+O152+Y152+AI152</f>
        <v>0</v>
      </c>
      <c r="AP152" s="78">
        <f ca="1">K152+U152+AE152+P152+Z152+AL152</f>
        <v>0</v>
      </c>
      <c r="AQ152" s="68">
        <f ca="1">ROW(Cost_Elements[[#This Row],[Amount | Total]])</f>
        <v>152</v>
      </c>
    </row>
    <row r="153" spans="1:43">
      <c r="A153" s="240" t="s">
        <v>165</v>
      </c>
      <c r="B153" s="275"/>
      <c r="C153" s="277"/>
      <c r="D153" s="318"/>
      <c r="E153" s="318"/>
      <c r="F153" s="318"/>
      <c r="G153" s="318"/>
      <c r="H153" s="121" t="str">
        <f ca="1">IFERROR(INDEX(Labor_Categories[Minimum Direct Labor Rates],MATCH(Cost_Elements[[#This Row],[Government Labor Category]],Labor_Categories[Labor Categories],0)),"")</f>
        <v/>
      </c>
      <c r="I153" s="73"/>
      <c r="J153" s="74"/>
      <c r="K153" s="75">
        <f ca="1">IFERROR(IF(Cost_Elements[[#This Row],[Row]]&gt;='Do Not Use or Delete'!$L$2, IF(Cost_Elements[[#This Row],[Row]]&lt;='Do Not Use or Delete'!$M$2,I153*J153,0),0)+IF(Cost_Elements[[#This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3" s="63"/>
      <c r="M153" s="63"/>
      <c r="N153" s="73"/>
      <c r="O153" s="74"/>
      <c r="P153" s="75">
        <f ca="1">IFERROR(IF(Cost_Elements[[#This Row],[Row]]&gt;='Do Not Use or Delete'!$L$2, IF(Cost_Elements[[#This Row],[Row]]&lt;='Do Not Use or Delete'!$M$2,N153*O153,0),0)+IF(Cost_Elements[[#This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3" s="63"/>
      <c r="R153" s="63"/>
      <c r="S153" s="79"/>
      <c r="T153" s="74"/>
      <c r="U153" s="75">
        <f ca="1">IFERROR(IF(Cost_Elements[[#This Row],[Row]]&gt;='Do Not Use or Delete'!$L$2, IF(Cost_Elements[[#This Row],[Row]]&lt;='Do Not Use or Delete'!$M$2,S153*T153,0),0)+IF(Cost_Elements[[#This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3" s="63"/>
      <c r="W153" s="63"/>
      <c r="X153" s="79"/>
      <c r="Y153" s="74"/>
      <c r="Z153" s="75">
        <f ca="1">IFERROR(IF(Cost_Elements[[#This Row],[Row]]&gt;='Do Not Use or Delete'!$L$2, IF(Cost_Elements[[#This Row],[Row]]&lt;='Do Not Use or Delete'!$M$2,X153*Y153,0),0)+IF(Cost_Elements[[#This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3" s="63"/>
      <c r="AB153" s="63"/>
      <c r="AC153" s="79"/>
      <c r="AD153" s="74"/>
      <c r="AE153" s="75">
        <f ca="1">IFERROR(IF(Cost_Elements[[#This Row],[Row]]&gt;='Do Not Use or Delete'!$L$2, IF(Cost_Elements[[#This Row],[Row]]&lt;='Do Not Use or Delete'!$M$2,AC153*AD153,0),0)+IF(Cost_Elements[[#This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3" s="64"/>
      <c r="AG153" s="65"/>
      <c r="AH153" s="79"/>
      <c r="AI153" s="74"/>
      <c r="AJ153" s="458"/>
      <c r="AK153" s="458"/>
      <c r="AL153" s="75">
        <f ca="1">IFERROR(IF(Cost_Elements[[#This Row],[Row]]&gt;='Do Not Use or Delete'!$L$2, IF(Cost_Elements[[#This Row],[Row]]&lt;='Do Not Use or Delete'!$M$2,AH153*AI153,0),0)+IF(Cost_Elements[[#This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3" s="64"/>
      <c r="AN153" s="65"/>
      <c r="AO153" s="77">
        <f t="shared" ref="AO153:AO165" si="8">J153+T153+AD153+O153+Y153+AI153</f>
        <v>0</v>
      </c>
      <c r="AP153" s="78">
        <f t="shared" ref="AP153:AP165" ca="1" si="9">K153+U153+AE153+P153+Z153+AL153</f>
        <v>0</v>
      </c>
      <c r="AQ153" s="68">
        <f ca="1">ROW(Cost_Elements[[#This Row],[Amount | Total]])</f>
        <v>153</v>
      </c>
    </row>
    <row r="154" spans="1:43">
      <c r="A154" s="240" t="s">
        <v>165</v>
      </c>
      <c r="B154" s="275"/>
      <c r="C154" s="277"/>
      <c r="D154" s="318"/>
      <c r="E154" s="318"/>
      <c r="F154" s="318"/>
      <c r="G154" s="318"/>
      <c r="H154" s="121" t="str">
        <f ca="1">IFERROR(INDEX(Labor_Categories[Minimum Direct Labor Rates],MATCH(Cost_Elements[[#This Row],[Government Labor Category]],Labor_Categories[Labor Categories],0)),"")</f>
        <v/>
      </c>
      <c r="I154" s="73"/>
      <c r="J154" s="74"/>
      <c r="K154" s="75">
        <f ca="1">IFERROR(IF(Cost_Elements[[#This Row],[Row]]&gt;='Do Not Use or Delete'!$L$2, IF(Cost_Elements[[#This Row],[Row]]&lt;='Do Not Use or Delete'!$M$2,I154*J154,0),0)+IF(Cost_Elements[[#This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4" s="63"/>
      <c r="M154" s="63"/>
      <c r="N154" s="73"/>
      <c r="O154" s="74"/>
      <c r="P154" s="75">
        <f ca="1">IFERROR(IF(Cost_Elements[[#This Row],[Row]]&gt;='Do Not Use or Delete'!$L$2, IF(Cost_Elements[[#This Row],[Row]]&lt;='Do Not Use or Delete'!$M$2,N154*O154,0),0)+IF(Cost_Elements[[#This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4" s="63"/>
      <c r="R154" s="63"/>
      <c r="S154" s="79"/>
      <c r="T154" s="74"/>
      <c r="U154" s="75">
        <f ca="1">IFERROR(IF(Cost_Elements[[#This Row],[Row]]&gt;='Do Not Use or Delete'!$L$2, IF(Cost_Elements[[#This Row],[Row]]&lt;='Do Not Use or Delete'!$M$2,S154*T154,0),0)+IF(Cost_Elements[[#This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4" s="63"/>
      <c r="W154" s="63"/>
      <c r="X154" s="79"/>
      <c r="Y154" s="74"/>
      <c r="Z154" s="75">
        <f ca="1">IFERROR(IF(Cost_Elements[[#This Row],[Row]]&gt;='Do Not Use or Delete'!$L$2, IF(Cost_Elements[[#This Row],[Row]]&lt;='Do Not Use or Delete'!$M$2,X154*Y154,0),0)+IF(Cost_Elements[[#This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4" s="63"/>
      <c r="AB154" s="63"/>
      <c r="AC154" s="79"/>
      <c r="AD154" s="74"/>
      <c r="AE154" s="75">
        <f ca="1">IFERROR(IF(Cost_Elements[[#This Row],[Row]]&gt;='Do Not Use or Delete'!$L$2, IF(Cost_Elements[[#This Row],[Row]]&lt;='Do Not Use or Delete'!$M$2,AC154*AD154,0),0)+IF(Cost_Elements[[#This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4" s="64"/>
      <c r="AG154" s="65"/>
      <c r="AH154" s="79"/>
      <c r="AI154" s="74"/>
      <c r="AJ154" s="458"/>
      <c r="AK154" s="458"/>
      <c r="AL154" s="75">
        <f ca="1">IFERROR(IF(Cost_Elements[[#This Row],[Row]]&gt;='Do Not Use or Delete'!$L$2, IF(Cost_Elements[[#This Row],[Row]]&lt;='Do Not Use or Delete'!$M$2,AH154*AI154,0),0)+IF(Cost_Elements[[#This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4" s="64"/>
      <c r="AN154" s="65"/>
      <c r="AO154" s="77">
        <f t="shared" si="8"/>
        <v>0</v>
      </c>
      <c r="AP154" s="78">
        <f t="shared" ca="1" si="9"/>
        <v>0</v>
      </c>
      <c r="AQ154" s="68">
        <f ca="1">ROW(Cost_Elements[[#This Row],[Amount | Total]])</f>
        <v>154</v>
      </c>
    </row>
    <row r="155" spans="1:43">
      <c r="A155" s="240" t="s">
        <v>165</v>
      </c>
      <c r="B155" s="277"/>
      <c r="C155" s="277"/>
      <c r="D155" s="277"/>
      <c r="E155" s="318"/>
      <c r="F155" s="318"/>
      <c r="G155" s="277"/>
      <c r="H155" s="121" t="str">
        <f ca="1">IFERROR(INDEX(Labor_Categories[Minimum Direct Labor Rates],MATCH(Cost_Elements[[#This Row],[Government Labor Category]],Labor_Categories[Labor Categories],0)),"")</f>
        <v/>
      </c>
      <c r="I155" s="262"/>
      <c r="J155" s="74"/>
      <c r="K155" s="75">
        <f ca="1">IFERROR(IF(Cost_Elements[[#This Row],[Row]]&gt;='Do Not Use or Delete'!$L$2, IF(Cost_Elements[[#This Row],[Row]]&lt;='Do Not Use or Delete'!$M$2,I155*J155,0),0)+IF(Cost_Elements[[#This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5" s="63"/>
      <c r="M155" s="63"/>
      <c r="N155" s="79"/>
      <c r="O155" s="74"/>
      <c r="P155" s="75">
        <f ca="1">IFERROR(IF(Cost_Elements[[#This Row],[Row]]&gt;='Do Not Use or Delete'!$L$2, IF(Cost_Elements[[#This Row],[Row]]&lt;='Do Not Use or Delete'!$M$2,N155*O155,0),0)+IF(Cost_Elements[[#This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5" s="63"/>
      <c r="R155" s="63"/>
      <c r="S155" s="79"/>
      <c r="T155" s="74"/>
      <c r="U155" s="75">
        <f ca="1">IFERROR(IF(Cost_Elements[[#This Row],[Row]]&gt;='Do Not Use or Delete'!$L$2, IF(Cost_Elements[[#This Row],[Row]]&lt;='Do Not Use or Delete'!$M$2,S155*T155,0),0)+IF(Cost_Elements[[#This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5" s="63"/>
      <c r="W155" s="63"/>
      <c r="X155" s="79"/>
      <c r="Y155" s="74"/>
      <c r="Z155" s="75">
        <f ca="1">IFERROR(IF(Cost_Elements[[#This Row],[Row]]&gt;='Do Not Use or Delete'!$L$2, IF(Cost_Elements[[#This Row],[Row]]&lt;='Do Not Use or Delete'!$M$2,X155*Y155,0),0)+IF(Cost_Elements[[#This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5" s="63"/>
      <c r="AB155" s="63"/>
      <c r="AC155" s="79"/>
      <c r="AD155" s="74"/>
      <c r="AE155" s="75">
        <f ca="1">IFERROR(IF(Cost_Elements[[#This Row],[Row]]&gt;='Do Not Use or Delete'!$L$2, IF(Cost_Elements[[#This Row],[Row]]&lt;='Do Not Use or Delete'!$M$2,AC155*AD155,0),0)+IF(Cost_Elements[[#This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5" s="102"/>
      <c r="AG155" s="249"/>
      <c r="AH155" s="79"/>
      <c r="AI155" s="74"/>
      <c r="AJ155" s="458"/>
      <c r="AK155" s="458"/>
      <c r="AL155" s="75">
        <f ca="1">IFERROR(IF(Cost_Elements[[#This Row],[Row]]&gt;='Do Not Use or Delete'!$L$2, IF(Cost_Elements[[#This Row],[Row]]&lt;='Do Not Use or Delete'!$M$2,AH155*AI155,0),0)+IF(Cost_Elements[[#This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5" s="102"/>
      <c r="AN155" s="249"/>
      <c r="AO155" s="77">
        <f t="shared" si="8"/>
        <v>0</v>
      </c>
      <c r="AP155" s="78">
        <f t="shared" ca="1" si="9"/>
        <v>0</v>
      </c>
      <c r="AQ155" s="68">
        <f ca="1">ROW(Cost_Elements[[#This Row],[Amount | Total]])</f>
        <v>155</v>
      </c>
    </row>
    <row r="156" spans="1:43">
      <c r="A156" s="240" t="s">
        <v>165</v>
      </c>
      <c r="B156" s="277"/>
      <c r="C156" s="277"/>
      <c r="D156" s="277"/>
      <c r="E156" s="318"/>
      <c r="F156" s="318"/>
      <c r="G156" s="318"/>
      <c r="H156" s="121" t="str">
        <f ca="1">IFERROR(INDEX(Labor_Categories[Minimum Direct Labor Rates],MATCH(Cost_Elements[[#This Row],[Government Labor Category]],Labor_Categories[Labor Categories],0)),"")</f>
        <v/>
      </c>
      <c r="I156" s="262"/>
      <c r="J156" s="74"/>
      <c r="K156" s="75">
        <f ca="1">IFERROR(IF(Cost_Elements[[#This Row],[Row]]&gt;='Do Not Use or Delete'!$L$2, IF(Cost_Elements[[#This Row],[Row]]&lt;='Do Not Use or Delete'!$M$2,I156*J156,0),0)+IF(Cost_Elements[[#This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6" s="63"/>
      <c r="M156" s="63"/>
      <c r="N156" s="79"/>
      <c r="O156" s="74"/>
      <c r="P156" s="75">
        <f ca="1">IFERROR(IF(Cost_Elements[[#This Row],[Row]]&gt;='Do Not Use or Delete'!$L$2, IF(Cost_Elements[[#This Row],[Row]]&lt;='Do Not Use or Delete'!$M$2,N156*O156,0),0)+IF(Cost_Elements[[#This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6" s="63"/>
      <c r="R156" s="63"/>
      <c r="S156" s="79"/>
      <c r="T156" s="74"/>
      <c r="U156" s="75">
        <f ca="1">IFERROR(IF(Cost_Elements[[#This Row],[Row]]&gt;='Do Not Use or Delete'!$L$2, IF(Cost_Elements[[#This Row],[Row]]&lt;='Do Not Use or Delete'!$M$2,S156*T156,0),0)+IF(Cost_Elements[[#This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6" s="63"/>
      <c r="W156" s="63"/>
      <c r="X156" s="79"/>
      <c r="Y156" s="74"/>
      <c r="Z156" s="75">
        <f ca="1">IFERROR(IF(Cost_Elements[[#This Row],[Row]]&gt;='Do Not Use or Delete'!$L$2, IF(Cost_Elements[[#This Row],[Row]]&lt;='Do Not Use or Delete'!$M$2,X156*Y156,0),0)+IF(Cost_Elements[[#This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6" s="63"/>
      <c r="AB156" s="63"/>
      <c r="AC156" s="79"/>
      <c r="AD156" s="74"/>
      <c r="AE156" s="75">
        <f ca="1">IFERROR(IF(Cost_Elements[[#This Row],[Row]]&gt;='Do Not Use or Delete'!$L$2, IF(Cost_Elements[[#This Row],[Row]]&lt;='Do Not Use or Delete'!$M$2,AC156*AD156,0),0)+IF(Cost_Elements[[#This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6" s="102"/>
      <c r="AG156" s="249"/>
      <c r="AH156" s="79"/>
      <c r="AI156" s="74"/>
      <c r="AJ156" s="458"/>
      <c r="AK156" s="458"/>
      <c r="AL156" s="75">
        <f ca="1">IFERROR(IF(Cost_Elements[[#This Row],[Row]]&gt;='Do Not Use or Delete'!$L$2, IF(Cost_Elements[[#This Row],[Row]]&lt;='Do Not Use or Delete'!$M$2,AH156*AI156,0),0)+IF(Cost_Elements[[#This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6" s="102"/>
      <c r="AN156" s="249"/>
      <c r="AO156" s="77">
        <f t="shared" si="8"/>
        <v>0</v>
      </c>
      <c r="AP156" s="78">
        <f t="shared" ca="1" si="9"/>
        <v>0</v>
      </c>
      <c r="AQ156" s="68">
        <f ca="1">ROW(Cost_Elements[[#This Row],[Amount | Total]])</f>
        <v>156</v>
      </c>
    </row>
    <row r="157" spans="1:43">
      <c r="A157" s="240" t="s">
        <v>165</v>
      </c>
      <c r="B157" s="277"/>
      <c r="C157" s="277"/>
      <c r="D157" s="277"/>
      <c r="E157" s="318"/>
      <c r="F157" s="318"/>
      <c r="G157" s="318"/>
      <c r="H157" s="121" t="str">
        <f ca="1">IFERROR(INDEX(Labor_Categories[Minimum Direct Labor Rates],MATCH(Cost_Elements[[#This Row],[Government Labor Category]],Labor_Categories[Labor Categories],0)),"")</f>
        <v/>
      </c>
      <c r="I157" s="262"/>
      <c r="J157" s="74"/>
      <c r="K157" s="75">
        <f ca="1">IFERROR(IF(Cost_Elements[[#This Row],[Row]]&gt;='Do Not Use or Delete'!$L$2, IF(Cost_Elements[[#This Row],[Row]]&lt;='Do Not Use or Delete'!$M$2,I157*J157,0),0)+IF(Cost_Elements[[#This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7" s="63"/>
      <c r="M157" s="63"/>
      <c r="N157" s="79"/>
      <c r="O157" s="74"/>
      <c r="P157" s="75">
        <f ca="1">IFERROR(IF(Cost_Elements[[#This Row],[Row]]&gt;='Do Not Use or Delete'!$L$2, IF(Cost_Elements[[#This Row],[Row]]&lt;='Do Not Use or Delete'!$M$2,N157*O157,0),0)+IF(Cost_Elements[[#This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7" s="63"/>
      <c r="R157" s="63"/>
      <c r="S157" s="79"/>
      <c r="T157" s="74"/>
      <c r="U157" s="75">
        <f ca="1">IFERROR(IF(Cost_Elements[[#This Row],[Row]]&gt;='Do Not Use or Delete'!$L$2, IF(Cost_Elements[[#This Row],[Row]]&lt;='Do Not Use or Delete'!$M$2,S157*T157,0),0)+IF(Cost_Elements[[#This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7" s="63"/>
      <c r="W157" s="63"/>
      <c r="X157" s="79"/>
      <c r="Y157" s="74"/>
      <c r="Z157" s="75">
        <f ca="1">IFERROR(IF(Cost_Elements[[#This Row],[Row]]&gt;='Do Not Use or Delete'!$L$2, IF(Cost_Elements[[#This Row],[Row]]&lt;='Do Not Use or Delete'!$M$2,X157*Y157,0),0)+IF(Cost_Elements[[#This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7" s="63"/>
      <c r="AB157" s="63"/>
      <c r="AC157" s="79"/>
      <c r="AD157" s="74"/>
      <c r="AE157" s="75">
        <f ca="1">IFERROR(IF(Cost_Elements[[#This Row],[Row]]&gt;='Do Not Use or Delete'!$L$2, IF(Cost_Elements[[#This Row],[Row]]&lt;='Do Not Use or Delete'!$M$2,AC157*AD157,0),0)+IF(Cost_Elements[[#This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7" s="102"/>
      <c r="AG157" s="249"/>
      <c r="AH157" s="79"/>
      <c r="AI157" s="74"/>
      <c r="AJ157" s="458"/>
      <c r="AK157" s="458"/>
      <c r="AL157" s="75">
        <f ca="1">IFERROR(IF(Cost_Elements[[#This Row],[Row]]&gt;='Do Not Use or Delete'!$L$2, IF(Cost_Elements[[#This Row],[Row]]&lt;='Do Not Use or Delete'!$M$2,AH157*AI157,0),0)+IF(Cost_Elements[[#This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7" s="102"/>
      <c r="AN157" s="249"/>
      <c r="AO157" s="77">
        <f t="shared" si="8"/>
        <v>0</v>
      </c>
      <c r="AP157" s="78">
        <f t="shared" ca="1" si="9"/>
        <v>0</v>
      </c>
      <c r="AQ157" s="68">
        <f ca="1">ROW(Cost_Elements[[#This Row],[Amount | Total]])</f>
        <v>157</v>
      </c>
    </row>
    <row r="158" spans="1:43">
      <c r="A158" s="240" t="s">
        <v>165</v>
      </c>
      <c r="B158" s="277"/>
      <c r="C158" s="277"/>
      <c r="D158" s="277"/>
      <c r="E158" s="318"/>
      <c r="F158" s="318"/>
      <c r="G158" s="318"/>
      <c r="H158" s="121" t="str">
        <f ca="1">IFERROR(INDEX(Labor_Categories[Minimum Direct Labor Rates],MATCH(Cost_Elements[[#This Row],[Government Labor Category]],Labor_Categories[Labor Categories],0)),"")</f>
        <v/>
      </c>
      <c r="I158" s="262"/>
      <c r="J158" s="74"/>
      <c r="K158" s="75">
        <f ca="1">IFERROR(IF(Cost_Elements[[#This Row],[Row]]&gt;='Do Not Use or Delete'!$L$2, IF(Cost_Elements[[#This Row],[Row]]&lt;='Do Not Use or Delete'!$M$2,I158*J158,0),0)+IF(Cost_Elements[[#This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8" s="63"/>
      <c r="M158" s="63"/>
      <c r="N158" s="79"/>
      <c r="O158" s="74"/>
      <c r="P158" s="75">
        <f ca="1">IFERROR(IF(Cost_Elements[[#This Row],[Row]]&gt;='Do Not Use or Delete'!$L$2, IF(Cost_Elements[[#This Row],[Row]]&lt;='Do Not Use or Delete'!$M$2,N158*O158,0),0)+IF(Cost_Elements[[#This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8" s="63"/>
      <c r="R158" s="63"/>
      <c r="S158" s="79"/>
      <c r="T158" s="74"/>
      <c r="U158" s="75">
        <f ca="1">IFERROR(IF(Cost_Elements[[#This Row],[Row]]&gt;='Do Not Use or Delete'!$L$2, IF(Cost_Elements[[#This Row],[Row]]&lt;='Do Not Use or Delete'!$M$2,S158*T158,0),0)+IF(Cost_Elements[[#This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8" s="63"/>
      <c r="W158" s="63"/>
      <c r="X158" s="79"/>
      <c r="Y158" s="74"/>
      <c r="Z158" s="75">
        <f ca="1">IFERROR(IF(Cost_Elements[[#This Row],[Row]]&gt;='Do Not Use or Delete'!$L$2, IF(Cost_Elements[[#This Row],[Row]]&lt;='Do Not Use or Delete'!$M$2,X158*Y158,0),0)+IF(Cost_Elements[[#This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8" s="63"/>
      <c r="AB158" s="63"/>
      <c r="AC158" s="79"/>
      <c r="AD158" s="74"/>
      <c r="AE158" s="75">
        <f ca="1">IFERROR(IF(Cost_Elements[[#This Row],[Row]]&gt;='Do Not Use or Delete'!$L$2, IF(Cost_Elements[[#This Row],[Row]]&lt;='Do Not Use or Delete'!$M$2,AC158*AD158,0),0)+IF(Cost_Elements[[#This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8" s="102"/>
      <c r="AG158" s="249"/>
      <c r="AH158" s="79"/>
      <c r="AI158" s="74"/>
      <c r="AJ158" s="458"/>
      <c r="AK158" s="458"/>
      <c r="AL158" s="75">
        <f ca="1">IFERROR(IF(Cost_Elements[[#This Row],[Row]]&gt;='Do Not Use or Delete'!$L$2, IF(Cost_Elements[[#This Row],[Row]]&lt;='Do Not Use or Delete'!$M$2,AH158*AI158,0),0)+IF(Cost_Elements[[#This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8" s="102"/>
      <c r="AN158" s="249"/>
      <c r="AO158" s="77">
        <f t="shared" si="8"/>
        <v>0</v>
      </c>
      <c r="AP158" s="78">
        <f t="shared" ca="1" si="9"/>
        <v>0</v>
      </c>
      <c r="AQ158" s="68">
        <f ca="1">ROW(Cost_Elements[[#This Row],[Amount | Total]])</f>
        <v>158</v>
      </c>
    </row>
    <row r="159" spans="1:43">
      <c r="A159" s="240" t="s">
        <v>165</v>
      </c>
      <c r="B159" s="277"/>
      <c r="C159" s="277"/>
      <c r="D159" s="277"/>
      <c r="E159" s="318"/>
      <c r="F159" s="318"/>
      <c r="G159" s="277"/>
      <c r="H159" s="121" t="str">
        <f ca="1">IFERROR(INDEX(Labor_Categories[Minimum Direct Labor Rates],MATCH(Cost_Elements[[#This Row],[Government Labor Category]],Labor_Categories[Labor Categories],0)),"")</f>
        <v/>
      </c>
      <c r="I159" s="262"/>
      <c r="J159" s="74"/>
      <c r="K159" s="75">
        <f ca="1">IFERROR(IF(Cost_Elements[[#This Row],[Row]]&gt;='Do Not Use or Delete'!$L$2, IF(Cost_Elements[[#This Row],[Row]]&lt;='Do Not Use or Delete'!$M$2,I159*J159,0),0)+IF(Cost_Elements[[#This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9" s="63"/>
      <c r="M159" s="63"/>
      <c r="N159" s="79"/>
      <c r="O159" s="74"/>
      <c r="P159" s="75">
        <f ca="1">IFERROR(IF(Cost_Elements[[#This Row],[Row]]&gt;='Do Not Use or Delete'!$L$2, IF(Cost_Elements[[#This Row],[Row]]&lt;='Do Not Use or Delete'!$M$2,N159*O159,0),0)+IF(Cost_Elements[[#This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9" s="63"/>
      <c r="R159" s="63"/>
      <c r="S159" s="79"/>
      <c r="T159" s="74"/>
      <c r="U159" s="75">
        <f ca="1">IFERROR(IF(Cost_Elements[[#This Row],[Row]]&gt;='Do Not Use or Delete'!$L$2, IF(Cost_Elements[[#This Row],[Row]]&lt;='Do Not Use or Delete'!$M$2,S159*T159,0),0)+IF(Cost_Elements[[#This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9" s="63"/>
      <c r="W159" s="63"/>
      <c r="X159" s="79"/>
      <c r="Y159" s="74"/>
      <c r="Z159" s="75">
        <f ca="1">IFERROR(IF(Cost_Elements[[#This Row],[Row]]&gt;='Do Not Use or Delete'!$L$2, IF(Cost_Elements[[#This Row],[Row]]&lt;='Do Not Use or Delete'!$M$2,X159*Y159,0),0)+IF(Cost_Elements[[#This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9" s="63"/>
      <c r="AB159" s="63"/>
      <c r="AC159" s="79"/>
      <c r="AD159" s="74"/>
      <c r="AE159" s="75">
        <f ca="1">IFERROR(IF(Cost_Elements[[#This Row],[Row]]&gt;='Do Not Use or Delete'!$L$2, IF(Cost_Elements[[#This Row],[Row]]&lt;='Do Not Use or Delete'!$M$2,AC159*AD159,0),0)+IF(Cost_Elements[[#This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9" s="102"/>
      <c r="AG159" s="249"/>
      <c r="AH159" s="79"/>
      <c r="AI159" s="74"/>
      <c r="AJ159" s="458"/>
      <c r="AK159" s="458"/>
      <c r="AL159" s="75">
        <f ca="1">IFERROR(IF(Cost_Elements[[#This Row],[Row]]&gt;='Do Not Use or Delete'!$L$2, IF(Cost_Elements[[#This Row],[Row]]&lt;='Do Not Use or Delete'!$M$2,AH159*AI159,0),0)+IF(Cost_Elements[[#This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9" s="102"/>
      <c r="AN159" s="249"/>
      <c r="AO159" s="77">
        <f t="shared" si="8"/>
        <v>0</v>
      </c>
      <c r="AP159" s="78">
        <f t="shared" ca="1" si="9"/>
        <v>0</v>
      </c>
      <c r="AQ159" s="68">
        <f ca="1">ROW(Cost_Elements[[#This Row],[Amount | Total]])</f>
        <v>159</v>
      </c>
    </row>
    <row r="160" spans="1:43">
      <c r="A160" s="240" t="s">
        <v>165</v>
      </c>
      <c r="B160" s="277"/>
      <c r="C160" s="277"/>
      <c r="D160" s="277"/>
      <c r="E160" s="318"/>
      <c r="F160" s="318"/>
      <c r="G160" s="318"/>
      <c r="H160" s="121" t="str">
        <f ca="1">IFERROR(INDEX(Labor_Categories[Minimum Direct Labor Rates],MATCH(Cost_Elements[[#This Row],[Government Labor Category]],Labor_Categories[Labor Categories],0)),"")</f>
        <v/>
      </c>
      <c r="I160" s="262"/>
      <c r="J160" s="74"/>
      <c r="K160" s="75">
        <f ca="1">IFERROR(IF(Cost_Elements[[#This Row],[Row]]&gt;='Do Not Use or Delete'!$L$2, IF(Cost_Elements[[#This Row],[Row]]&lt;='Do Not Use or Delete'!$M$2,I160*J160,0),0)+IF(Cost_Elements[[#This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0" s="63"/>
      <c r="M160" s="63"/>
      <c r="N160" s="79"/>
      <c r="O160" s="74"/>
      <c r="P160" s="75">
        <f ca="1">IFERROR(IF(Cost_Elements[[#This Row],[Row]]&gt;='Do Not Use or Delete'!$L$2, IF(Cost_Elements[[#This Row],[Row]]&lt;='Do Not Use or Delete'!$M$2,N160*O160,0),0)+IF(Cost_Elements[[#This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0" s="63"/>
      <c r="R160" s="63"/>
      <c r="S160" s="79"/>
      <c r="T160" s="74"/>
      <c r="U160" s="75">
        <f ca="1">IFERROR(IF(Cost_Elements[[#This Row],[Row]]&gt;='Do Not Use or Delete'!$L$2, IF(Cost_Elements[[#This Row],[Row]]&lt;='Do Not Use or Delete'!$M$2,S160*T160,0),0)+IF(Cost_Elements[[#This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0" s="63"/>
      <c r="W160" s="63"/>
      <c r="X160" s="79"/>
      <c r="Y160" s="74"/>
      <c r="Z160" s="75">
        <f ca="1">IFERROR(IF(Cost_Elements[[#This Row],[Row]]&gt;='Do Not Use or Delete'!$L$2, IF(Cost_Elements[[#This Row],[Row]]&lt;='Do Not Use or Delete'!$M$2,X160*Y160,0),0)+IF(Cost_Elements[[#This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0" s="63"/>
      <c r="AB160" s="63"/>
      <c r="AC160" s="79"/>
      <c r="AD160" s="74"/>
      <c r="AE160" s="75">
        <f ca="1">IFERROR(IF(Cost_Elements[[#This Row],[Row]]&gt;='Do Not Use or Delete'!$L$2, IF(Cost_Elements[[#This Row],[Row]]&lt;='Do Not Use or Delete'!$M$2,AC160*AD160,0),0)+IF(Cost_Elements[[#This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0" s="102"/>
      <c r="AG160" s="249"/>
      <c r="AH160" s="79"/>
      <c r="AI160" s="74"/>
      <c r="AJ160" s="458"/>
      <c r="AK160" s="458"/>
      <c r="AL160" s="75">
        <f ca="1">IFERROR(IF(Cost_Elements[[#This Row],[Row]]&gt;='Do Not Use or Delete'!$L$2, IF(Cost_Elements[[#This Row],[Row]]&lt;='Do Not Use or Delete'!$M$2,AH160*AI160,0),0)+IF(Cost_Elements[[#This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0" s="102"/>
      <c r="AN160" s="249"/>
      <c r="AO160" s="77">
        <f t="shared" si="8"/>
        <v>0</v>
      </c>
      <c r="AP160" s="78">
        <f t="shared" ca="1" si="9"/>
        <v>0</v>
      </c>
      <c r="AQ160" s="68">
        <f ca="1">ROW(Cost_Elements[[#This Row],[Amount | Total]])</f>
        <v>160</v>
      </c>
    </row>
    <row r="161" spans="1:43">
      <c r="A161" s="240" t="s">
        <v>165</v>
      </c>
      <c r="B161" s="277"/>
      <c r="C161" s="277"/>
      <c r="D161" s="277"/>
      <c r="E161" s="318"/>
      <c r="F161" s="318"/>
      <c r="G161" s="318"/>
      <c r="H161" s="121" t="str">
        <f ca="1">IFERROR(INDEX(Labor_Categories[Minimum Direct Labor Rates],MATCH(Cost_Elements[[#This Row],[Government Labor Category]],Labor_Categories[Labor Categories],0)),"")</f>
        <v/>
      </c>
      <c r="I161" s="262"/>
      <c r="J161" s="74"/>
      <c r="K161" s="75">
        <f ca="1">IFERROR(IF(Cost_Elements[[#This Row],[Row]]&gt;='Do Not Use or Delete'!$L$2, IF(Cost_Elements[[#This Row],[Row]]&lt;='Do Not Use or Delete'!$M$2,I161*J161,0),0)+IF(Cost_Elements[[#This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1" s="63"/>
      <c r="M161" s="63"/>
      <c r="N161" s="79"/>
      <c r="O161" s="74"/>
      <c r="P161" s="75">
        <f ca="1">IFERROR(IF(Cost_Elements[[#This Row],[Row]]&gt;='Do Not Use or Delete'!$L$2, IF(Cost_Elements[[#This Row],[Row]]&lt;='Do Not Use or Delete'!$M$2,N161*O161,0),0)+IF(Cost_Elements[[#This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1" s="63"/>
      <c r="R161" s="63"/>
      <c r="S161" s="79"/>
      <c r="T161" s="74"/>
      <c r="U161" s="75">
        <f ca="1">IFERROR(IF(Cost_Elements[[#This Row],[Row]]&gt;='Do Not Use or Delete'!$L$2, IF(Cost_Elements[[#This Row],[Row]]&lt;='Do Not Use or Delete'!$M$2,S161*T161,0),0)+IF(Cost_Elements[[#This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1" s="63"/>
      <c r="W161" s="63"/>
      <c r="X161" s="79"/>
      <c r="Y161" s="74"/>
      <c r="Z161" s="75">
        <f ca="1">IFERROR(IF(Cost_Elements[[#This Row],[Row]]&gt;='Do Not Use or Delete'!$L$2, IF(Cost_Elements[[#This Row],[Row]]&lt;='Do Not Use or Delete'!$M$2,X161*Y161,0),0)+IF(Cost_Elements[[#This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1" s="63"/>
      <c r="AB161" s="63"/>
      <c r="AC161" s="79"/>
      <c r="AD161" s="74"/>
      <c r="AE161" s="75">
        <f ca="1">IFERROR(IF(Cost_Elements[[#This Row],[Row]]&gt;='Do Not Use or Delete'!$L$2, IF(Cost_Elements[[#This Row],[Row]]&lt;='Do Not Use or Delete'!$M$2,AC161*AD161,0),0)+IF(Cost_Elements[[#This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1" s="102"/>
      <c r="AG161" s="249"/>
      <c r="AH161" s="79"/>
      <c r="AI161" s="74"/>
      <c r="AJ161" s="458"/>
      <c r="AK161" s="458"/>
      <c r="AL161" s="75">
        <f ca="1">IFERROR(IF(Cost_Elements[[#This Row],[Row]]&gt;='Do Not Use or Delete'!$L$2, IF(Cost_Elements[[#This Row],[Row]]&lt;='Do Not Use or Delete'!$M$2,AH161*AI161,0),0)+IF(Cost_Elements[[#This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1" s="102"/>
      <c r="AN161" s="249"/>
      <c r="AO161" s="77">
        <f>J161+T161+AD161+O161+Y161+AI161</f>
        <v>0</v>
      </c>
      <c r="AP161" s="78">
        <f t="shared" ca="1" si="9"/>
        <v>0</v>
      </c>
      <c r="AQ161" s="68">
        <f ca="1">ROW(Cost_Elements[[#This Row],[Amount | Total]])</f>
        <v>161</v>
      </c>
    </row>
    <row r="162" spans="1:43">
      <c r="A162" s="240" t="s">
        <v>165</v>
      </c>
      <c r="B162" s="277"/>
      <c r="C162" s="277"/>
      <c r="D162" s="277"/>
      <c r="E162" s="318"/>
      <c r="F162" s="318"/>
      <c r="G162" s="318"/>
      <c r="H162" s="121" t="str">
        <f ca="1">IFERROR(INDEX(Labor_Categories[Minimum Direct Labor Rates],MATCH(Cost_Elements[[#This Row],[Government Labor Category]],Labor_Categories[Labor Categories],0)),"")</f>
        <v/>
      </c>
      <c r="I162" s="262"/>
      <c r="J162" s="74"/>
      <c r="K162" s="75">
        <f ca="1">IFERROR(IF(Cost_Elements[[#This Row],[Row]]&gt;='Do Not Use or Delete'!$L$2, IF(Cost_Elements[[#This Row],[Row]]&lt;='Do Not Use or Delete'!$M$2,I162*J162,0),0)+IF(Cost_Elements[[#This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2" s="63"/>
      <c r="M162" s="63"/>
      <c r="N162" s="79"/>
      <c r="O162" s="74"/>
      <c r="P162" s="75">
        <f ca="1">IFERROR(IF(Cost_Elements[[#This Row],[Row]]&gt;='Do Not Use or Delete'!$L$2, IF(Cost_Elements[[#This Row],[Row]]&lt;='Do Not Use or Delete'!$M$2,N162*O162,0),0)+IF(Cost_Elements[[#This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2" s="63"/>
      <c r="R162" s="63"/>
      <c r="S162" s="79"/>
      <c r="T162" s="74"/>
      <c r="U162" s="75">
        <f ca="1">IFERROR(IF(Cost_Elements[[#This Row],[Row]]&gt;='Do Not Use or Delete'!$L$2, IF(Cost_Elements[[#This Row],[Row]]&lt;='Do Not Use or Delete'!$M$2,S162*T162,0),0)+IF(Cost_Elements[[#This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2" s="63"/>
      <c r="W162" s="63"/>
      <c r="X162" s="79"/>
      <c r="Y162" s="74"/>
      <c r="Z162" s="75">
        <f ca="1">IFERROR(IF(Cost_Elements[[#This Row],[Row]]&gt;='Do Not Use or Delete'!$L$2, IF(Cost_Elements[[#This Row],[Row]]&lt;='Do Not Use or Delete'!$M$2,X162*Y162,0),0)+IF(Cost_Elements[[#This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2" s="63"/>
      <c r="AB162" s="63"/>
      <c r="AC162" s="79"/>
      <c r="AD162" s="74"/>
      <c r="AE162" s="75">
        <f ca="1">IFERROR(IF(Cost_Elements[[#This Row],[Row]]&gt;='Do Not Use or Delete'!$L$2, IF(Cost_Elements[[#This Row],[Row]]&lt;='Do Not Use or Delete'!$M$2,AC162*AD162,0),0)+IF(Cost_Elements[[#This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2" s="102"/>
      <c r="AG162" s="249"/>
      <c r="AH162" s="79"/>
      <c r="AI162" s="74"/>
      <c r="AJ162" s="458"/>
      <c r="AK162" s="458"/>
      <c r="AL162" s="75">
        <f ca="1">IFERROR(IF(Cost_Elements[[#This Row],[Row]]&gt;='Do Not Use or Delete'!$L$2, IF(Cost_Elements[[#This Row],[Row]]&lt;='Do Not Use or Delete'!$M$2,AH162*AI162,0),0)+IF(Cost_Elements[[#This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2" s="102"/>
      <c r="AN162" s="249"/>
      <c r="AO162" s="77">
        <f t="shared" si="8"/>
        <v>0</v>
      </c>
      <c r="AP162" s="78">
        <f t="shared" ca="1" si="9"/>
        <v>0</v>
      </c>
      <c r="AQ162" s="68">
        <f ca="1">ROW(Cost_Elements[[#This Row],[Amount | Total]])</f>
        <v>162</v>
      </c>
    </row>
    <row r="163" spans="1:43">
      <c r="A163" s="240" t="s">
        <v>165</v>
      </c>
      <c r="B163" s="277"/>
      <c r="C163" s="277"/>
      <c r="D163" s="277"/>
      <c r="E163" s="318"/>
      <c r="F163" s="318"/>
      <c r="G163" s="277"/>
      <c r="H163" s="121" t="str">
        <f ca="1">IFERROR(INDEX(Labor_Categories[Minimum Direct Labor Rates],MATCH(Cost_Elements[[#This Row],[Government Labor Category]],Labor_Categories[Labor Categories],0)),"")</f>
        <v/>
      </c>
      <c r="I163" s="262"/>
      <c r="J163" s="74"/>
      <c r="K163" s="75">
        <f ca="1">IFERROR(IF(Cost_Elements[[#This Row],[Row]]&gt;='Do Not Use or Delete'!$L$2, IF(Cost_Elements[[#This Row],[Row]]&lt;='Do Not Use or Delete'!$M$2,I163*J163,0),0)+IF(Cost_Elements[[#This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3" s="63"/>
      <c r="M163" s="63"/>
      <c r="N163" s="79"/>
      <c r="O163" s="74"/>
      <c r="P163" s="75">
        <f ca="1">IFERROR(IF(Cost_Elements[[#This Row],[Row]]&gt;='Do Not Use or Delete'!$L$2, IF(Cost_Elements[[#This Row],[Row]]&lt;='Do Not Use or Delete'!$M$2,N163*O163,0),0)+IF(Cost_Elements[[#This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3" s="63"/>
      <c r="R163" s="63"/>
      <c r="S163" s="79"/>
      <c r="T163" s="74"/>
      <c r="U163" s="75">
        <f ca="1">IFERROR(IF(Cost_Elements[[#This Row],[Row]]&gt;='Do Not Use or Delete'!$L$2, IF(Cost_Elements[[#This Row],[Row]]&lt;='Do Not Use or Delete'!$M$2,S163*T163,0),0)+IF(Cost_Elements[[#This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3" s="63"/>
      <c r="W163" s="63"/>
      <c r="X163" s="79"/>
      <c r="Y163" s="74"/>
      <c r="Z163" s="75">
        <f ca="1">IFERROR(IF(Cost_Elements[[#This Row],[Row]]&gt;='Do Not Use or Delete'!$L$2, IF(Cost_Elements[[#This Row],[Row]]&lt;='Do Not Use or Delete'!$M$2,X163*Y163,0),0)+IF(Cost_Elements[[#This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3" s="63"/>
      <c r="AB163" s="63"/>
      <c r="AC163" s="79"/>
      <c r="AD163" s="74"/>
      <c r="AE163" s="75">
        <f ca="1">IFERROR(IF(Cost_Elements[[#This Row],[Row]]&gt;='Do Not Use or Delete'!$L$2, IF(Cost_Elements[[#This Row],[Row]]&lt;='Do Not Use or Delete'!$M$2,AC163*AD163,0),0)+IF(Cost_Elements[[#This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3" s="102"/>
      <c r="AG163" s="249"/>
      <c r="AH163" s="79"/>
      <c r="AI163" s="74"/>
      <c r="AJ163" s="458"/>
      <c r="AK163" s="458"/>
      <c r="AL163" s="75">
        <f ca="1">IFERROR(IF(Cost_Elements[[#This Row],[Row]]&gt;='Do Not Use or Delete'!$L$2, IF(Cost_Elements[[#This Row],[Row]]&lt;='Do Not Use or Delete'!$M$2,AH163*AI163,0),0)+IF(Cost_Elements[[#This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3" s="102"/>
      <c r="AN163" s="249"/>
      <c r="AO163" s="77">
        <f t="shared" si="8"/>
        <v>0</v>
      </c>
      <c r="AP163" s="78">
        <f t="shared" ca="1" si="9"/>
        <v>0</v>
      </c>
      <c r="AQ163" s="68">
        <f ca="1">ROW(Cost_Elements[[#This Row],[Amount | Total]])</f>
        <v>163</v>
      </c>
    </row>
    <row r="164" spans="1:43">
      <c r="A164" s="240" t="s">
        <v>165</v>
      </c>
      <c r="B164" s="277"/>
      <c r="C164" s="277"/>
      <c r="D164" s="277"/>
      <c r="E164" s="318"/>
      <c r="F164" s="318"/>
      <c r="G164" s="318"/>
      <c r="H164" s="121" t="str">
        <f ca="1">IFERROR(INDEX(Labor_Categories[Minimum Direct Labor Rates],MATCH(Cost_Elements[[#This Row],[Government Labor Category]],Labor_Categories[Labor Categories],0)),"")</f>
        <v/>
      </c>
      <c r="I164" s="262"/>
      <c r="J164" s="74"/>
      <c r="K164" s="75">
        <f ca="1">IFERROR(IF(Cost_Elements[[#This Row],[Row]]&gt;='Do Not Use or Delete'!$L$2, IF(Cost_Elements[[#This Row],[Row]]&lt;='Do Not Use or Delete'!$M$2,I164*J164,0),0)+IF(Cost_Elements[[#This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4" s="63"/>
      <c r="M164" s="63"/>
      <c r="N164" s="79"/>
      <c r="O164" s="74"/>
      <c r="P164" s="75">
        <f ca="1">IFERROR(IF(Cost_Elements[[#This Row],[Row]]&gt;='Do Not Use or Delete'!$L$2, IF(Cost_Elements[[#This Row],[Row]]&lt;='Do Not Use or Delete'!$M$2,N164*O164,0),0)+IF(Cost_Elements[[#This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4" s="63"/>
      <c r="R164" s="63"/>
      <c r="S164" s="79"/>
      <c r="T164" s="74"/>
      <c r="U164" s="75">
        <f ca="1">IFERROR(IF(Cost_Elements[[#This Row],[Row]]&gt;='Do Not Use or Delete'!$L$2, IF(Cost_Elements[[#This Row],[Row]]&lt;='Do Not Use or Delete'!$M$2,S164*T164,0),0)+IF(Cost_Elements[[#This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4" s="63"/>
      <c r="W164" s="63"/>
      <c r="X164" s="79"/>
      <c r="Y164" s="74"/>
      <c r="Z164" s="75">
        <f ca="1">IFERROR(IF(Cost_Elements[[#This Row],[Row]]&gt;='Do Not Use or Delete'!$L$2, IF(Cost_Elements[[#This Row],[Row]]&lt;='Do Not Use or Delete'!$M$2,X164*Y164,0),0)+IF(Cost_Elements[[#This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4" s="63"/>
      <c r="AB164" s="63"/>
      <c r="AC164" s="79"/>
      <c r="AD164" s="74"/>
      <c r="AE164" s="75">
        <f ca="1">IFERROR(IF(Cost_Elements[[#This Row],[Row]]&gt;='Do Not Use or Delete'!$L$2, IF(Cost_Elements[[#This Row],[Row]]&lt;='Do Not Use or Delete'!$M$2,AC164*AD164,0),0)+IF(Cost_Elements[[#This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4" s="102"/>
      <c r="AG164" s="249"/>
      <c r="AH164" s="79"/>
      <c r="AI164" s="74"/>
      <c r="AJ164" s="458"/>
      <c r="AK164" s="458"/>
      <c r="AL164" s="75">
        <f ca="1">IFERROR(IF(Cost_Elements[[#This Row],[Row]]&gt;='Do Not Use or Delete'!$L$2, IF(Cost_Elements[[#This Row],[Row]]&lt;='Do Not Use or Delete'!$M$2,AH164*AI164,0),0)+IF(Cost_Elements[[#This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4" s="102"/>
      <c r="AN164" s="249"/>
      <c r="AO164" s="77">
        <f t="shared" si="8"/>
        <v>0</v>
      </c>
      <c r="AP164" s="78">
        <f ca="1">K164+U164+AE164+P164+Z164+AL164</f>
        <v>0</v>
      </c>
      <c r="AQ164" s="68">
        <f ca="1">ROW(Cost_Elements[[#This Row],[Amount | Total]])</f>
        <v>164</v>
      </c>
    </row>
    <row r="165" spans="1:43">
      <c r="A165" s="240"/>
      <c r="B165" s="276"/>
      <c r="C165" s="277"/>
      <c r="D165" s="318"/>
      <c r="E165" s="318"/>
      <c r="F165" s="318"/>
      <c r="G165" s="318"/>
      <c r="H165" s="121" t="str">
        <f ca="1">IFERROR(INDEX(Labor_Categories[Minimum Direct Labor Rates],MATCH(Cost_Elements[[#This Row],[Government Labor Category]],Labor_Categories[Labor Categories],0)),"")</f>
        <v/>
      </c>
      <c r="I165" s="79"/>
      <c r="J165" s="74"/>
      <c r="K165" s="75">
        <f ca="1">IFERROR(IF(Cost_Elements[[#This Row],[Row]]&gt;='Do Not Use or Delete'!$L$2, IF(Cost_Elements[[#This Row],[Row]]&lt;='Do Not Use or Delete'!$M$2,I165*J165,0),0)+IF(Cost_Elements[[#This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5" s="63"/>
      <c r="M165" s="63"/>
      <c r="N165" s="79"/>
      <c r="O165" s="74"/>
      <c r="P165" s="75">
        <f ca="1">IFERROR(IF(Cost_Elements[[#This Row],[Row]]&gt;='Do Not Use or Delete'!$L$2, IF(Cost_Elements[[#This Row],[Row]]&lt;='Do Not Use or Delete'!$M$2,N165*O165,0),0)+IF(Cost_Elements[[#This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5" s="63"/>
      <c r="R165" s="63"/>
      <c r="S165" s="79"/>
      <c r="T165" s="74"/>
      <c r="U165" s="75">
        <f ca="1">IFERROR(IF(Cost_Elements[[#This Row],[Row]]&gt;='Do Not Use or Delete'!$L$2, IF(Cost_Elements[[#This Row],[Row]]&lt;='Do Not Use or Delete'!$M$2,S165*T165,0),0)+IF(Cost_Elements[[#This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5" s="63"/>
      <c r="W165" s="63"/>
      <c r="X165" s="79"/>
      <c r="Y165" s="74"/>
      <c r="Z165" s="75">
        <f ca="1">IFERROR(IF(Cost_Elements[[#This Row],[Row]]&gt;='Do Not Use or Delete'!$L$2, IF(Cost_Elements[[#This Row],[Row]]&lt;='Do Not Use or Delete'!$M$2,X165*Y165,0),0)+IF(Cost_Elements[[#This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5" s="63"/>
      <c r="AB165" s="63"/>
      <c r="AC165" s="79"/>
      <c r="AD165" s="74"/>
      <c r="AE165" s="75">
        <f ca="1">IFERROR(IF(Cost_Elements[[#This Row],[Row]]&gt;='Do Not Use or Delete'!$L$2, IF(Cost_Elements[[#This Row],[Row]]&lt;='Do Not Use or Delete'!$M$2,AC165*AD165,0),0)+IF(Cost_Elements[[#This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5" s="64"/>
      <c r="AG165" s="122"/>
      <c r="AH165" s="79"/>
      <c r="AI165" s="74"/>
      <c r="AJ165" s="458"/>
      <c r="AK165" s="458"/>
      <c r="AL165" s="75">
        <f ca="1">IFERROR(IF(Cost_Elements[[#This Row],[Row]]&gt;='Do Not Use or Delete'!$L$2, IF(Cost_Elements[[#This Row],[Row]]&lt;='Do Not Use or Delete'!$M$2,AH165*AI165,0),0)+IF(Cost_Elements[[#This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5" s="64"/>
      <c r="AN165" s="122"/>
      <c r="AO165" s="77">
        <f t="shared" si="8"/>
        <v>0</v>
      </c>
      <c r="AP165" s="78">
        <f t="shared" ca="1" si="9"/>
        <v>0</v>
      </c>
      <c r="AQ165" s="68">
        <f ca="1">ROW(Cost_Elements[[#This Row],[Amount | Total]])</f>
        <v>165</v>
      </c>
    </row>
    <row r="166" spans="1:43">
      <c r="A166" s="239" t="s">
        <v>190</v>
      </c>
      <c r="B166" s="70"/>
      <c r="C166" s="69"/>
      <c r="D166" s="61"/>
      <c r="E166" s="61"/>
      <c r="F166" s="61"/>
      <c r="G166" s="61"/>
      <c r="H166" s="59" t="str">
        <f ca="1">IFERROR(INDEX(Labor_Categories[Minimum Direct Labor Rates],MATCH(Cost_Elements[[#This Row],[Government Labor Category]],Labor_Categories[Labor Categories],0)),"")</f>
        <v/>
      </c>
      <c r="I166" s="11"/>
      <c r="J166" s="119">
        <f ca="1">SUM(J167:J180)</f>
        <v>0</v>
      </c>
      <c r="K166" s="120">
        <f ca="1">SUM(K167:K180)</f>
        <v>0</v>
      </c>
      <c r="L166" s="248"/>
      <c r="M166" s="248"/>
      <c r="N166" s="11">
        <f ca="1">(Cost_Elements[[#This Row],[Rate | 1]]*$O$4)+Cost_Elements[[#This Row],[Rate | 1]]</f>
        <v>0</v>
      </c>
      <c r="O166" s="119">
        <f ca="1">SUM(O167:O180)</f>
        <v>0</v>
      </c>
      <c r="P166" s="120">
        <f ca="1">SUM(P167:P180)</f>
        <v>0</v>
      </c>
      <c r="Q166" s="248"/>
      <c r="R166" s="248"/>
      <c r="S166" s="11">
        <f ca="1">(Cost_Elements[[#This Row],[Rate | 2]]*$T$4)+Cost_Elements[[#This Row],[Rate | 2]]</f>
        <v>0</v>
      </c>
      <c r="T166" s="119">
        <f ca="1">SUM(T167:T180)</f>
        <v>0</v>
      </c>
      <c r="U166" s="120">
        <f ca="1">SUM(U167:U180)</f>
        <v>0</v>
      </c>
      <c r="V166" s="248"/>
      <c r="W166" s="248"/>
      <c r="X166" s="11">
        <f ca="1">(Cost_Elements[[#This Row],[Rate | 3]]*$Y$4)+Cost_Elements[[#This Row],[Rate | 3]]</f>
        <v>0</v>
      </c>
      <c r="Y166" s="119">
        <f ca="1">SUM(Y167:Y180)</f>
        <v>0</v>
      </c>
      <c r="Z166" s="120">
        <f ca="1">SUM(Z167:Z180)</f>
        <v>0</v>
      </c>
      <c r="AA166" s="248"/>
      <c r="AB166" s="248"/>
      <c r="AC166" s="11">
        <f ca="1">(Cost_Elements[[#This Row],[Rate | 4]]*$AD$4)+Cost_Elements[[#This Row],[Rate | 4]]</f>
        <v>0</v>
      </c>
      <c r="AD166" s="119">
        <f ca="1">SUM(AD167:AD180)</f>
        <v>0</v>
      </c>
      <c r="AE166" s="120">
        <f ca="1">SUM(AE167:AE180)</f>
        <v>0</v>
      </c>
      <c r="AF166" s="102"/>
      <c r="AG166" s="91"/>
      <c r="AH166" s="11">
        <f ca="1">(Cost_Elements[[#This Row],[Rate | 4]]*$AD$4)+Cost_Elements[[#This Row],[Rate | 4]]</f>
        <v>0</v>
      </c>
      <c r="AI166" s="119">
        <f ca="1">SUM(AI167:AI180)</f>
        <v>0</v>
      </c>
      <c r="AJ166" s="119"/>
      <c r="AK166" s="119"/>
      <c r="AL166" s="120">
        <f ca="1">SUM(AL167:AL180)</f>
        <v>0</v>
      </c>
      <c r="AM166" s="102"/>
      <c r="AN166" s="91"/>
      <c r="AO166" s="119">
        <f>SUM(AO167:AO180)</f>
        <v>0</v>
      </c>
      <c r="AP166" s="87">
        <f ca="1">SUM(AP167:AP180)</f>
        <v>0</v>
      </c>
      <c r="AQ166" s="68">
        <f ca="1">ROW(Cost_Elements[[#This Row],[Amount | Total]])</f>
        <v>166</v>
      </c>
    </row>
    <row r="167" spans="1:43">
      <c r="A167" s="240" t="s">
        <v>165</v>
      </c>
      <c r="B167" s="275"/>
      <c r="C167" s="277"/>
      <c r="D167" s="318"/>
      <c r="E167" s="318"/>
      <c r="F167" s="318"/>
      <c r="G167" s="318"/>
      <c r="H167" s="121" t="str">
        <f ca="1">IFERROR(INDEX(Labor_Categories[Minimum Direct Labor Rates],MATCH(Cost_Elements[[#This Row],[Government Labor Category]],Labor_Categories[Labor Categories],0)),"")</f>
        <v/>
      </c>
      <c r="I167" s="73"/>
      <c r="J167" s="74"/>
      <c r="K167" s="75">
        <f ca="1">IFERROR(IF(Cost_Elements[[#This Row],[Row]]&gt;='Do Not Use or Delete'!$L$2, IF(Cost_Elements[[#This Row],[Row]]&lt;='Do Not Use or Delete'!$M$2,I167*J167,0),0)+IF(Cost_Elements[[#This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7" s="63"/>
      <c r="M167" s="63"/>
      <c r="N167" s="73"/>
      <c r="O167" s="74"/>
      <c r="P167" s="75">
        <f ca="1">IFERROR(IF(Cost_Elements[[#This Row],[Row]]&gt;='Do Not Use or Delete'!$L$2, IF(Cost_Elements[[#This Row],[Row]]&lt;='Do Not Use or Delete'!$M$2,N167*O167,0),0)+IF(Cost_Elements[[#This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7" s="63"/>
      <c r="R167" s="63"/>
      <c r="S167" s="73"/>
      <c r="T167" s="74"/>
      <c r="U167" s="75">
        <f ca="1">IFERROR(IF(Cost_Elements[[#This Row],[Row]]&gt;='Do Not Use or Delete'!$L$2, IF(Cost_Elements[[#This Row],[Row]]&lt;='Do Not Use or Delete'!$M$2,S167*T167,0),0)+IF(Cost_Elements[[#This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7" s="63"/>
      <c r="W167" s="63"/>
      <c r="X167" s="73"/>
      <c r="Y167" s="74"/>
      <c r="Z167" s="75">
        <f ca="1">IFERROR(IF(Cost_Elements[[#This Row],[Row]]&gt;='Do Not Use or Delete'!$L$2, IF(Cost_Elements[[#This Row],[Row]]&lt;='Do Not Use or Delete'!$M$2,X167*Y167,0),0)+IF(Cost_Elements[[#This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7" s="63"/>
      <c r="AB167" s="63"/>
      <c r="AC167" s="73"/>
      <c r="AD167" s="74"/>
      <c r="AE167" s="75">
        <f ca="1">IFERROR(IF(Cost_Elements[[#This Row],[Row]]&gt;='Do Not Use or Delete'!$L$2, IF(Cost_Elements[[#This Row],[Row]]&lt;='Do Not Use or Delete'!$M$2,AC167*AD167,0),0)+IF(Cost_Elements[[#This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7" s="64"/>
      <c r="AG167" s="65"/>
      <c r="AH167" s="73"/>
      <c r="AI167" s="74"/>
      <c r="AJ167" s="458"/>
      <c r="AK167" s="458"/>
      <c r="AL167" s="75">
        <f ca="1">IFERROR(IF(Cost_Elements[[#This Row],[Row]]&gt;='Do Not Use or Delete'!$L$2, IF(Cost_Elements[[#This Row],[Row]]&lt;='Do Not Use or Delete'!$M$2,AH167*AI167,0),0)+IF(Cost_Elements[[#This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7" s="64"/>
      <c r="AN167" s="65"/>
      <c r="AO167" s="77">
        <f>J167+T167+AD167+O167+Y167+AI167</f>
        <v>0</v>
      </c>
      <c r="AP167" s="78">
        <f ca="1">K167+U167+AE167+P167+Z167+AL167</f>
        <v>0</v>
      </c>
      <c r="AQ167" s="68">
        <f ca="1">ROW(Cost_Elements[[#This Row],[Amount | Total]])</f>
        <v>167</v>
      </c>
    </row>
    <row r="168" spans="1:43">
      <c r="A168" s="240" t="s">
        <v>165</v>
      </c>
      <c r="B168" s="275"/>
      <c r="C168" s="277"/>
      <c r="D168" s="318"/>
      <c r="E168" s="318"/>
      <c r="F168" s="318"/>
      <c r="G168" s="318"/>
      <c r="H168" s="121" t="str">
        <f ca="1">IFERROR(INDEX(Labor_Categories[Minimum Direct Labor Rates],MATCH(Cost_Elements[[#This Row],[Government Labor Category]],Labor_Categories[Labor Categories],0)),"")</f>
        <v/>
      </c>
      <c r="I168" s="73"/>
      <c r="J168" s="74"/>
      <c r="K168" s="75">
        <f ca="1">IFERROR(IF(Cost_Elements[[#This Row],[Row]]&gt;='Do Not Use or Delete'!$L$2, IF(Cost_Elements[[#This Row],[Row]]&lt;='Do Not Use or Delete'!$M$2,I168*J168,0),0)+IF(Cost_Elements[[#This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8" s="63"/>
      <c r="M168" s="63"/>
      <c r="N168" s="73"/>
      <c r="O168" s="74"/>
      <c r="P168" s="75">
        <f ca="1">IFERROR(IF(Cost_Elements[[#This Row],[Row]]&gt;='Do Not Use or Delete'!$L$2, IF(Cost_Elements[[#This Row],[Row]]&lt;='Do Not Use or Delete'!$M$2,N168*O168,0),0)+IF(Cost_Elements[[#This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8" s="63"/>
      <c r="R168" s="63"/>
      <c r="S168" s="79"/>
      <c r="T168" s="74"/>
      <c r="U168" s="75">
        <f ca="1">IFERROR(IF(Cost_Elements[[#This Row],[Row]]&gt;='Do Not Use or Delete'!$L$2, IF(Cost_Elements[[#This Row],[Row]]&lt;='Do Not Use or Delete'!$M$2,S168*T168,0),0)+IF(Cost_Elements[[#This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8" s="63"/>
      <c r="W168" s="63"/>
      <c r="X168" s="79"/>
      <c r="Y168" s="74"/>
      <c r="Z168" s="75">
        <f ca="1">IFERROR(IF(Cost_Elements[[#This Row],[Row]]&gt;='Do Not Use or Delete'!$L$2, IF(Cost_Elements[[#This Row],[Row]]&lt;='Do Not Use or Delete'!$M$2,X168*Y168,0),0)+IF(Cost_Elements[[#This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8" s="63"/>
      <c r="AB168" s="63"/>
      <c r="AC168" s="79"/>
      <c r="AD168" s="74"/>
      <c r="AE168" s="75">
        <f ca="1">IFERROR(IF(Cost_Elements[[#This Row],[Row]]&gt;='Do Not Use or Delete'!$L$2, IF(Cost_Elements[[#This Row],[Row]]&lt;='Do Not Use or Delete'!$M$2,AC168*AD168,0),0)+IF(Cost_Elements[[#This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8" s="64"/>
      <c r="AG168" s="65"/>
      <c r="AH168" s="79"/>
      <c r="AI168" s="74"/>
      <c r="AJ168" s="458"/>
      <c r="AK168" s="458"/>
      <c r="AL168" s="75">
        <f ca="1">IFERROR(IF(Cost_Elements[[#This Row],[Row]]&gt;='Do Not Use or Delete'!$L$2, IF(Cost_Elements[[#This Row],[Row]]&lt;='Do Not Use or Delete'!$M$2,AH168*AI168,0),0)+IF(Cost_Elements[[#This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8" s="64"/>
      <c r="AN168" s="65"/>
      <c r="AO168" s="77">
        <f t="shared" ref="AO168:AO179" si="10">J168+T168+AD168+O168+Y168+AI168</f>
        <v>0</v>
      </c>
      <c r="AP168" s="78">
        <f t="shared" ref="AP168:AP179" ca="1" si="11">K168+U168+AE168+P168+Z168+AL168</f>
        <v>0</v>
      </c>
      <c r="AQ168" s="68">
        <f ca="1">ROW(Cost_Elements[[#This Row],[Amount | Total]])</f>
        <v>168</v>
      </c>
    </row>
    <row r="169" spans="1:43">
      <c r="A169" s="240" t="s">
        <v>165</v>
      </c>
      <c r="B169" s="275"/>
      <c r="C169" s="277"/>
      <c r="D169" s="318"/>
      <c r="E169" s="318"/>
      <c r="F169" s="318"/>
      <c r="G169" s="318"/>
      <c r="H169" s="121" t="str">
        <f ca="1">IFERROR(INDEX(Labor_Categories[Minimum Direct Labor Rates],MATCH(Cost_Elements[[#This Row],[Government Labor Category]],Labor_Categories[Labor Categories],0)),"")</f>
        <v/>
      </c>
      <c r="I169" s="73"/>
      <c r="J169" s="74"/>
      <c r="K169" s="75">
        <f ca="1">IFERROR(IF(Cost_Elements[[#This Row],[Row]]&gt;='Do Not Use or Delete'!$L$2, IF(Cost_Elements[[#This Row],[Row]]&lt;='Do Not Use or Delete'!$M$2,I169*J169,0),0)+IF(Cost_Elements[[#This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9" s="63"/>
      <c r="M169" s="63"/>
      <c r="N169" s="73"/>
      <c r="O169" s="74"/>
      <c r="P169" s="75">
        <f ca="1">IFERROR(IF(Cost_Elements[[#This Row],[Row]]&gt;='Do Not Use or Delete'!$L$2, IF(Cost_Elements[[#This Row],[Row]]&lt;='Do Not Use or Delete'!$M$2,N169*O169,0),0)+IF(Cost_Elements[[#This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9" s="63"/>
      <c r="R169" s="63"/>
      <c r="S169" s="79"/>
      <c r="T169" s="74"/>
      <c r="U169" s="75">
        <f ca="1">IFERROR(IF(Cost_Elements[[#This Row],[Row]]&gt;='Do Not Use or Delete'!$L$2, IF(Cost_Elements[[#This Row],[Row]]&lt;='Do Not Use or Delete'!$M$2,S169*T169,0),0)+IF(Cost_Elements[[#This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9" s="63"/>
      <c r="W169" s="63"/>
      <c r="X169" s="79"/>
      <c r="Y169" s="74"/>
      <c r="Z169" s="75">
        <f ca="1">IFERROR(IF(Cost_Elements[[#This Row],[Row]]&gt;='Do Not Use or Delete'!$L$2, IF(Cost_Elements[[#This Row],[Row]]&lt;='Do Not Use or Delete'!$M$2,X169*Y169,0),0)+IF(Cost_Elements[[#This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9" s="63"/>
      <c r="AB169" s="63"/>
      <c r="AC169" s="79"/>
      <c r="AD169" s="74"/>
      <c r="AE169" s="75">
        <f ca="1">IFERROR(IF(Cost_Elements[[#This Row],[Row]]&gt;='Do Not Use or Delete'!$L$2, IF(Cost_Elements[[#This Row],[Row]]&lt;='Do Not Use or Delete'!$M$2,AC169*AD169,0),0)+IF(Cost_Elements[[#This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9" s="64"/>
      <c r="AG169" s="65"/>
      <c r="AH169" s="79"/>
      <c r="AI169" s="74"/>
      <c r="AJ169" s="458"/>
      <c r="AK169" s="458"/>
      <c r="AL169" s="75">
        <f ca="1">IFERROR(IF(Cost_Elements[[#This Row],[Row]]&gt;='Do Not Use or Delete'!$L$2, IF(Cost_Elements[[#This Row],[Row]]&lt;='Do Not Use or Delete'!$M$2,AH169*AI169,0),0)+IF(Cost_Elements[[#This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9" s="64"/>
      <c r="AN169" s="65"/>
      <c r="AO169" s="77">
        <f t="shared" si="10"/>
        <v>0</v>
      </c>
      <c r="AP169" s="78">
        <f t="shared" ca="1" si="11"/>
        <v>0</v>
      </c>
      <c r="AQ169" s="68">
        <f ca="1">ROW(Cost_Elements[[#This Row],[Amount | Total]])</f>
        <v>169</v>
      </c>
    </row>
    <row r="170" spans="1:43">
      <c r="A170" s="240" t="s">
        <v>165</v>
      </c>
      <c r="B170" s="275"/>
      <c r="C170" s="277"/>
      <c r="D170" s="318"/>
      <c r="E170" s="318"/>
      <c r="F170" s="318"/>
      <c r="G170" s="318"/>
      <c r="H170" s="121" t="str">
        <f ca="1">IFERROR(INDEX(Labor_Categories[Minimum Direct Labor Rates],MATCH(Cost_Elements[[#This Row],[Government Labor Category]],Labor_Categories[Labor Categories],0)),"")</f>
        <v/>
      </c>
      <c r="I170" s="73"/>
      <c r="J170" s="74"/>
      <c r="K170" s="75">
        <f ca="1">IFERROR(IF(Cost_Elements[[#This Row],[Row]]&gt;='Do Not Use or Delete'!$L$2, IF(Cost_Elements[[#This Row],[Row]]&lt;='Do Not Use or Delete'!$M$2,I170*J170,0),0)+IF(Cost_Elements[[#This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0" s="63"/>
      <c r="M170" s="63"/>
      <c r="N170" s="79"/>
      <c r="O170" s="74"/>
      <c r="P170" s="75">
        <f ca="1">IFERROR(IF(Cost_Elements[[#This Row],[Row]]&gt;='Do Not Use or Delete'!$L$2, IF(Cost_Elements[[#This Row],[Row]]&lt;='Do Not Use or Delete'!$M$2,N170*O170,0),0)+IF(Cost_Elements[[#This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0" s="63"/>
      <c r="R170" s="63"/>
      <c r="S170" s="79"/>
      <c r="T170" s="74"/>
      <c r="U170" s="75">
        <f ca="1">IFERROR(IF(Cost_Elements[[#This Row],[Row]]&gt;='Do Not Use or Delete'!$L$2, IF(Cost_Elements[[#This Row],[Row]]&lt;='Do Not Use or Delete'!$M$2,S170*T170,0),0)+IF(Cost_Elements[[#This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0" s="63"/>
      <c r="W170" s="63"/>
      <c r="X170" s="79"/>
      <c r="Y170" s="74"/>
      <c r="Z170" s="75">
        <f ca="1">IFERROR(IF(Cost_Elements[[#This Row],[Row]]&gt;='Do Not Use or Delete'!$L$2, IF(Cost_Elements[[#This Row],[Row]]&lt;='Do Not Use or Delete'!$M$2,X170*Y170,0),0)+IF(Cost_Elements[[#This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0" s="63"/>
      <c r="AB170" s="63"/>
      <c r="AC170" s="79"/>
      <c r="AD170" s="74"/>
      <c r="AE170" s="75">
        <f ca="1">IFERROR(IF(Cost_Elements[[#This Row],[Row]]&gt;='Do Not Use or Delete'!$L$2, IF(Cost_Elements[[#This Row],[Row]]&lt;='Do Not Use or Delete'!$M$2,AC170*AD170,0),0)+IF(Cost_Elements[[#This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0" s="64"/>
      <c r="AG170" s="65"/>
      <c r="AH170" s="79"/>
      <c r="AI170" s="74"/>
      <c r="AJ170" s="458"/>
      <c r="AK170" s="458"/>
      <c r="AL170" s="75">
        <f ca="1">IFERROR(IF(Cost_Elements[[#This Row],[Row]]&gt;='Do Not Use or Delete'!$L$2, IF(Cost_Elements[[#This Row],[Row]]&lt;='Do Not Use or Delete'!$M$2,AH170*AI170,0),0)+IF(Cost_Elements[[#This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0" s="64"/>
      <c r="AN170" s="65"/>
      <c r="AO170" s="77">
        <f t="shared" si="10"/>
        <v>0</v>
      </c>
      <c r="AP170" s="78">
        <f t="shared" ca="1" si="11"/>
        <v>0</v>
      </c>
      <c r="AQ170" s="68">
        <f ca="1">ROW(Cost_Elements[[#This Row],[Amount | Total]])</f>
        <v>170</v>
      </c>
    </row>
    <row r="171" spans="1:43">
      <c r="A171" s="240" t="s">
        <v>165</v>
      </c>
      <c r="B171" s="275"/>
      <c r="C171" s="277"/>
      <c r="D171" s="318"/>
      <c r="E171" s="318"/>
      <c r="F171" s="318"/>
      <c r="G171" s="318"/>
      <c r="H171" s="121" t="str">
        <f ca="1">IFERROR(INDEX(Labor_Categories[Minimum Direct Labor Rates],MATCH(Cost_Elements[[#This Row],[Government Labor Category]],Labor_Categories[Labor Categories],0)),"")</f>
        <v/>
      </c>
      <c r="I171" s="73"/>
      <c r="J171" s="74"/>
      <c r="K171" s="75">
        <f ca="1">IFERROR(IF(Cost_Elements[[#This Row],[Row]]&gt;='Do Not Use or Delete'!$L$2, IF(Cost_Elements[[#This Row],[Row]]&lt;='Do Not Use or Delete'!$M$2,I171*J171,0),0)+IF(Cost_Elements[[#This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1" s="63"/>
      <c r="M171" s="63"/>
      <c r="N171" s="79"/>
      <c r="O171" s="74"/>
      <c r="P171" s="75">
        <f ca="1">IFERROR(IF(Cost_Elements[[#This Row],[Row]]&gt;='Do Not Use or Delete'!$L$2, IF(Cost_Elements[[#This Row],[Row]]&lt;='Do Not Use or Delete'!$M$2,N171*O171,0),0)+IF(Cost_Elements[[#This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1" s="63"/>
      <c r="R171" s="63"/>
      <c r="S171" s="79"/>
      <c r="T171" s="74"/>
      <c r="U171" s="75">
        <f ca="1">IFERROR(IF(Cost_Elements[[#This Row],[Row]]&gt;='Do Not Use or Delete'!$L$2, IF(Cost_Elements[[#This Row],[Row]]&lt;='Do Not Use or Delete'!$M$2,S171*T171,0),0)+IF(Cost_Elements[[#This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1" s="63"/>
      <c r="W171" s="63"/>
      <c r="X171" s="79"/>
      <c r="Y171" s="74"/>
      <c r="Z171" s="75">
        <f ca="1">IFERROR(IF(Cost_Elements[[#This Row],[Row]]&gt;='Do Not Use or Delete'!$L$2, IF(Cost_Elements[[#This Row],[Row]]&lt;='Do Not Use or Delete'!$M$2,X171*Y171,0),0)+IF(Cost_Elements[[#This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1" s="63"/>
      <c r="AB171" s="63"/>
      <c r="AC171" s="79"/>
      <c r="AD171" s="74"/>
      <c r="AE171" s="75">
        <f ca="1">IFERROR(IF(Cost_Elements[[#This Row],[Row]]&gt;='Do Not Use or Delete'!$L$2, IF(Cost_Elements[[#This Row],[Row]]&lt;='Do Not Use or Delete'!$M$2,AC171*AD171,0),0)+IF(Cost_Elements[[#This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1" s="64"/>
      <c r="AG171" s="65"/>
      <c r="AH171" s="79"/>
      <c r="AI171" s="74"/>
      <c r="AJ171" s="458"/>
      <c r="AK171" s="458"/>
      <c r="AL171" s="75">
        <f ca="1">IFERROR(IF(Cost_Elements[[#This Row],[Row]]&gt;='Do Not Use or Delete'!$L$2, IF(Cost_Elements[[#This Row],[Row]]&lt;='Do Not Use or Delete'!$M$2,AH171*AI171,0),0)+IF(Cost_Elements[[#This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1" s="64"/>
      <c r="AN171" s="65"/>
      <c r="AO171" s="77">
        <f t="shared" si="10"/>
        <v>0</v>
      </c>
      <c r="AP171" s="78">
        <f t="shared" ca="1" si="11"/>
        <v>0</v>
      </c>
      <c r="AQ171" s="68">
        <f ca="1">ROW(Cost_Elements[[#This Row],[Amount | Total]])</f>
        <v>171</v>
      </c>
    </row>
    <row r="172" spans="1:43">
      <c r="A172" s="240" t="s">
        <v>165</v>
      </c>
      <c r="B172" s="275"/>
      <c r="C172" s="277"/>
      <c r="D172" s="318"/>
      <c r="E172" s="318"/>
      <c r="F172" s="318"/>
      <c r="G172" s="318"/>
      <c r="H172" s="121" t="str">
        <f ca="1">IFERROR(INDEX(Labor_Categories[Minimum Direct Labor Rates],MATCH(Cost_Elements[[#This Row],[Government Labor Category]],Labor_Categories[Labor Categories],0)),"")</f>
        <v/>
      </c>
      <c r="I172" s="73"/>
      <c r="J172" s="74"/>
      <c r="K172" s="75">
        <f ca="1">IFERROR(IF(Cost_Elements[[#This Row],[Row]]&gt;='Do Not Use or Delete'!$L$2, IF(Cost_Elements[[#This Row],[Row]]&lt;='Do Not Use or Delete'!$M$2,I172*J172,0),0)+IF(Cost_Elements[[#This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2" s="63"/>
      <c r="M172" s="63"/>
      <c r="N172" s="79"/>
      <c r="O172" s="74"/>
      <c r="P172" s="75">
        <f ca="1">IFERROR(IF(Cost_Elements[[#This Row],[Row]]&gt;='Do Not Use or Delete'!$L$2, IF(Cost_Elements[[#This Row],[Row]]&lt;='Do Not Use or Delete'!$M$2,N172*O172,0),0)+IF(Cost_Elements[[#This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2" s="63"/>
      <c r="R172" s="63"/>
      <c r="S172" s="79"/>
      <c r="T172" s="74"/>
      <c r="U172" s="75">
        <f ca="1">IFERROR(IF(Cost_Elements[[#This Row],[Row]]&gt;='Do Not Use or Delete'!$L$2, IF(Cost_Elements[[#This Row],[Row]]&lt;='Do Not Use or Delete'!$M$2,S172*T172,0),0)+IF(Cost_Elements[[#This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2" s="63"/>
      <c r="W172" s="63"/>
      <c r="X172" s="79"/>
      <c r="Y172" s="74"/>
      <c r="Z172" s="75">
        <f ca="1">IFERROR(IF(Cost_Elements[[#This Row],[Row]]&gt;='Do Not Use or Delete'!$L$2, IF(Cost_Elements[[#This Row],[Row]]&lt;='Do Not Use or Delete'!$M$2,X172*Y172,0),0)+IF(Cost_Elements[[#This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2" s="63"/>
      <c r="AB172" s="63"/>
      <c r="AC172" s="79"/>
      <c r="AD172" s="74"/>
      <c r="AE172" s="75">
        <f ca="1">IFERROR(IF(Cost_Elements[[#This Row],[Row]]&gt;='Do Not Use or Delete'!$L$2, IF(Cost_Elements[[#This Row],[Row]]&lt;='Do Not Use or Delete'!$M$2,AC172*AD172,0),0)+IF(Cost_Elements[[#This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2" s="64"/>
      <c r="AG172" s="65"/>
      <c r="AH172" s="79"/>
      <c r="AI172" s="74"/>
      <c r="AJ172" s="458"/>
      <c r="AK172" s="458"/>
      <c r="AL172" s="75">
        <f ca="1">IFERROR(IF(Cost_Elements[[#This Row],[Row]]&gt;='Do Not Use or Delete'!$L$2, IF(Cost_Elements[[#This Row],[Row]]&lt;='Do Not Use or Delete'!$M$2,AH172*AI172,0),0)+IF(Cost_Elements[[#This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2" s="64"/>
      <c r="AN172" s="65"/>
      <c r="AO172" s="77">
        <f t="shared" si="10"/>
        <v>0</v>
      </c>
      <c r="AP172" s="78">
        <f t="shared" ca="1" si="11"/>
        <v>0</v>
      </c>
      <c r="AQ172" s="68">
        <f ca="1">ROW(Cost_Elements[[#This Row],[Amount | Total]])</f>
        <v>172</v>
      </c>
    </row>
    <row r="173" spans="1:43">
      <c r="A173" s="240" t="s">
        <v>165</v>
      </c>
      <c r="B173" s="275"/>
      <c r="C173" s="277"/>
      <c r="D173" s="318"/>
      <c r="E173" s="318"/>
      <c r="F173" s="318"/>
      <c r="G173" s="318"/>
      <c r="H173" s="121" t="str">
        <f ca="1">IFERROR(INDEX(Labor_Categories[Minimum Direct Labor Rates],MATCH(Cost_Elements[[#This Row],[Government Labor Category]],Labor_Categories[Labor Categories],0)),"")</f>
        <v/>
      </c>
      <c r="I173" s="73"/>
      <c r="J173" s="74"/>
      <c r="K173" s="75">
        <f ca="1">IFERROR(IF(Cost_Elements[[#This Row],[Row]]&gt;='Do Not Use or Delete'!$L$2, IF(Cost_Elements[[#This Row],[Row]]&lt;='Do Not Use or Delete'!$M$2,I173*J173,0),0)+IF(Cost_Elements[[#This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3" s="63"/>
      <c r="M173" s="63"/>
      <c r="N173" s="79"/>
      <c r="O173" s="74"/>
      <c r="P173" s="75">
        <f ca="1">IFERROR(IF(Cost_Elements[[#This Row],[Row]]&gt;='Do Not Use or Delete'!$L$2, IF(Cost_Elements[[#This Row],[Row]]&lt;='Do Not Use or Delete'!$M$2,N173*O173,0),0)+IF(Cost_Elements[[#This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3" s="63"/>
      <c r="R173" s="63"/>
      <c r="S173" s="79"/>
      <c r="T173" s="74"/>
      <c r="U173" s="75">
        <f ca="1">IFERROR(IF(Cost_Elements[[#This Row],[Row]]&gt;='Do Not Use or Delete'!$L$2, IF(Cost_Elements[[#This Row],[Row]]&lt;='Do Not Use or Delete'!$M$2,S173*T173,0),0)+IF(Cost_Elements[[#This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3" s="63"/>
      <c r="W173" s="63"/>
      <c r="X173" s="79"/>
      <c r="Y173" s="74"/>
      <c r="Z173" s="75">
        <f ca="1">IFERROR(IF(Cost_Elements[[#This Row],[Row]]&gt;='Do Not Use or Delete'!$L$2, IF(Cost_Elements[[#This Row],[Row]]&lt;='Do Not Use or Delete'!$M$2,X173*Y173,0),0)+IF(Cost_Elements[[#This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3" s="63"/>
      <c r="AB173" s="63"/>
      <c r="AC173" s="79"/>
      <c r="AD173" s="74"/>
      <c r="AE173" s="75">
        <f ca="1">IFERROR(IF(Cost_Elements[[#This Row],[Row]]&gt;='Do Not Use or Delete'!$L$2, IF(Cost_Elements[[#This Row],[Row]]&lt;='Do Not Use or Delete'!$M$2,AC173*AD173,0),0)+IF(Cost_Elements[[#This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3" s="64"/>
      <c r="AG173" s="65"/>
      <c r="AH173" s="79"/>
      <c r="AI173" s="74"/>
      <c r="AJ173" s="458"/>
      <c r="AK173" s="458"/>
      <c r="AL173" s="75">
        <f ca="1">IFERROR(IF(Cost_Elements[[#This Row],[Row]]&gt;='Do Not Use or Delete'!$L$2, IF(Cost_Elements[[#This Row],[Row]]&lt;='Do Not Use or Delete'!$M$2,AH173*AI173,0),0)+IF(Cost_Elements[[#This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3" s="64"/>
      <c r="AN173" s="65"/>
      <c r="AO173" s="77">
        <f t="shared" si="10"/>
        <v>0</v>
      </c>
      <c r="AP173" s="78">
        <f t="shared" ca="1" si="11"/>
        <v>0</v>
      </c>
      <c r="AQ173" s="68">
        <f ca="1">ROW(Cost_Elements[[#This Row],[Amount | Total]])</f>
        <v>173</v>
      </c>
    </row>
    <row r="174" spans="1:43">
      <c r="A174" s="240" t="s">
        <v>165</v>
      </c>
      <c r="B174" s="275"/>
      <c r="C174" s="277"/>
      <c r="D174" s="318"/>
      <c r="E174" s="318"/>
      <c r="F174" s="318"/>
      <c r="G174" s="318"/>
      <c r="H174" s="121" t="str">
        <f ca="1">IFERROR(INDEX(Labor_Categories[Minimum Direct Labor Rates],MATCH(Cost_Elements[[#This Row],[Government Labor Category]],Labor_Categories[Labor Categories],0)),"")</f>
        <v/>
      </c>
      <c r="I174" s="73"/>
      <c r="J174" s="74"/>
      <c r="K174" s="75">
        <f ca="1">IFERROR(IF(Cost_Elements[[#This Row],[Row]]&gt;='Do Not Use or Delete'!$L$2, IF(Cost_Elements[[#This Row],[Row]]&lt;='Do Not Use or Delete'!$M$2,I174*J174,0),0)+IF(Cost_Elements[[#This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4" s="63"/>
      <c r="M174" s="63"/>
      <c r="N174" s="79"/>
      <c r="O174" s="74"/>
      <c r="P174" s="75">
        <f ca="1">IFERROR(IF(Cost_Elements[[#This Row],[Row]]&gt;='Do Not Use or Delete'!$L$2, IF(Cost_Elements[[#This Row],[Row]]&lt;='Do Not Use or Delete'!$M$2,N174*O174,0),0)+IF(Cost_Elements[[#This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4" s="63"/>
      <c r="R174" s="63"/>
      <c r="S174" s="79"/>
      <c r="T174" s="74"/>
      <c r="U174" s="75">
        <f ca="1">IFERROR(IF(Cost_Elements[[#This Row],[Row]]&gt;='Do Not Use or Delete'!$L$2, IF(Cost_Elements[[#This Row],[Row]]&lt;='Do Not Use or Delete'!$M$2,S174*T174,0),0)+IF(Cost_Elements[[#This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4" s="63"/>
      <c r="W174" s="63"/>
      <c r="X174" s="79"/>
      <c r="Y174" s="74"/>
      <c r="Z174" s="75">
        <f ca="1">IFERROR(IF(Cost_Elements[[#This Row],[Row]]&gt;='Do Not Use or Delete'!$L$2, IF(Cost_Elements[[#This Row],[Row]]&lt;='Do Not Use or Delete'!$M$2,X174*Y174,0),0)+IF(Cost_Elements[[#This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4" s="63"/>
      <c r="AB174" s="63"/>
      <c r="AC174" s="79"/>
      <c r="AD174" s="74"/>
      <c r="AE174" s="75">
        <f ca="1">IFERROR(IF(Cost_Elements[[#This Row],[Row]]&gt;='Do Not Use or Delete'!$L$2, IF(Cost_Elements[[#This Row],[Row]]&lt;='Do Not Use or Delete'!$M$2,AC174*AD174,0),0)+IF(Cost_Elements[[#This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4" s="64"/>
      <c r="AG174" s="65"/>
      <c r="AH174" s="79"/>
      <c r="AI174" s="74"/>
      <c r="AJ174" s="458"/>
      <c r="AK174" s="458"/>
      <c r="AL174" s="75">
        <f ca="1">IFERROR(IF(Cost_Elements[[#This Row],[Row]]&gt;='Do Not Use or Delete'!$L$2, IF(Cost_Elements[[#This Row],[Row]]&lt;='Do Not Use or Delete'!$M$2,AH174*AI174,0),0)+IF(Cost_Elements[[#This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4" s="64"/>
      <c r="AN174" s="65"/>
      <c r="AO174" s="77">
        <f t="shared" si="10"/>
        <v>0</v>
      </c>
      <c r="AP174" s="78">
        <f t="shared" ca="1" si="11"/>
        <v>0</v>
      </c>
      <c r="AQ174" s="68">
        <f ca="1">ROW(Cost_Elements[[#This Row],[Amount | Total]])</f>
        <v>174</v>
      </c>
    </row>
    <row r="175" spans="1:43">
      <c r="A175" s="240" t="s">
        <v>165</v>
      </c>
      <c r="B175" s="275"/>
      <c r="C175" s="277"/>
      <c r="D175" s="318"/>
      <c r="E175" s="318"/>
      <c r="F175" s="318"/>
      <c r="G175" s="318"/>
      <c r="H175" s="121" t="str">
        <f ca="1">IFERROR(INDEX(Labor_Categories[Minimum Direct Labor Rates],MATCH(Cost_Elements[[#This Row],[Government Labor Category]],Labor_Categories[Labor Categories],0)),"")</f>
        <v/>
      </c>
      <c r="I175" s="79"/>
      <c r="J175" s="74"/>
      <c r="K175" s="75">
        <f ca="1">IFERROR(IF(Cost_Elements[[#This Row],[Row]]&gt;='Do Not Use or Delete'!$L$2, IF(Cost_Elements[[#This Row],[Row]]&lt;='Do Not Use or Delete'!$M$2,I175*J175,0),0)+IF(Cost_Elements[[#This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5" s="63"/>
      <c r="M175" s="63"/>
      <c r="N175" s="79"/>
      <c r="O175" s="74"/>
      <c r="P175" s="75">
        <f ca="1">IFERROR(IF(Cost_Elements[[#This Row],[Row]]&gt;='Do Not Use or Delete'!$L$2, IF(Cost_Elements[[#This Row],[Row]]&lt;='Do Not Use or Delete'!$M$2,N175*O175,0),0)+IF(Cost_Elements[[#This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5" s="63"/>
      <c r="R175" s="63"/>
      <c r="S175" s="79"/>
      <c r="T175" s="74"/>
      <c r="U175" s="75">
        <f ca="1">IFERROR(IF(Cost_Elements[[#This Row],[Row]]&gt;='Do Not Use or Delete'!$L$2, IF(Cost_Elements[[#This Row],[Row]]&lt;='Do Not Use or Delete'!$M$2,S175*T175,0),0)+IF(Cost_Elements[[#This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5" s="63"/>
      <c r="W175" s="63"/>
      <c r="X175" s="79"/>
      <c r="Y175" s="74"/>
      <c r="Z175" s="75">
        <f ca="1">IFERROR(IF(Cost_Elements[[#This Row],[Row]]&gt;='Do Not Use or Delete'!$L$2, IF(Cost_Elements[[#This Row],[Row]]&lt;='Do Not Use or Delete'!$M$2,X175*Y175,0),0)+IF(Cost_Elements[[#This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5" s="63"/>
      <c r="AB175" s="63"/>
      <c r="AC175" s="79"/>
      <c r="AD175" s="74"/>
      <c r="AE175" s="75">
        <f ca="1">IFERROR(IF(Cost_Elements[[#This Row],[Row]]&gt;='Do Not Use or Delete'!$L$2, IF(Cost_Elements[[#This Row],[Row]]&lt;='Do Not Use or Delete'!$M$2,AC175*AD175,0),0)+IF(Cost_Elements[[#This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5" s="64"/>
      <c r="AG175" s="65"/>
      <c r="AH175" s="79"/>
      <c r="AI175" s="74"/>
      <c r="AJ175" s="458"/>
      <c r="AK175" s="458"/>
      <c r="AL175" s="75">
        <f ca="1">IFERROR(IF(Cost_Elements[[#This Row],[Row]]&gt;='Do Not Use or Delete'!$L$2, IF(Cost_Elements[[#This Row],[Row]]&lt;='Do Not Use or Delete'!$M$2,AH175*AI175,0),0)+IF(Cost_Elements[[#This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5" s="64"/>
      <c r="AN175" s="65"/>
      <c r="AO175" s="77">
        <f t="shared" si="10"/>
        <v>0</v>
      </c>
      <c r="AP175" s="78">
        <f t="shared" ca="1" si="11"/>
        <v>0</v>
      </c>
      <c r="AQ175" s="68">
        <f ca="1">ROW(Cost_Elements[[#This Row],[Amount | Total]])</f>
        <v>175</v>
      </c>
    </row>
    <row r="176" spans="1:43">
      <c r="A176" s="240" t="s">
        <v>165</v>
      </c>
      <c r="B176" s="275"/>
      <c r="C176" s="277"/>
      <c r="D176" s="318"/>
      <c r="E176" s="318"/>
      <c r="F176" s="318"/>
      <c r="G176" s="318"/>
      <c r="H176" s="121" t="str">
        <f ca="1">IFERROR(INDEX(Labor_Categories[Minimum Direct Labor Rates],MATCH(Cost_Elements[[#This Row],[Government Labor Category]],Labor_Categories[Labor Categories],0)),"")</f>
        <v/>
      </c>
      <c r="I176" s="79"/>
      <c r="J176" s="74"/>
      <c r="K176" s="75">
        <f ca="1">IFERROR(IF(Cost_Elements[[#This Row],[Row]]&gt;='Do Not Use or Delete'!$L$2, IF(Cost_Elements[[#This Row],[Row]]&lt;='Do Not Use or Delete'!$M$2,I176*J176,0),0)+IF(Cost_Elements[[#This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6" s="63"/>
      <c r="M176" s="63"/>
      <c r="N176" s="79"/>
      <c r="O176" s="74"/>
      <c r="P176" s="75">
        <f ca="1">IFERROR(IF(Cost_Elements[[#This Row],[Row]]&gt;='Do Not Use or Delete'!$L$2, IF(Cost_Elements[[#This Row],[Row]]&lt;='Do Not Use or Delete'!$M$2,N176*O176,0),0)+IF(Cost_Elements[[#This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6" s="63"/>
      <c r="R176" s="63"/>
      <c r="S176" s="79"/>
      <c r="T176" s="74"/>
      <c r="U176" s="75">
        <f ca="1">IFERROR(IF(Cost_Elements[[#This Row],[Row]]&gt;='Do Not Use or Delete'!$L$2, IF(Cost_Elements[[#This Row],[Row]]&lt;='Do Not Use or Delete'!$M$2,S176*T176,0),0)+IF(Cost_Elements[[#This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6" s="63"/>
      <c r="W176" s="63"/>
      <c r="X176" s="79"/>
      <c r="Y176" s="74"/>
      <c r="Z176" s="75">
        <f ca="1">IFERROR(IF(Cost_Elements[[#This Row],[Row]]&gt;='Do Not Use or Delete'!$L$2, IF(Cost_Elements[[#This Row],[Row]]&lt;='Do Not Use or Delete'!$M$2,X176*Y176,0),0)+IF(Cost_Elements[[#This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6" s="63"/>
      <c r="AB176" s="63"/>
      <c r="AC176" s="79"/>
      <c r="AD176" s="74"/>
      <c r="AE176" s="75">
        <f ca="1">IFERROR(IF(Cost_Elements[[#This Row],[Row]]&gt;='Do Not Use or Delete'!$L$2, IF(Cost_Elements[[#This Row],[Row]]&lt;='Do Not Use or Delete'!$M$2,AC176*AD176,0),0)+IF(Cost_Elements[[#This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6" s="64"/>
      <c r="AG176" s="65"/>
      <c r="AH176" s="79"/>
      <c r="AI176" s="74"/>
      <c r="AJ176" s="458"/>
      <c r="AK176" s="458"/>
      <c r="AL176" s="75">
        <f ca="1">IFERROR(IF(Cost_Elements[[#This Row],[Row]]&gt;='Do Not Use or Delete'!$L$2, IF(Cost_Elements[[#This Row],[Row]]&lt;='Do Not Use or Delete'!$M$2,AH176*AI176,0),0)+IF(Cost_Elements[[#This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6" s="64"/>
      <c r="AN176" s="65"/>
      <c r="AO176" s="77">
        <f t="shared" si="10"/>
        <v>0</v>
      </c>
      <c r="AP176" s="78">
        <f t="shared" ca="1" si="11"/>
        <v>0</v>
      </c>
      <c r="AQ176" s="68">
        <f ca="1">ROW(Cost_Elements[[#This Row],[Amount | Total]])</f>
        <v>176</v>
      </c>
    </row>
    <row r="177" spans="1:43">
      <c r="A177" s="240" t="s">
        <v>165</v>
      </c>
      <c r="B177" s="275"/>
      <c r="C177" s="277"/>
      <c r="D177" s="318"/>
      <c r="E177" s="318"/>
      <c r="F177" s="318"/>
      <c r="G177" s="318"/>
      <c r="H177" s="121" t="str">
        <f ca="1">IFERROR(INDEX(Labor_Categories[Minimum Direct Labor Rates],MATCH(Cost_Elements[[#This Row],[Government Labor Category]],Labor_Categories[Labor Categories],0)),"")</f>
        <v/>
      </c>
      <c r="I177" s="79"/>
      <c r="J177" s="74"/>
      <c r="K177" s="75">
        <f ca="1">IFERROR(IF(Cost_Elements[[#This Row],[Row]]&gt;='Do Not Use or Delete'!$L$2, IF(Cost_Elements[[#This Row],[Row]]&lt;='Do Not Use or Delete'!$M$2,I177*J177,0),0)+IF(Cost_Elements[[#This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7" s="63"/>
      <c r="M177" s="63"/>
      <c r="N177" s="79"/>
      <c r="O177" s="74"/>
      <c r="P177" s="75">
        <f ca="1">IFERROR(IF(Cost_Elements[[#This Row],[Row]]&gt;='Do Not Use or Delete'!$L$2, IF(Cost_Elements[[#This Row],[Row]]&lt;='Do Not Use or Delete'!$M$2,N177*O177,0),0)+IF(Cost_Elements[[#This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7" s="63"/>
      <c r="R177" s="63"/>
      <c r="S177" s="79"/>
      <c r="T177" s="74"/>
      <c r="U177" s="75">
        <f ca="1">IFERROR(IF(Cost_Elements[[#This Row],[Row]]&gt;='Do Not Use or Delete'!$L$2, IF(Cost_Elements[[#This Row],[Row]]&lt;='Do Not Use or Delete'!$M$2,S177*T177,0),0)+IF(Cost_Elements[[#This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7" s="63"/>
      <c r="W177" s="63"/>
      <c r="X177" s="79"/>
      <c r="Y177" s="74"/>
      <c r="Z177" s="75">
        <f ca="1">IFERROR(IF(Cost_Elements[[#This Row],[Row]]&gt;='Do Not Use or Delete'!$L$2, IF(Cost_Elements[[#This Row],[Row]]&lt;='Do Not Use or Delete'!$M$2,X177*Y177,0),0)+IF(Cost_Elements[[#This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7" s="63"/>
      <c r="AB177" s="63"/>
      <c r="AC177" s="79"/>
      <c r="AD177" s="74"/>
      <c r="AE177" s="75">
        <f ca="1">IFERROR(IF(Cost_Elements[[#This Row],[Row]]&gt;='Do Not Use or Delete'!$L$2, IF(Cost_Elements[[#This Row],[Row]]&lt;='Do Not Use or Delete'!$M$2,AC177*AD177,0),0)+IF(Cost_Elements[[#This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7" s="64"/>
      <c r="AG177" s="65"/>
      <c r="AH177" s="79"/>
      <c r="AI177" s="74"/>
      <c r="AJ177" s="458"/>
      <c r="AK177" s="458"/>
      <c r="AL177" s="75">
        <f ca="1">IFERROR(IF(Cost_Elements[[#This Row],[Row]]&gt;='Do Not Use or Delete'!$L$2, IF(Cost_Elements[[#This Row],[Row]]&lt;='Do Not Use or Delete'!$M$2,AH177*AI177,0),0)+IF(Cost_Elements[[#This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7" s="64"/>
      <c r="AN177" s="65"/>
      <c r="AO177" s="77">
        <f t="shared" si="10"/>
        <v>0</v>
      </c>
      <c r="AP177" s="78">
        <f t="shared" ca="1" si="11"/>
        <v>0</v>
      </c>
      <c r="AQ177" s="68">
        <f ca="1">ROW(Cost_Elements[[#This Row],[Amount | Total]])</f>
        <v>177</v>
      </c>
    </row>
    <row r="178" spans="1:43">
      <c r="A178" s="240" t="s">
        <v>165</v>
      </c>
      <c r="B178" s="275"/>
      <c r="C178" s="277"/>
      <c r="D178" s="318"/>
      <c r="E178" s="318"/>
      <c r="F178" s="318"/>
      <c r="G178" s="318"/>
      <c r="H178" s="121" t="str">
        <f ca="1">IFERROR(INDEX(Labor_Categories[Minimum Direct Labor Rates],MATCH(Cost_Elements[[#This Row],[Government Labor Category]],Labor_Categories[Labor Categories],0)),"")</f>
        <v/>
      </c>
      <c r="I178" s="79"/>
      <c r="J178" s="74"/>
      <c r="K178" s="75">
        <f ca="1">IFERROR(IF(Cost_Elements[[#This Row],[Row]]&gt;='Do Not Use or Delete'!$L$2, IF(Cost_Elements[[#This Row],[Row]]&lt;='Do Not Use or Delete'!$M$2,I178*J178,0),0)+IF(Cost_Elements[[#This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8" s="63"/>
      <c r="M178" s="63"/>
      <c r="N178" s="79"/>
      <c r="O178" s="74"/>
      <c r="P178" s="75">
        <f ca="1">IFERROR(IF(Cost_Elements[[#This Row],[Row]]&gt;='Do Not Use or Delete'!$L$2, IF(Cost_Elements[[#This Row],[Row]]&lt;='Do Not Use or Delete'!$M$2,N178*O178,0),0)+IF(Cost_Elements[[#This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8" s="63"/>
      <c r="R178" s="63"/>
      <c r="S178" s="79"/>
      <c r="T178" s="74"/>
      <c r="U178" s="75">
        <f ca="1">IFERROR(IF(Cost_Elements[[#This Row],[Row]]&gt;='Do Not Use or Delete'!$L$2, IF(Cost_Elements[[#This Row],[Row]]&lt;='Do Not Use or Delete'!$M$2,S178*T178,0),0)+IF(Cost_Elements[[#This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8" s="63"/>
      <c r="W178" s="63"/>
      <c r="X178" s="79"/>
      <c r="Y178" s="74"/>
      <c r="Z178" s="75">
        <f ca="1">IFERROR(IF(Cost_Elements[[#This Row],[Row]]&gt;='Do Not Use or Delete'!$L$2, IF(Cost_Elements[[#This Row],[Row]]&lt;='Do Not Use or Delete'!$M$2,X178*Y178,0),0)+IF(Cost_Elements[[#This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8" s="63"/>
      <c r="AB178" s="63"/>
      <c r="AC178" s="79"/>
      <c r="AD178" s="74"/>
      <c r="AE178" s="75">
        <f ca="1">IFERROR(IF(Cost_Elements[[#This Row],[Row]]&gt;='Do Not Use or Delete'!$L$2, IF(Cost_Elements[[#This Row],[Row]]&lt;='Do Not Use or Delete'!$M$2,AC178*AD178,0),0)+IF(Cost_Elements[[#This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8" s="64"/>
      <c r="AG178" s="65"/>
      <c r="AH178" s="79"/>
      <c r="AI178" s="74"/>
      <c r="AJ178" s="458"/>
      <c r="AK178" s="458"/>
      <c r="AL178" s="75">
        <f ca="1">IFERROR(IF(Cost_Elements[[#This Row],[Row]]&gt;='Do Not Use or Delete'!$L$2, IF(Cost_Elements[[#This Row],[Row]]&lt;='Do Not Use or Delete'!$M$2,AH178*AI178,0),0)+IF(Cost_Elements[[#This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8" s="64"/>
      <c r="AN178" s="65"/>
      <c r="AO178" s="77">
        <f t="shared" si="10"/>
        <v>0</v>
      </c>
      <c r="AP178" s="78">
        <f t="shared" ca="1" si="11"/>
        <v>0</v>
      </c>
      <c r="AQ178" s="68">
        <f ca="1">ROW(Cost_Elements[[#This Row],[Amount | Total]])</f>
        <v>178</v>
      </c>
    </row>
    <row r="179" spans="1:43">
      <c r="A179" s="240" t="s">
        <v>165</v>
      </c>
      <c r="B179" s="275"/>
      <c r="C179" s="277"/>
      <c r="D179" s="318"/>
      <c r="E179" s="318"/>
      <c r="F179" s="318"/>
      <c r="G179" s="318"/>
      <c r="H179" s="121" t="str">
        <f ca="1">IFERROR(INDEX(Labor_Categories[Minimum Direct Labor Rates],MATCH(Cost_Elements[[#This Row],[Government Labor Category]],Labor_Categories[Labor Categories],0)),"")</f>
        <v/>
      </c>
      <c r="I179" s="79"/>
      <c r="J179" s="74"/>
      <c r="K179" s="75">
        <f ca="1">IFERROR(IF(Cost_Elements[[#This Row],[Row]]&gt;='Do Not Use or Delete'!$L$2, IF(Cost_Elements[[#This Row],[Row]]&lt;='Do Not Use or Delete'!$M$2,I179*J179,0),0)+IF(Cost_Elements[[#This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9" s="63"/>
      <c r="M179" s="63"/>
      <c r="N179" s="79"/>
      <c r="O179" s="74"/>
      <c r="P179" s="75">
        <f ca="1">IFERROR(IF(Cost_Elements[[#This Row],[Row]]&gt;='Do Not Use or Delete'!$L$2, IF(Cost_Elements[[#This Row],[Row]]&lt;='Do Not Use or Delete'!$M$2,N179*O179,0),0)+IF(Cost_Elements[[#This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9" s="63"/>
      <c r="R179" s="63"/>
      <c r="S179" s="79"/>
      <c r="T179" s="74"/>
      <c r="U179" s="75">
        <f ca="1">IFERROR(IF(Cost_Elements[[#This Row],[Row]]&gt;='Do Not Use or Delete'!$L$2, IF(Cost_Elements[[#This Row],[Row]]&lt;='Do Not Use or Delete'!$M$2,S179*T179,0),0)+IF(Cost_Elements[[#This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9" s="63"/>
      <c r="W179" s="63"/>
      <c r="X179" s="79"/>
      <c r="Y179" s="74"/>
      <c r="Z179" s="75">
        <f ca="1">IFERROR(IF(Cost_Elements[[#This Row],[Row]]&gt;='Do Not Use or Delete'!$L$2, IF(Cost_Elements[[#This Row],[Row]]&lt;='Do Not Use or Delete'!$M$2,X179*Y179,0),0)+IF(Cost_Elements[[#This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9" s="63"/>
      <c r="AB179" s="63"/>
      <c r="AC179" s="79"/>
      <c r="AD179" s="74"/>
      <c r="AE179" s="75">
        <f ca="1">IFERROR(IF(Cost_Elements[[#This Row],[Row]]&gt;='Do Not Use or Delete'!$L$2, IF(Cost_Elements[[#This Row],[Row]]&lt;='Do Not Use or Delete'!$M$2,AC179*AD179,0),0)+IF(Cost_Elements[[#This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9" s="64"/>
      <c r="AG179" s="65"/>
      <c r="AH179" s="79"/>
      <c r="AI179" s="74"/>
      <c r="AJ179" s="458"/>
      <c r="AK179" s="458"/>
      <c r="AL179" s="75">
        <f ca="1">IFERROR(IF(Cost_Elements[[#This Row],[Row]]&gt;='Do Not Use or Delete'!$L$2, IF(Cost_Elements[[#This Row],[Row]]&lt;='Do Not Use or Delete'!$M$2,AH179*AI179,0),0)+IF(Cost_Elements[[#This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9" s="64"/>
      <c r="AN179" s="65"/>
      <c r="AO179" s="77">
        <f t="shared" si="10"/>
        <v>0</v>
      </c>
      <c r="AP179" s="78">
        <f t="shared" ca="1" si="11"/>
        <v>0</v>
      </c>
      <c r="AQ179" s="68">
        <f ca="1">ROW(Cost_Elements[[#This Row],[Amount | Total]])</f>
        <v>179</v>
      </c>
    </row>
    <row r="180" spans="1:43">
      <c r="A180" s="257"/>
      <c r="B180" s="276"/>
      <c r="C180" s="277"/>
      <c r="D180" s="318"/>
      <c r="E180" s="318"/>
      <c r="F180" s="318"/>
      <c r="G180" s="318"/>
      <c r="H180" s="121" t="str">
        <f ca="1">IFERROR(INDEX(Labor_Categories[Minimum Direct Labor Rates],MATCH(Cost_Elements[[#This Row],[Government Labor Category]],Labor_Categories[Labor Categories],0)),"")</f>
        <v/>
      </c>
      <c r="I180" s="79"/>
      <c r="J180" s="74"/>
      <c r="K180" s="75">
        <f ca="1">IFERROR(IF(Cost_Elements[[#This Row],[Row]]&gt;='Do Not Use or Delete'!$L$2, IF(Cost_Elements[[#This Row],[Row]]&lt;='Do Not Use or Delete'!$M$2,I180*J180,0),0)+IF(Cost_Elements[[#This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0" s="63"/>
      <c r="M180" s="63"/>
      <c r="N180" s="79"/>
      <c r="O180" s="74"/>
      <c r="P180" s="75">
        <f ca="1">IFERROR(IF(Cost_Elements[[#This Row],[Row]]&gt;='Do Not Use or Delete'!$L$2, IF(Cost_Elements[[#This Row],[Row]]&lt;='Do Not Use or Delete'!$M$2,N180*O180,0),0)+IF(Cost_Elements[[#This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0" s="63"/>
      <c r="R180" s="63"/>
      <c r="S180" s="79"/>
      <c r="T180" s="74"/>
      <c r="U180" s="75">
        <f ca="1">IFERROR(IF(Cost_Elements[[#This Row],[Row]]&gt;='Do Not Use or Delete'!$L$2, IF(Cost_Elements[[#This Row],[Row]]&lt;='Do Not Use or Delete'!$M$2,S180*T180,0),0)+IF(Cost_Elements[[#This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0" s="63"/>
      <c r="W180" s="63"/>
      <c r="X180" s="79"/>
      <c r="Y180" s="74"/>
      <c r="Z180" s="75">
        <f ca="1">IFERROR(IF(Cost_Elements[[#This Row],[Row]]&gt;='Do Not Use or Delete'!$L$2, IF(Cost_Elements[[#This Row],[Row]]&lt;='Do Not Use or Delete'!$M$2,X180*Y180,0),0)+IF(Cost_Elements[[#This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0" s="63"/>
      <c r="AB180" s="63"/>
      <c r="AC180" s="79"/>
      <c r="AD180" s="74"/>
      <c r="AE180" s="75">
        <f ca="1">IFERROR(IF(Cost_Elements[[#This Row],[Row]]&gt;='Do Not Use or Delete'!$L$2, IF(Cost_Elements[[#This Row],[Row]]&lt;='Do Not Use or Delete'!$M$2,AC180*AD180,0),0)+IF(Cost_Elements[[#This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0" s="64"/>
      <c r="AG180" s="65"/>
      <c r="AH180" s="79"/>
      <c r="AI180" s="74"/>
      <c r="AJ180" s="458"/>
      <c r="AK180" s="458"/>
      <c r="AL180" s="75">
        <f ca="1">IFERROR(IF(Cost_Elements[[#This Row],[Row]]&gt;='Do Not Use or Delete'!$L$2, IF(Cost_Elements[[#This Row],[Row]]&lt;='Do Not Use or Delete'!$M$2,AH180*AI180,0),0)+IF(Cost_Elements[[#This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0" s="64"/>
      <c r="AN180" s="65"/>
      <c r="AO180" s="77">
        <f>J180+T180+AD180+O180+Y180+AI180</f>
        <v>0</v>
      </c>
      <c r="AP180" s="78">
        <f ca="1">K180+U180+AE180+P180+Z180+AL180</f>
        <v>0</v>
      </c>
      <c r="AQ180" s="68">
        <f ca="1">ROW(Cost_Elements[[#This Row],[Amount | Total]])</f>
        <v>180</v>
      </c>
    </row>
    <row r="181" spans="1:43">
      <c r="A181" s="239" t="s">
        <v>190</v>
      </c>
      <c r="B181" s="70"/>
      <c r="C181" s="69"/>
      <c r="D181" s="61"/>
      <c r="E181" s="61"/>
      <c r="F181" s="61"/>
      <c r="G181" s="61"/>
      <c r="H181" s="59" t="str">
        <f ca="1">IFERROR(INDEX(Labor_Categories[Minimum Direct Labor Rates],MATCH(Cost_Elements[[#This Row],[Government Labor Category]],Labor_Categories[Labor Categories],0)),"")</f>
        <v/>
      </c>
      <c r="I181" s="11"/>
      <c r="J181" s="119">
        <f ca="1">SUM(J182:J195)</f>
        <v>0</v>
      </c>
      <c r="K181" s="120">
        <f ca="1">SUM(K182:K195)</f>
        <v>0</v>
      </c>
      <c r="L181" s="248"/>
      <c r="M181" s="248"/>
      <c r="N181" s="11">
        <f ca="1">(Cost_Elements[[#This Row],[Rate | 1]]*$O$4)+Cost_Elements[[#This Row],[Rate | 1]]</f>
        <v>0</v>
      </c>
      <c r="O181" s="119">
        <f ca="1">SUM(O182:O195)</f>
        <v>0</v>
      </c>
      <c r="P181" s="120">
        <f ca="1">SUM(P182:P195)</f>
        <v>0</v>
      </c>
      <c r="Q181" s="248"/>
      <c r="R181" s="248"/>
      <c r="S181" s="11">
        <f ca="1">(Cost_Elements[[#This Row],[Rate | 2]]*$T$4)+Cost_Elements[[#This Row],[Rate | 2]]</f>
        <v>0</v>
      </c>
      <c r="T181" s="119">
        <f ca="1">SUM(T182:T195)</f>
        <v>0</v>
      </c>
      <c r="U181" s="120">
        <f ca="1">SUM(U182:U195)</f>
        <v>0</v>
      </c>
      <c r="V181" s="248"/>
      <c r="W181" s="248"/>
      <c r="X181" s="11">
        <f ca="1">(Cost_Elements[[#This Row],[Rate | 3]]*$Y$4)+Cost_Elements[[#This Row],[Rate | 3]]</f>
        <v>0</v>
      </c>
      <c r="Y181" s="119">
        <f ca="1">SUM(Y182:Y195)</f>
        <v>0</v>
      </c>
      <c r="Z181" s="120">
        <f ca="1">SUM(Z182:Z195)</f>
        <v>0</v>
      </c>
      <c r="AA181" s="248"/>
      <c r="AB181" s="248"/>
      <c r="AC181" s="11">
        <f ca="1">(Cost_Elements[[#This Row],[Rate | 4]]*$AD$4)+Cost_Elements[[#This Row],[Rate | 4]]</f>
        <v>0</v>
      </c>
      <c r="AD181" s="119">
        <f ca="1">SUM(AD182:AD195)</f>
        <v>0</v>
      </c>
      <c r="AE181" s="120">
        <f ca="1">SUM(AE182:AE195)</f>
        <v>0</v>
      </c>
      <c r="AF181" s="102"/>
      <c r="AG181" s="91"/>
      <c r="AH181" s="11">
        <f ca="1">(Cost_Elements[[#This Row],[Rate | 4]]*$AD$4)+Cost_Elements[[#This Row],[Rate | 4]]</f>
        <v>0</v>
      </c>
      <c r="AI181" s="119">
        <f ca="1">SUM(AI182:AI195)</f>
        <v>0</v>
      </c>
      <c r="AJ181" s="119"/>
      <c r="AK181" s="119"/>
      <c r="AL181" s="120">
        <f ca="1">SUM(AL182:AL195)</f>
        <v>0</v>
      </c>
      <c r="AM181" s="102"/>
      <c r="AN181" s="91"/>
      <c r="AO181" s="119">
        <f>SUM(AO182:AO195)</f>
        <v>0</v>
      </c>
      <c r="AP181" s="87">
        <f ca="1">SUM(AP182:AP195)</f>
        <v>0</v>
      </c>
      <c r="AQ181" s="68">
        <f ca="1">ROW(Cost_Elements[[#This Row],[Amount | Total]])</f>
        <v>181</v>
      </c>
    </row>
    <row r="182" spans="1:43">
      <c r="A182" s="240" t="s">
        <v>165</v>
      </c>
      <c r="B182" s="275"/>
      <c r="C182" s="277"/>
      <c r="D182" s="318"/>
      <c r="E182" s="318"/>
      <c r="F182" s="318"/>
      <c r="G182" s="318"/>
      <c r="H182" s="121" t="str">
        <f ca="1">IFERROR(INDEX(Labor_Categories[Minimum Direct Labor Rates],MATCH(Cost_Elements[[#This Row],[Government Labor Category]],Labor_Categories[Labor Categories],0)),"")</f>
        <v/>
      </c>
      <c r="I182" s="73"/>
      <c r="J182" s="74"/>
      <c r="K182" s="75">
        <f ca="1">IFERROR(IF(Cost_Elements[[#This Row],[Row]]&gt;='Do Not Use or Delete'!$L$2, IF(Cost_Elements[[#This Row],[Row]]&lt;='Do Not Use or Delete'!$M$2,I182*J182,0),0)+IF(Cost_Elements[[#This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2" s="63"/>
      <c r="M182" s="63"/>
      <c r="N182" s="73"/>
      <c r="O182" s="74"/>
      <c r="P182" s="75">
        <f ca="1">IFERROR(IF(Cost_Elements[[#This Row],[Row]]&gt;='Do Not Use or Delete'!$L$2, IF(Cost_Elements[[#This Row],[Row]]&lt;='Do Not Use or Delete'!$M$2,N182*O182,0),0)+IF(Cost_Elements[[#This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2" s="63"/>
      <c r="R182" s="63"/>
      <c r="S182" s="73"/>
      <c r="T182" s="74"/>
      <c r="U182" s="75">
        <f ca="1">IFERROR(IF(Cost_Elements[[#This Row],[Row]]&gt;='Do Not Use or Delete'!$L$2, IF(Cost_Elements[[#This Row],[Row]]&lt;='Do Not Use or Delete'!$M$2,S182*T182,0),0)+IF(Cost_Elements[[#This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2" s="63"/>
      <c r="W182" s="63"/>
      <c r="X182" s="73"/>
      <c r="Y182" s="74"/>
      <c r="Z182" s="75">
        <f ca="1">IFERROR(IF(Cost_Elements[[#This Row],[Row]]&gt;='Do Not Use or Delete'!$L$2, IF(Cost_Elements[[#This Row],[Row]]&lt;='Do Not Use or Delete'!$M$2,X182*Y182,0),0)+IF(Cost_Elements[[#This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2" s="63"/>
      <c r="AB182" s="63"/>
      <c r="AC182" s="73"/>
      <c r="AD182" s="74"/>
      <c r="AE182" s="75">
        <f ca="1">IFERROR(IF(Cost_Elements[[#This Row],[Row]]&gt;='Do Not Use or Delete'!$L$2, IF(Cost_Elements[[#This Row],[Row]]&lt;='Do Not Use or Delete'!$M$2,AC182*AD182,0),0)+IF(Cost_Elements[[#This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2" s="64"/>
      <c r="AG182" s="65"/>
      <c r="AH182" s="73"/>
      <c r="AI182" s="74"/>
      <c r="AJ182" s="458"/>
      <c r="AK182" s="458"/>
      <c r="AL182" s="75">
        <f ca="1">IFERROR(IF(Cost_Elements[[#This Row],[Row]]&gt;='Do Not Use or Delete'!$L$2, IF(Cost_Elements[[#This Row],[Row]]&lt;='Do Not Use or Delete'!$M$2,AH182*AI182,0),0)+IF(Cost_Elements[[#This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2" s="64"/>
      <c r="AN182" s="65"/>
      <c r="AO182" s="77">
        <f>J182+T182+AD182+O182+Y182+AI182</f>
        <v>0</v>
      </c>
      <c r="AP182" s="78">
        <f ca="1">K182+U182+AE182+P182+Z182+AL182</f>
        <v>0</v>
      </c>
      <c r="AQ182" s="68">
        <f ca="1">ROW(Cost_Elements[[#This Row],[Amount | Total]])</f>
        <v>182</v>
      </c>
    </row>
    <row r="183" spans="1:43">
      <c r="A183" s="240" t="s">
        <v>165</v>
      </c>
      <c r="B183" s="275"/>
      <c r="C183" s="277"/>
      <c r="D183" s="277"/>
      <c r="E183" s="318"/>
      <c r="F183" s="318"/>
      <c r="G183" s="277"/>
      <c r="H183" s="123" t="str">
        <f ca="1">IFERROR(INDEX(Labor_Categories[Minimum Direct Labor Rates],MATCH(Cost_Elements[[#This Row],[Government Labor Category]],Labor_Categories[Labor Categories],0)),"")</f>
        <v/>
      </c>
      <c r="I183" s="73"/>
      <c r="J183" s="74"/>
      <c r="K183" s="75">
        <f ca="1">IFERROR(IF(Cost_Elements[[#This Row],[Row]]&gt;='Do Not Use or Delete'!$L$2, IF(Cost_Elements[[#This Row],[Row]]&lt;='Do Not Use or Delete'!$M$2,I183*J183,0),0)+IF(Cost_Elements[[#This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3" s="63"/>
      <c r="M183" s="63"/>
      <c r="N183" s="73"/>
      <c r="O183" s="74"/>
      <c r="P183" s="75">
        <f ca="1">IFERROR(IF(Cost_Elements[[#This Row],[Row]]&gt;='Do Not Use or Delete'!$L$2, IF(Cost_Elements[[#This Row],[Row]]&lt;='Do Not Use or Delete'!$M$2,N183*O183,0),0)+IF(Cost_Elements[[#This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3" s="63"/>
      <c r="R183" s="63"/>
      <c r="S183" s="73"/>
      <c r="T183" s="74"/>
      <c r="U183" s="75">
        <f ca="1">IFERROR(IF(Cost_Elements[[#This Row],[Row]]&gt;='Do Not Use or Delete'!$L$2, IF(Cost_Elements[[#This Row],[Row]]&lt;='Do Not Use or Delete'!$M$2,S183*T183,0),0)+IF(Cost_Elements[[#This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3" s="63"/>
      <c r="W183" s="63"/>
      <c r="X183" s="73"/>
      <c r="Y183" s="74"/>
      <c r="Z183" s="75">
        <f ca="1">IFERROR(IF(Cost_Elements[[#This Row],[Row]]&gt;='Do Not Use or Delete'!$L$2, IF(Cost_Elements[[#This Row],[Row]]&lt;='Do Not Use or Delete'!$M$2,X183*Y183,0),0)+IF(Cost_Elements[[#This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3" s="63"/>
      <c r="AB183" s="63"/>
      <c r="AC183" s="73"/>
      <c r="AD183" s="74"/>
      <c r="AE183" s="75">
        <f ca="1">IFERROR(IF(Cost_Elements[[#This Row],[Row]]&gt;='Do Not Use or Delete'!$L$2, IF(Cost_Elements[[#This Row],[Row]]&lt;='Do Not Use or Delete'!$M$2,AC183*AD183,0),0)+IF(Cost_Elements[[#This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3" s="102"/>
      <c r="AG183" s="249"/>
      <c r="AH183" s="73"/>
      <c r="AI183" s="74"/>
      <c r="AJ183" s="458"/>
      <c r="AK183" s="458"/>
      <c r="AL183" s="75">
        <f ca="1">IFERROR(IF(Cost_Elements[[#This Row],[Row]]&gt;='Do Not Use or Delete'!$L$2, IF(Cost_Elements[[#This Row],[Row]]&lt;='Do Not Use or Delete'!$M$2,AH183*AI183,0),0)+IF(Cost_Elements[[#This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3" s="102"/>
      <c r="AN183" s="249"/>
      <c r="AO183" s="77">
        <f t="shared" ref="AO183:AO195" si="12">J183+T183+AD183+O183+Y183+AI183</f>
        <v>0</v>
      </c>
      <c r="AP183" s="78">
        <f t="shared" ref="AP183:AP195" ca="1" si="13">K183+U183+AE183+P183+Z183+AL183</f>
        <v>0</v>
      </c>
      <c r="AQ183" s="68">
        <f ca="1">ROW(Cost_Elements[[#This Row],[Amount | Total]])</f>
        <v>183</v>
      </c>
    </row>
    <row r="184" spans="1:43">
      <c r="A184" s="240" t="s">
        <v>165</v>
      </c>
      <c r="B184" s="275"/>
      <c r="C184" s="277"/>
      <c r="D184" s="277"/>
      <c r="E184" s="318"/>
      <c r="F184" s="318"/>
      <c r="G184" s="277"/>
      <c r="H184" s="123" t="str">
        <f ca="1">IFERROR(INDEX(Labor_Categories[Minimum Direct Labor Rates],MATCH(Cost_Elements[[#This Row],[Government Labor Category]],Labor_Categories[Labor Categories],0)),"")</f>
        <v/>
      </c>
      <c r="I184" s="73"/>
      <c r="J184" s="74"/>
      <c r="K184" s="75">
        <f ca="1">IFERROR(IF(Cost_Elements[[#This Row],[Row]]&gt;='Do Not Use or Delete'!$L$2, IF(Cost_Elements[[#This Row],[Row]]&lt;='Do Not Use or Delete'!$M$2,I184*J184,0),0)+IF(Cost_Elements[[#This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4" s="63"/>
      <c r="M184" s="63"/>
      <c r="N184" s="73"/>
      <c r="O184" s="74"/>
      <c r="P184" s="75">
        <f ca="1">IFERROR(IF(Cost_Elements[[#This Row],[Row]]&gt;='Do Not Use or Delete'!$L$2, IF(Cost_Elements[[#This Row],[Row]]&lt;='Do Not Use or Delete'!$M$2,N184*O184,0),0)+IF(Cost_Elements[[#This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4" s="63"/>
      <c r="R184" s="63"/>
      <c r="S184" s="73"/>
      <c r="T184" s="74"/>
      <c r="U184" s="75">
        <f ca="1">IFERROR(IF(Cost_Elements[[#This Row],[Row]]&gt;='Do Not Use or Delete'!$L$2, IF(Cost_Elements[[#This Row],[Row]]&lt;='Do Not Use or Delete'!$M$2,S184*T184,0),0)+IF(Cost_Elements[[#This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4" s="63"/>
      <c r="W184" s="63"/>
      <c r="X184" s="73"/>
      <c r="Y184" s="74"/>
      <c r="Z184" s="75">
        <f ca="1">IFERROR(IF(Cost_Elements[[#This Row],[Row]]&gt;='Do Not Use or Delete'!$L$2, IF(Cost_Elements[[#This Row],[Row]]&lt;='Do Not Use or Delete'!$M$2,X184*Y184,0),0)+IF(Cost_Elements[[#This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4" s="63"/>
      <c r="AB184" s="63"/>
      <c r="AC184" s="73"/>
      <c r="AD184" s="74"/>
      <c r="AE184" s="75">
        <f ca="1">IFERROR(IF(Cost_Elements[[#This Row],[Row]]&gt;='Do Not Use or Delete'!$L$2, IF(Cost_Elements[[#This Row],[Row]]&lt;='Do Not Use or Delete'!$M$2,AC184*AD184,0),0)+IF(Cost_Elements[[#This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4" s="102"/>
      <c r="AG184" s="249"/>
      <c r="AH184" s="73"/>
      <c r="AI184" s="74"/>
      <c r="AJ184" s="458"/>
      <c r="AK184" s="458"/>
      <c r="AL184" s="75">
        <f ca="1">IFERROR(IF(Cost_Elements[[#This Row],[Row]]&gt;='Do Not Use or Delete'!$L$2, IF(Cost_Elements[[#This Row],[Row]]&lt;='Do Not Use or Delete'!$M$2,AH184*AI184,0),0)+IF(Cost_Elements[[#This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4" s="102"/>
      <c r="AN184" s="249"/>
      <c r="AO184" s="77">
        <f t="shared" si="12"/>
        <v>0</v>
      </c>
      <c r="AP184" s="78">
        <f t="shared" ca="1" si="13"/>
        <v>0</v>
      </c>
      <c r="AQ184" s="68">
        <f ca="1">ROW(Cost_Elements[[#This Row],[Amount | Total]])</f>
        <v>184</v>
      </c>
    </row>
    <row r="185" spans="1:43">
      <c r="A185" s="240" t="s">
        <v>165</v>
      </c>
      <c r="B185" s="275"/>
      <c r="C185" s="277"/>
      <c r="D185" s="277"/>
      <c r="E185" s="318"/>
      <c r="F185" s="318"/>
      <c r="G185" s="277"/>
      <c r="H185" s="123" t="str">
        <f ca="1">IFERROR(INDEX(Labor_Categories[Minimum Direct Labor Rates],MATCH(Cost_Elements[[#This Row],[Government Labor Category]],Labor_Categories[Labor Categories],0)),"")</f>
        <v/>
      </c>
      <c r="I185" s="262"/>
      <c r="J185" s="74"/>
      <c r="K185" s="75">
        <f ca="1">IFERROR(IF(Cost_Elements[[#This Row],[Row]]&gt;='Do Not Use or Delete'!$L$2, IF(Cost_Elements[[#This Row],[Row]]&lt;='Do Not Use or Delete'!$M$2,I185*J185,0),0)+IF(Cost_Elements[[#This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5" s="63"/>
      <c r="M185" s="63"/>
      <c r="N185" s="73"/>
      <c r="O185" s="74"/>
      <c r="P185" s="75">
        <f ca="1">IFERROR(IF(Cost_Elements[[#This Row],[Row]]&gt;='Do Not Use or Delete'!$L$2, IF(Cost_Elements[[#This Row],[Row]]&lt;='Do Not Use or Delete'!$M$2,N185*O185,0),0)+IF(Cost_Elements[[#This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5" s="63"/>
      <c r="R185" s="63"/>
      <c r="S185" s="73"/>
      <c r="T185" s="74"/>
      <c r="U185" s="75">
        <f ca="1">IFERROR(IF(Cost_Elements[[#This Row],[Row]]&gt;='Do Not Use or Delete'!$L$2, IF(Cost_Elements[[#This Row],[Row]]&lt;='Do Not Use or Delete'!$M$2,S185*T185,0),0)+IF(Cost_Elements[[#This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5" s="63"/>
      <c r="W185" s="63"/>
      <c r="X185" s="73"/>
      <c r="Y185" s="74"/>
      <c r="Z185" s="75">
        <f ca="1">IFERROR(IF(Cost_Elements[[#This Row],[Row]]&gt;='Do Not Use or Delete'!$L$2, IF(Cost_Elements[[#This Row],[Row]]&lt;='Do Not Use or Delete'!$M$2,X185*Y185,0),0)+IF(Cost_Elements[[#This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5" s="63"/>
      <c r="AB185" s="63"/>
      <c r="AC185" s="73"/>
      <c r="AD185" s="74"/>
      <c r="AE185" s="75">
        <f ca="1">IFERROR(IF(Cost_Elements[[#This Row],[Row]]&gt;='Do Not Use or Delete'!$L$2, IF(Cost_Elements[[#This Row],[Row]]&lt;='Do Not Use or Delete'!$M$2,AC185*AD185,0),0)+IF(Cost_Elements[[#This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5" s="102"/>
      <c r="AG185" s="249"/>
      <c r="AH185" s="73"/>
      <c r="AI185" s="74"/>
      <c r="AJ185" s="458"/>
      <c r="AK185" s="458"/>
      <c r="AL185" s="75">
        <f ca="1">IFERROR(IF(Cost_Elements[[#This Row],[Row]]&gt;='Do Not Use or Delete'!$L$2, IF(Cost_Elements[[#This Row],[Row]]&lt;='Do Not Use or Delete'!$M$2,AH185*AI185,0),0)+IF(Cost_Elements[[#This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5" s="102"/>
      <c r="AN185" s="249"/>
      <c r="AO185" s="77">
        <f t="shared" si="12"/>
        <v>0</v>
      </c>
      <c r="AP185" s="78">
        <f t="shared" ca="1" si="13"/>
        <v>0</v>
      </c>
      <c r="AQ185" s="68">
        <f ca="1">ROW(Cost_Elements[[#This Row],[Amount | Total]])</f>
        <v>185</v>
      </c>
    </row>
    <row r="186" spans="1:43">
      <c r="A186" s="240" t="s">
        <v>165</v>
      </c>
      <c r="B186" s="275"/>
      <c r="C186" s="277"/>
      <c r="D186" s="277"/>
      <c r="E186" s="318"/>
      <c r="F186" s="318"/>
      <c r="G186" s="277"/>
      <c r="H186" s="123" t="str">
        <f ca="1">IFERROR(INDEX(Labor_Categories[Minimum Direct Labor Rates],MATCH(Cost_Elements[[#This Row],[Government Labor Category]],Labor_Categories[Labor Categories],0)),"")</f>
        <v/>
      </c>
      <c r="I186" s="262"/>
      <c r="J186" s="74"/>
      <c r="K186" s="75">
        <f ca="1">IFERROR(IF(Cost_Elements[[#This Row],[Row]]&gt;='Do Not Use or Delete'!$L$2, IF(Cost_Elements[[#This Row],[Row]]&lt;='Do Not Use or Delete'!$M$2,I186*J186,0),0)+IF(Cost_Elements[[#This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6" s="63"/>
      <c r="M186" s="63"/>
      <c r="N186" s="73"/>
      <c r="O186" s="74"/>
      <c r="P186" s="75">
        <f ca="1">IFERROR(IF(Cost_Elements[[#This Row],[Row]]&gt;='Do Not Use or Delete'!$L$2, IF(Cost_Elements[[#This Row],[Row]]&lt;='Do Not Use or Delete'!$M$2,N186*O186,0),0)+IF(Cost_Elements[[#This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6" s="63"/>
      <c r="R186" s="63"/>
      <c r="S186" s="73"/>
      <c r="T186" s="74"/>
      <c r="U186" s="75">
        <f ca="1">IFERROR(IF(Cost_Elements[[#This Row],[Row]]&gt;='Do Not Use or Delete'!$L$2, IF(Cost_Elements[[#This Row],[Row]]&lt;='Do Not Use or Delete'!$M$2,S186*T186,0),0)+IF(Cost_Elements[[#This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6" s="63"/>
      <c r="W186" s="63"/>
      <c r="X186" s="73"/>
      <c r="Y186" s="74"/>
      <c r="Z186" s="75">
        <f ca="1">IFERROR(IF(Cost_Elements[[#This Row],[Row]]&gt;='Do Not Use or Delete'!$L$2, IF(Cost_Elements[[#This Row],[Row]]&lt;='Do Not Use or Delete'!$M$2,X186*Y186,0),0)+IF(Cost_Elements[[#This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6" s="63"/>
      <c r="AB186" s="63"/>
      <c r="AC186" s="73"/>
      <c r="AD186" s="74"/>
      <c r="AE186" s="75">
        <f ca="1">IFERROR(IF(Cost_Elements[[#This Row],[Row]]&gt;='Do Not Use or Delete'!$L$2, IF(Cost_Elements[[#This Row],[Row]]&lt;='Do Not Use or Delete'!$M$2,AC186*AD186,0),0)+IF(Cost_Elements[[#This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6" s="102"/>
      <c r="AG186" s="249"/>
      <c r="AH186" s="73"/>
      <c r="AI186" s="74"/>
      <c r="AJ186" s="458"/>
      <c r="AK186" s="458"/>
      <c r="AL186" s="75">
        <f ca="1">IFERROR(IF(Cost_Elements[[#This Row],[Row]]&gt;='Do Not Use or Delete'!$L$2, IF(Cost_Elements[[#This Row],[Row]]&lt;='Do Not Use or Delete'!$M$2,AH186*AI186,0),0)+IF(Cost_Elements[[#This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6" s="102"/>
      <c r="AN186" s="249"/>
      <c r="AO186" s="77">
        <f t="shared" si="12"/>
        <v>0</v>
      </c>
      <c r="AP186" s="78">
        <f t="shared" ca="1" si="13"/>
        <v>0</v>
      </c>
      <c r="AQ186" s="68">
        <f ca="1">ROW(Cost_Elements[[#This Row],[Amount | Total]])</f>
        <v>186</v>
      </c>
    </row>
    <row r="187" spans="1:43">
      <c r="A187" s="240" t="s">
        <v>165</v>
      </c>
      <c r="B187" s="275"/>
      <c r="C187" s="277"/>
      <c r="D187" s="277"/>
      <c r="E187" s="318"/>
      <c r="F187" s="318"/>
      <c r="G187" s="277"/>
      <c r="H187" s="123" t="str">
        <f ca="1">IFERROR(INDEX(Labor_Categories[Minimum Direct Labor Rates],MATCH(Cost_Elements[[#This Row],[Government Labor Category]],Labor_Categories[Labor Categories],0)),"")</f>
        <v/>
      </c>
      <c r="I187" s="262"/>
      <c r="J187" s="74"/>
      <c r="K187" s="75">
        <f ca="1">IFERROR(IF(Cost_Elements[[#This Row],[Row]]&gt;='Do Not Use or Delete'!$L$2, IF(Cost_Elements[[#This Row],[Row]]&lt;='Do Not Use or Delete'!$M$2,I187*J187,0),0)+IF(Cost_Elements[[#This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7" s="63"/>
      <c r="M187" s="63"/>
      <c r="N187" s="73"/>
      <c r="O187" s="74"/>
      <c r="P187" s="75">
        <f ca="1">IFERROR(IF(Cost_Elements[[#This Row],[Row]]&gt;='Do Not Use or Delete'!$L$2, IF(Cost_Elements[[#This Row],[Row]]&lt;='Do Not Use or Delete'!$M$2,N187*O187,0),0)+IF(Cost_Elements[[#This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7" s="63"/>
      <c r="R187" s="63"/>
      <c r="S187" s="73"/>
      <c r="T187" s="74"/>
      <c r="U187" s="75">
        <f ca="1">IFERROR(IF(Cost_Elements[[#This Row],[Row]]&gt;='Do Not Use or Delete'!$L$2, IF(Cost_Elements[[#This Row],[Row]]&lt;='Do Not Use or Delete'!$M$2,S187*T187,0),0)+IF(Cost_Elements[[#This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7" s="63"/>
      <c r="W187" s="63"/>
      <c r="X187" s="73"/>
      <c r="Y187" s="74"/>
      <c r="Z187" s="75">
        <f ca="1">IFERROR(IF(Cost_Elements[[#This Row],[Row]]&gt;='Do Not Use or Delete'!$L$2, IF(Cost_Elements[[#This Row],[Row]]&lt;='Do Not Use or Delete'!$M$2,X187*Y187,0),0)+IF(Cost_Elements[[#This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7" s="63"/>
      <c r="AB187" s="63"/>
      <c r="AC187" s="73"/>
      <c r="AD187" s="74"/>
      <c r="AE187" s="75">
        <f ca="1">IFERROR(IF(Cost_Elements[[#This Row],[Row]]&gt;='Do Not Use or Delete'!$L$2, IF(Cost_Elements[[#This Row],[Row]]&lt;='Do Not Use or Delete'!$M$2,AC187*AD187,0),0)+IF(Cost_Elements[[#This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7" s="102"/>
      <c r="AG187" s="249"/>
      <c r="AH187" s="73"/>
      <c r="AI187" s="74"/>
      <c r="AJ187" s="458"/>
      <c r="AK187" s="458"/>
      <c r="AL187" s="75">
        <f ca="1">IFERROR(IF(Cost_Elements[[#This Row],[Row]]&gt;='Do Not Use or Delete'!$L$2, IF(Cost_Elements[[#This Row],[Row]]&lt;='Do Not Use or Delete'!$M$2,AH187*AI187,0),0)+IF(Cost_Elements[[#This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7" s="102"/>
      <c r="AN187" s="249"/>
      <c r="AO187" s="77">
        <f t="shared" si="12"/>
        <v>0</v>
      </c>
      <c r="AP187" s="78">
        <f t="shared" ca="1" si="13"/>
        <v>0</v>
      </c>
      <c r="AQ187" s="68">
        <f ca="1">ROW(Cost_Elements[[#This Row],[Amount | Total]])</f>
        <v>187</v>
      </c>
    </row>
    <row r="188" spans="1:43">
      <c r="A188" s="240" t="s">
        <v>165</v>
      </c>
      <c r="B188" s="275"/>
      <c r="C188" s="277"/>
      <c r="D188" s="277"/>
      <c r="E188" s="318"/>
      <c r="F188" s="318"/>
      <c r="G188" s="277"/>
      <c r="H188" s="123" t="str">
        <f ca="1">IFERROR(INDEX(Labor_Categories[Minimum Direct Labor Rates],MATCH(Cost_Elements[[#This Row],[Government Labor Category]],Labor_Categories[Labor Categories],0)),"")</f>
        <v/>
      </c>
      <c r="I188" s="262"/>
      <c r="J188" s="74"/>
      <c r="K188" s="75">
        <f ca="1">IFERROR(IF(Cost_Elements[[#This Row],[Row]]&gt;='Do Not Use or Delete'!$L$2, IF(Cost_Elements[[#This Row],[Row]]&lt;='Do Not Use or Delete'!$M$2,I188*J188,0),0)+IF(Cost_Elements[[#This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8" s="63"/>
      <c r="M188" s="63"/>
      <c r="N188" s="73"/>
      <c r="O188" s="74"/>
      <c r="P188" s="75">
        <f ca="1">IFERROR(IF(Cost_Elements[[#This Row],[Row]]&gt;='Do Not Use or Delete'!$L$2, IF(Cost_Elements[[#This Row],[Row]]&lt;='Do Not Use or Delete'!$M$2,N188*O188,0),0)+IF(Cost_Elements[[#This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8" s="63"/>
      <c r="R188" s="63"/>
      <c r="S188" s="73"/>
      <c r="T188" s="74"/>
      <c r="U188" s="75">
        <f ca="1">IFERROR(IF(Cost_Elements[[#This Row],[Row]]&gt;='Do Not Use or Delete'!$L$2, IF(Cost_Elements[[#This Row],[Row]]&lt;='Do Not Use or Delete'!$M$2,S188*T188,0),0)+IF(Cost_Elements[[#This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8" s="63"/>
      <c r="W188" s="63"/>
      <c r="X188" s="73"/>
      <c r="Y188" s="74"/>
      <c r="Z188" s="75">
        <f ca="1">IFERROR(IF(Cost_Elements[[#This Row],[Row]]&gt;='Do Not Use or Delete'!$L$2, IF(Cost_Elements[[#This Row],[Row]]&lt;='Do Not Use or Delete'!$M$2,X188*Y188,0),0)+IF(Cost_Elements[[#This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8" s="63"/>
      <c r="AB188" s="63"/>
      <c r="AC188" s="73"/>
      <c r="AD188" s="74"/>
      <c r="AE188" s="75">
        <f ca="1">IFERROR(IF(Cost_Elements[[#This Row],[Row]]&gt;='Do Not Use or Delete'!$L$2, IF(Cost_Elements[[#This Row],[Row]]&lt;='Do Not Use or Delete'!$M$2,AC188*AD188,0),0)+IF(Cost_Elements[[#This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8" s="102"/>
      <c r="AG188" s="249"/>
      <c r="AH188" s="73"/>
      <c r="AI188" s="74"/>
      <c r="AJ188" s="458"/>
      <c r="AK188" s="458"/>
      <c r="AL188" s="75">
        <f ca="1">IFERROR(IF(Cost_Elements[[#This Row],[Row]]&gt;='Do Not Use or Delete'!$L$2, IF(Cost_Elements[[#This Row],[Row]]&lt;='Do Not Use or Delete'!$M$2,AH188*AI188,0),0)+IF(Cost_Elements[[#This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8" s="102"/>
      <c r="AN188" s="249"/>
      <c r="AO188" s="77">
        <f t="shared" si="12"/>
        <v>0</v>
      </c>
      <c r="AP188" s="78">
        <f t="shared" ca="1" si="13"/>
        <v>0</v>
      </c>
      <c r="AQ188" s="68">
        <f ca="1">ROW(Cost_Elements[[#This Row],[Amount | Total]])</f>
        <v>188</v>
      </c>
    </row>
    <row r="189" spans="1:43">
      <c r="A189" s="240" t="s">
        <v>165</v>
      </c>
      <c r="B189" s="275"/>
      <c r="C189" s="277"/>
      <c r="D189" s="277"/>
      <c r="E189" s="318"/>
      <c r="F189" s="318"/>
      <c r="G189" s="277"/>
      <c r="H189" s="123" t="str">
        <f ca="1">IFERROR(INDEX(Labor_Categories[Minimum Direct Labor Rates],MATCH(Cost_Elements[[#This Row],[Government Labor Category]],Labor_Categories[Labor Categories],0)),"")</f>
        <v/>
      </c>
      <c r="I189" s="262"/>
      <c r="J189" s="74"/>
      <c r="K189" s="75">
        <f ca="1">IFERROR(IF(Cost_Elements[[#This Row],[Row]]&gt;='Do Not Use or Delete'!$L$2, IF(Cost_Elements[[#This Row],[Row]]&lt;='Do Not Use or Delete'!$M$2,I189*J189,0),0)+IF(Cost_Elements[[#This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9" s="63"/>
      <c r="M189" s="63"/>
      <c r="N189" s="73"/>
      <c r="O189" s="74"/>
      <c r="P189" s="75">
        <f ca="1">IFERROR(IF(Cost_Elements[[#This Row],[Row]]&gt;='Do Not Use or Delete'!$L$2, IF(Cost_Elements[[#This Row],[Row]]&lt;='Do Not Use or Delete'!$M$2,N189*O189,0),0)+IF(Cost_Elements[[#This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9" s="63"/>
      <c r="R189" s="63"/>
      <c r="S189" s="73"/>
      <c r="T189" s="74"/>
      <c r="U189" s="75">
        <f ca="1">IFERROR(IF(Cost_Elements[[#This Row],[Row]]&gt;='Do Not Use or Delete'!$L$2, IF(Cost_Elements[[#This Row],[Row]]&lt;='Do Not Use or Delete'!$M$2,S189*T189,0),0)+IF(Cost_Elements[[#This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9" s="63"/>
      <c r="W189" s="63"/>
      <c r="X189" s="73"/>
      <c r="Y189" s="74"/>
      <c r="Z189" s="75">
        <f ca="1">IFERROR(IF(Cost_Elements[[#This Row],[Row]]&gt;='Do Not Use or Delete'!$L$2, IF(Cost_Elements[[#This Row],[Row]]&lt;='Do Not Use or Delete'!$M$2,X189*Y189,0),0)+IF(Cost_Elements[[#This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9" s="63"/>
      <c r="AB189" s="63"/>
      <c r="AC189" s="73"/>
      <c r="AD189" s="74"/>
      <c r="AE189" s="75">
        <f ca="1">IFERROR(IF(Cost_Elements[[#This Row],[Row]]&gt;='Do Not Use or Delete'!$L$2, IF(Cost_Elements[[#This Row],[Row]]&lt;='Do Not Use or Delete'!$M$2,AC189*AD189,0),0)+IF(Cost_Elements[[#This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9" s="102"/>
      <c r="AG189" s="249"/>
      <c r="AH189" s="73"/>
      <c r="AI189" s="74"/>
      <c r="AJ189" s="458"/>
      <c r="AK189" s="458"/>
      <c r="AL189" s="75">
        <f ca="1">IFERROR(IF(Cost_Elements[[#This Row],[Row]]&gt;='Do Not Use or Delete'!$L$2, IF(Cost_Elements[[#This Row],[Row]]&lt;='Do Not Use or Delete'!$M$2,AH189*AI189,0),0)+IF(Cost_Elements[[#This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9" s="102"/>
      <c r="AN189" s="249"/>
      <c r="AO189" s="77">
        <f t="shared" si="12"/>
        <v>0</v>
      </c>
      <c r="AP189" s="78">
        <f t="shared" ca="1" si="13"/>
        <v>0</v>
      </c>
      <c r="AQ189" s="68">
        <f ca="1">ROW(Cost_Elements[[#This Row],[Amount | Total]])</f>
        <v>189</v>
      </c>
    </row>
    <row r="190" spans="1:43">
      <c r="A190" s="240" t="s">
        <v>165</v>
      </c>
      <c r="B190" s="275"/>
      <c r="C190" s="277"/>
      <c r="D190" s="277"/>
      <c r="E190" s="318"/>
      <c r="F190" s="318"/>
      <c r="G190" s="277"/>
      <c r="H190" s="123" t="str">
        <f ca="1">IFERROR(INDEX(Labor_Categories[Minimum Direct Labor Rates],MATCH(Cost_Elements[[#This Row],[Government Labor Category]],Labor_Categories[Labor Categories],0)),"")</f>
        <v/>
      </c>
      <c r="I190" s="262"/>
      <c r="J190" s="74"/>
      <c r="K190" s="75">
        <f ca="1">IFERROR(IF(Cost_Elements[[#This Row],[Row]]&gt;='Do Not Use or Delete'!$L$2, IF(Cost_Elements[[#This Row],[Row]]&lt;='Do Not Use or Delete'!$M$2,I190*J190,0),0)+IF(Cost_Elements[[#This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0" s="63"/>
      <c r="M190" s="63"/>
      <c r="N190" s="73"/>
      <c r="O190" s="74"/>
      <c r="P190" s="75">
        <f ca="1">IFERROR(IF(Cost_Elements[[#This Row],[Row]]&gt;='Do Not Use or Delete'!$L$2, IF(Cost_Elements[[#This Row],[Row]]&lt;='Do Not Use or Delete'!$M$2,N190*O190,0),0)+IF(Cost_Elements[[#This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0" s="63"/>
      <c r="R190" s="63"/>
      <c r="S190" s="73"/>
      <c r="T190" s="74"/>
      <c r="U190" s="75">
        <f ca="1">IFERROR(IF(Cost_Elements[[#This Row],[Row]]&gt;='Do Not Use or Delete'!$L$2, IF(Cost_Elements[[#This Row],[Row]]&lt;='Do Not Use or Delete'!$M$2,S190*T190,0),0)+IF(Cost_Elements[[#This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0" s="63"/>
      <c r="W190" s="63"/>
      <c r="X190" s="73"/>
      <c r="Y190" s="74"/>
      <c r="Z190" s="75">
        <f ca="1">IFERROR(IF(Cost_Elements[[#This Row],[Row]]&gt;='Do Not Use or Delete'!$L$2, IF(Cost_Elements[[#This Row],[Row]]&lt;='Do Not Use or Delete'!$M$2,X190*Y190,0),0)+IF(Cost_Elements[[#This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0" s="63"/>
      <c r="AB190" s="63"/>
      <c r="AC190" s="73"/>
      <c r="AD190" s="74"/>
      <c r="AE190" s="75">
        <f ca="1">IFERROR(IF(Cost_Elements[[#This Row],[Row]]&gt;='Do Not Use or Delete'!$L$2, IF(Cost_Elements[[#This Row],[Row]]&lt;='Do Not Use or Delete'!$M$2,AC190*AD190,0),0)+IF(Cost_Elements[[#This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0" s="102"/>
      <c r="AG190" s="249"/>
      <c r="AH190" s="73"/>
      <c r="AI190" s="74"/>
      <c r="AJ190" s="458"/>
      <c r="AK190" s="458"/>
      <c r="AL190" s="75">
        <f ca="1">IFERROR(IF(Cost_Elements[[#This Row],[Row]]&gt;='Do Not Use or Delete'!$L$2, IF(Cost_Elements[[#This Row],[Row]]&lt;='Do Not Use or Delete'!$M$2,AH190*AI190,0),0)+IF(Cost_Elements[[#This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0" s="102"/>
      <c r="AN190" s="249"/>
      <c r="AO190" s="77">
        <f t="shared" si="12"/>
        <v>0</v>
      </c>
      <c r="AP190" s="78">
        <f t="shared" ca="1" si="13"/>
        <v>0</v>
      </c>
      <c r="AQ190" s="68">
        <f ca="1">ROW(Cost_Elements[[#This Row],[Amount | Total]])</f>
        <v>190</v>
      </c>
    </row>
    <row r="191" spans="1:43">
      <c r="A191" s="240" t="s">
        <v>165</v>
      </c>
      <c r="B191" s="275"/>
      <c r="C191" s="277"/>
      <c r="D191" s="277"/>
      <c r="E191" s="318"/>
      <c r="F191" s="318"/>
      <c r="G191" s="277"/>
      <c r="H191" s="123" t="str">
        <f ca="1">IFERROR(INDEX(Labor_Categories[Minimum Direct Labor Rates],MATCH(Cost_Elements[[#This Row],[Government Labor Category]],Labor_Categories[Labor Categories],0)),"")</f>
        <v/>
      </c>
      <c r="I191" s="262"/>
      <c r="J191" s="74"/>
      <c r="K191" s="75">
        <f ca="1">IFERROR(IF(Cost_Elements[[#This Row],[Row]]&gt;='Do Not Use or Delete'!$L$2, IF(Cost_Elements[[#This Row],[Row]]&lt;='Do Not Use or Delete'!$M$2,I191*J191,0),0)+IF(Cost_Elements[[#This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1" s="63"/>
      <c r="M191" s="63"/>
      <c r="N191" s="73"/>
      <c r="O191" s="74"/>
      <c r="P191" s="75">
        <f ca="1">IFERROR(IF(Cost_Elements[[#This Row],[Row]]&gt;='Do Not Use or Delete'!$L$2, IF(Cost_Elements[[#This Row],[Row]]&lt;='Do Not Use or Delete'!$M$2,N191*O191,0),0)+IF(Cost_Elements[[#This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1" s="63"/>
      <c r="R191" s="63"/>
      <c r="S191" s="73"/>
      <c r="T191" s="74"/>
      <c r="U191" s="75">
        <f ca="1">IFERROR(IF(Cost_Elements[[#This Row],[Row]]&gt;='Do Not Use or Delete'!$L$2, IF(Cost_Elements[[#This Row],[Row]]&lt;='Do Not Use or Delete'!$M$2,S191*T191,0),0)+IF(Cost_Elements[[#This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1" s="63"/>
      <c r="W191" s="63"/>
      <c r="X191" s="73"/>
      <c r="Y191" s="74"/>
      <c r="Z191" s="75">
        <f ca="1">IFERROR(IF(Cost_Elements[[#This Row],[Row]]&gt;='Do Not Use or Delete'!$L$2, IF(Cost_Elements[[#This Row],[Row]]&lt;='Do Not Use or Delete'!$M$2,X191*Y191,0),0)+IF(Cost_Elements[[#This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1" s="63"/>
      <c r="AB191" s="63"/>
      <c r="AC191" s="73"/>
      <c r="AD191" s="74"/>
      <c r="AE191" s="75">
        <f ca="1">IFERROR(IF(Cost_Elements[[#This Row],[Row]]&gt;='Do Not Use or Delete'!$L$2, IF(Cost_Elements[[#This Row],[Row]]&lt;='Do Not Use or Delete'!$M$2,AC191*AD191,0),0)+IF(Cost_Elements[[#This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1" s="102"/>
      <c r="AG191" s="249"/>
      <c r="AH191" s="73"/>
      <c r="AI191" s="74"/>
      <c r="AJ191" s="458"/>
      <c r="AK191" s="458"/>
      <c r="AL191" s="75">
        <f ca="1">IFERROR(IF(Cost_Elements[[#This Row],[Row]]&gt;='Do Not Use or Delete'!$L$2, IF(Cost_Elements[[#This Row],[Row]]&lt;='Do Not Use or Delete'!$M$2,AH191*AI191,0),0)+IF(Cost_Elements[[#This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1" s="102"/>
      <c r="AN191" s="249"/>
      <c r="AO191" s="77">
        <f t="shared" si="12"/>
        <v>0</v>
      </c>
      <c r="AP191" s="78">
        <f t="shared" ca="1" si="13"/>
        <v>0</v>
      </c>
      <c r="AQ191" s="68">
        <f ca="1">ROW(Cost_Elements[[#This Row],[Amount | Total]])</f>
        <v>191</v>
      </c>
    </row>
    <row r="192" spans="1:43">
      <c r="A192" s="240" t="s">
        <v>165</v>
      </c>
      <c r="B192" s="275"/>
      <c r="C192" s="277"/>
      <c r="D192" s="277"/>
      <c r="E192" s="318"/>
      <c r="F192" s="318"/>
      <c r="G192" s="277"/>
      <c r="H192" s="123" t="str">
        <f ca="1">IFERROR(INDEX(Labor_Categories[Minimum Direct Labor Rates],MATCH(Cost_Elements[[#This Row],[Government Labor Category]],Labor_Categories[Labor Categories],0)),"")</f>
        <v/>
      </c>
      <c r="I192" s="262"/>
      <c r="J192" s="74"/>
      <c r="K192" s="75">
        <f ca="1">IFERROR(IF(Cost_Elements[[#This Row],[Row]]&gt;='Do Not Use or Delete'!$L$2, IF(Cost_Elements[[#This Row],[Row]]&lt;='Do Not Use or Delete'!$M$2,I192*J192,0),0)+IF(Cost_Elements[[#This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2" s="63"/>
      <c r="M192" s="63"/>
      <c r="N192" s="73"/>
      <c r="O192" s="74"/>
      <c r="P192" s="75">
        <f ca="1">IFERROR(IF(Cost_Elements[[#This Row],[Row]]&gt;='Do Not Use or Delete'!$L$2, IF(Cost_Elements[[#This Row],[Row]]&lt;='Do Not Use or Delete'!$M$2,N192*O192,0),0)+IF(Cost_Elements[[#This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2" s="63"/>
      <c r="R192" s="63"/>
      <c r="S192" s="73"/>
      <c r="T192" s="74"/>
      <c r="U192" s="75">
        <f ca="1">IFERROR(IF(Cost_Elements[[#This Row],[Row]]&gt;='Do Not Use or Delete'!$L$2, IF(Cost_Elements[[#This Row],[Row]]&lt;='Do Not Use or Delete'!$M$2,S192*T192,0),0)+IF(Cost_Elements[[#This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2" s="63"/>
      <c r="W192" s="63"/>
      <c r="X192" s="73"/>
      <c r="Y192" s="74"/>
      <c r="Z192" s="75">
        <f ca="1">IFERROR(IF(Cost_Elements[[#This Row],[Row]]&gt;='Do Not Use or Delete'!$L$2, IF(Cost_Elements[[#This Row],[Row]]&lt;='Do Not Use or Delete'!$M$2,X192*Y192,0),0)+IF(Cost_Elements[[#This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2" s="63"/>
      <c r="AB192" s="63"/>
      <c r="AC192" s="73"/>
      <c r="AD192" s="74"/>
      <c r="AE192" s="75">
        <f ca="1">IFERROR(IF(Cost_Elements[[#This Row],[Row]]&gt;='Do Not Use or Delete'!$L$2, IF(Cost_Elements[[#This Row],[Row]]&lt;='Do Not Use or Delete'!$M$2,AC192*AD192,0),0)+IF(Cost_Elements[[#This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2" s="102"/>
      <c r="AG192" s="249"/>
      <c r="AH192" s="73"/>
      <c r="AI192" s="74"/>
      <c r="AJ192" s="458"/>
      <c r="AK192" s="458"/>
      <c r="AL192" s="75">
        <f ca="1">IFERROR(IF(Cost_Elements[[#This Row],[Row]]&gt;='Do Not Use or Delete'!$L$2, IF(Cost_Elements[[#This Row],[Row]]&lt;='Do Not Use or Delete'!$M$2,AH192*AI192,0),0)+IF(Cost_Elements[[#This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2" s="102"/>
      <c r="AN192" s="249"/>
      <c r="AO192" s="77">
        <f t="shared" si="12"/>
        <v>0</v>
      </c>
      <c r="AP192" s="78">
        <f t="shared" ca="1" si="13"/>
        <v>0</v>
      </c>
      <c r="AQ192" s="68">
        <f ca="1">ROW(Cost_Elements[[#This Row],[Amount | Total]])</f>
        <v>192</v>
      </c>
    </row>
    <row r="193" spans="1:43">
      <c r="A193" s="240" t="s">
        <v>165</v>
      </c>
      <c r="B193" s="275"/>
      <c r="C193" s="277"/>
      <c r="D193" s="277"/>
      <c r="E193" s="318"/>
      <c r="F193" s="318"/>
      <c r="G193" s="277"/>
      <c r="H193" s="123" t="str">
        <f ca="1">IFERROR(INDEX(Labor_Categories[Minimum Direct Labor Rates],MATCH(Cost_Elements[[#This Row],[Government Labor Category]],Labor_Categories[Labor Categories],0)),"")</f>
        <v/>
      </c>
      <c r="I193" s="262"/>
      <c r="J193" s="74"/>
      <c r="K193" s="75">
        <f ca="1">IFERROR(IF(Cost_Elements[[#This Row],[Row]]&gt;='Do Not Use or Delete'!$L$2, IF(Cost_Elements[[#This Row],[Row]]&lt;='Do Not Use or Delete'!$M$2,I193*J193,0),0)+IF(Cost_Elements[[#This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3" s="63"/>
      <c r="M193" s="63"/>
      <c r="N193" s="73"/>
      <c r="O193" s="74"/>
      <c r="P193" s="75">
        <f ca="1">IFERROR(IF(Cost_Elements[[#This Row],[Row]]&gt;='Do Not Use or Delete'!$L$2, IF(Cost_Elements[[#This Row],[Row]]&lt;='Do Not Use or Delete'!$M$2,N193*O193,0),0)+IF(Cost_Elements[[#This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3" s="63"/>
      <c r="R193" s="63"/>
      <c r="S193" s="73"/>
      <c r="T193" s="74"/>
      <c r="U193" s="75">
        <f ca="1">IFERROR(IF(Cost_Elements[[#This Row],[Row]]&gt;='Do Not Use or Delete'!$L$2, IF(Cost_Elements[[#This Row],[Row]]&lt;='Do Not Use or Delete'!$M$2,S193*T193,0),0)+IF(Cost_Elements[[#This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3" s="63"/>
      <c r="W193" s="63"/>
      <c r="X193" s="73"/>
      <c r="Y193" s="74"/>
      <c r="Z193" s="75">
        <f ca="1">IFERROR(IF(Cost_Elements[[#This Row],[Row]]&gt;='Do Not Use or Delete'!$L$2, IF(Cost_Elements[[#This Row],[Row]]&lt;='Do Not Use or Delete'!$M$2,X193*Y193,0),0)+IF(Cost_Elements[[#This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3" s="63"/>
      <c r="AB193" s="63"/>
      <c r="AC193" s="73"/>
      <c r="AD193" s="74"/>
      <c r="AE193" s="75">
        <f ca="1">IFERROR(IF(Cost_Elements[[#This Row],[Row]]&gt;='Do Not Use or Delete'!$L$2, IF(Cost_Elements[[#This Row],[Row]]&lt;='Do Not Use or Delete'!$M$2,AC193*AD193,0),0)+IF(Cost_Elements[[#This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3" s="102"/>
      <c r="AG193" s="249"/>
      <c r="AH193" s="73"/>
      <c r="AI193" s="74"/>
      <c r="AJ193" s="458"/>
      <c r="AK193" s="458"/>
      <c r="AL193" s="75">
        <f ca="1">IFERROR(IF(Cost_Elements[[#This Row],[Row]]&gt;='Do Not Use or Delete'!$L$2, IF(Cost_Elements[[#This Row],[Row]]&lt;='Do Not Use or Delete'!$M$2,AH193*AI193,0),0)+IF(Cost_Elements[[#This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3" s="102"/>
      <c r="AN193" s="249"/>
      <c r="AO193" s="77">
        <f t="shared" si="12"/>
        <v>0</v>
      </c>
      <c r="AP193" s="78">
        <f t="shared" ca="1" si="13"/>
        <v>0</v>
      </c>
      <c r="AQ193" s="68">
        <f ca="1">ROW(Cost_Elements[[#This Row],[Amount | Total]])</f>
        <v>193</v>
      </c>
    </row>
    <row r="194" spans="1:43">
      <c r="A194" s="240" t="s">
        <v>165</v>
      </c>
      <c r="B194" s="275"/>
      <c r="C194" s="277"/>
      <c r="D194" s="318"/>
      <c r="E194" s="318"/>
      <c r="F194" s="318"/>
      <c r="G194" s="318"/>
      <c r="H194" s="121" t="str">
        <f ca="1">IFERROR(INDEX(Labor_Categories[Minimum Direct Labor Rates],MATCH(Cost_Elements[[#This Row],[Government Labor Category]],Labor_Categories[Labor Categories],0)),"")</f>
        <v/>
      </c>
      <c r="I194" s="79"/>
      <c r="J194" s="74"/>
      <c r="K194" s="75">
        <f ca="1">IFERROR(IF(Cost_Elements[[#This Row],[Row]]&gt;='Do Not Use or Delete'!$L$2, IF(Cost_Elements[[#This Row],[Row]]&lt;='Do Not Use or Delete'!$M$2,I194*J194,0),0)+IF(Cost_Elements[[#This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4" s="63"/>
      <c r="M194" s="63"/>
      <c r="N194" s="79"/>
      <c r="O194" s="74"/>
      <c r="P194" s="75">
        <f ca="1">IFERROR(IF(Cost_Elements[[#This Row],[Row]]&gt;='Do Not Use or Delete'!$L$2, IF(Cost_Elements[[#This Row],[Row]]&lt;='Do Not Use or Delete'!$M$2,N194*O194,0),0)+IF(Cost_Elements[[#This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4" s="63"/>
      <c r="R194" s="63"/>
      <c r="S194" s="73"/>
      <c r="T194" s="74"/>
      <c r="U194" s="75">
        <f ca="1">IFERROR(IF(Cost_Elements[[#This Row],[Row]]&gt;='Do Not Use or Delete'!$L$2, IF(Cost_Elements[[#This Row],[Row]]&lt;='Do Not Use or Delete'!$M$2,S194*T194,0),0)+IF(Cost_Elements[[#This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4" s="63"/>
      <c r="W194" s="63"/>
      <c r="X194" s="73"/>
      <c r="Y194" s="74"/>
      <c r="Z194" s="75">
        <f ca="1">IFERROR(IF(Cost_Elements[[#This Row],[Row]]&gt;='Do Not Use or Delete'!$L$2, IF(Cost_Elements[[#This Row],[Row]]&lt;='Do Not Use or Delete'!$M$2,X194*Y194,0),0)+IF(Cost_Elements[[#This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4" s="63"/>
      <c r="AB194" s="63"/>
      <c r="AC194" s="73"/>
      <c r="AD194" s="74"/>
      <c r="AE194" s="75">
        <f ca="1">IFERROR(IF(Cost_Elements[[#This Row],[Row]]&gt;='Do Not Use or Delete'!$L$2, IF(Cost_Elements[[#This Row],[Row]]&lt;='Do Not Use or Delete'!$M$2,AC194*AD194,0),0)+IF(Cost_Elements[[#This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4" s="64"/>
      <c r="AG194" s="65"/>
      <c r="AH194" s="73"/>
      <c r="AI194" s="74"/>
      <c r="AJ194" s="458"/>
      <c r="AK194" s="458"/>
      <c r="AL194" s="75">
        <f ca="1">IFERROR(IF(Cost_Elements[[#This Row],[Row]]&gt;='Do Not Use or Delete'!$L$2, IF(Cost_Elements[[#This Row],[Row]]&lt;='Do Not Use or Delete'!$M$2,AH194*AI194,0),0)+IF(Cost_Elements[[#This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4" s="64"/>
      <c r="AN194" s="65"/>
      <c r="AO194" s="77">
        <f t="shared" si="12"/>
        <v>0</v>
      </c>
      <c r="AP194" s="78">
        <f t="shared" ca="1" si="13"/>
        <v>0</v>
      </c>
      <c r="AQ194" s="68">
        <f ca="1">ROW(Cost_Elements[[#This Row],[Amount | Total]])</f>
        <v>194</v>
      </c>
    </row>
    <row r="195" spans="1:43">
      <c r="A195" s="257"/>
      <c r="B195" s="276"/>
      <c r="C195" s="277"/>
      <c r="D195" s="318"/>
      <c r="E195" s="318"/>
      <c r="F195" s="318"/>
      <c r="G195" s="318"/>
      <c r="H195" s="121" t="str">
        <f ca="1">IFERROR(INDEX(Labor_Categories[Minimum Direct Labor Rates],MATCH(Cost_Elements[[#This Row],[Government Labor Category]],Labor_Categories[Labor Categories],0)),"")</f>
        <v/>
      </c>
      <c r="I195" s="79"/>
      <c r="J195" s="74"/>
      <c r="K195" s="75">
        <f ca="1">IFERROR(IF(Cost_Elements[[#This Row],[Row]]&gt;='Do Not Use or Delete'!$L$2, IF(Cost_Elements[[#This Row],[Row]]&lt;='Do Not Use or Delete'!$M$2,I195*J195,0),0)+IF(Cost_Elements[[#This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5" s="63"/>
      <c r="M195" s="63"/>
      <c r="N195" s="79"/>
      <c r="O195" s="74"/>
      <c r="P195" s="75">
        <f ca="1">IFERROR(IF(Cost_Elements[[#This Row],[Row]]&gt;='Do Not Use or Delete'!$L$2, IF(Cost_Elements[[#This Row],[Row]]&lt;='Do Not Use or Delete'!$M$2,N195*O195,0),0)+IF(Cost_Elements[[#This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5" s="63"/>
      <c r="R195" s="63"/>
      <c r="S195" s="73"/>
      <c r="T195" s="74"/>
      <c r="U195" s="75">
        <f ca="1">IFERROR(IF(Cost_Elements[[#This Row],[Row]]&gt;='Do Not Use or Delete'!$L$2, IF(Cost_Elements[[#This Row],[Row]]&lt;='Do Not Use or Delete'!$M$2,S195*T195,0),0)+IF(Cost_Elements[[#This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5" s="63"/>
      <c r="W195" s="63"/>
      <c r="X195" s="73"/>
      <c r="Y195" s="74"/>
      <c r="Z195" s="75">
        <f ca="1">IFERROR(IF(Cost_Elements[[#This Row],[Row]]&gt;='Do Not Use or Delete'!$L$2, IF(Cost_Elements[[#This Row],[Row]]&lt;='Do Not Use or Delete'!$M$2,X195*Y195,0),0)+IF(Cost_Elements[[#This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5" s="63"/>
      <c r="AB195" s="63"/>
      <c r="AC195" s="73"/>
      <c r="AD195" s="74"/>
      <c r="AE195" s="75">
        <f ca="1">IFERROR(IF(Cost_Elements[[#This Row],[Row]]&gt;='Do Not Use or Delete'!$L$2, IF(Cost_Elements[[#This Row],[Row]]&lt;='Do Not Use or Delete'!$M$2,AC195*AD195,0),0)+IF(Cost_Elements[[#This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5" s="64"/>
      <c r="AG195" s="65"/>
      <c r="AH195" s="73"/>
      <c r="AI195" s="74"/>
      <c r="AJ195" s="458"/>
      <c r="AK195" s="458"/>
      <c r="AL195" s="75">
        <f ca="1">IFERROR(IF(Cost_Elements[[#This Row],[Row]]&gt;='Do Not Use or Delete'!$L$2, IF(Cost_Elements[[#This Row],[Row]]&lt;='Do Not Use or Delete'!$M$2,AH195*AI195,0),0)+IF(Cost_Elements[[#This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5" s="64"/>
      <c r="AN195" s="65"/>
      <c r="AO195" s="77">
        <f t="shared" si="12"/>
        <v>0</v>
      </c>
      <c r="AP195" s="78">
        <f t="shared" ca="1" si="13"/>
        <v>0</v>
      </c>
      <c r="AQ195" s="68">
        <f ca="1">ROW(Cost_Elements[[#This Row],[Amount | Total]])</f>
        <v>195</v>
      </c>
    </row>
    <row r="196" spans="1:43">
      <c r="A196" s="239" t="s">
        <v>190</v>
      </c>
      <c r="B196" s="70"/>
      <c r="C196" s="69"/>
      <c r="D196" s="61"/>
      <c r="E196" s="61"/>
      <c r="F196" s="61"/>
      <c r="G196" s="61"/>
      <c r="H196" s="59" t="str">
        <f ca="1">IFERROR(INDEX(Labor_Categories[Minimum Direct Labor Rates],MATCH(Cost_Elements[[#This Row],[Government Labor Category]],Labor_Categories[Labor Categories],0)),"")</f>
        <v/>
      </c>
      <c r="I196" s="11"/>
      <c r="J196" s="119">
        <f ca="1">SUM(J197:J210)</f>
        <v>0</v>
      </c>
      <c r="K196" s="120">
        <f ca="1">SUM(K197:K210)</f>
        <v>0</v>
      </c>
      <c r="L196" s="248"/>
      <c r="M196" s="248"/>
      <c r="N196" s="124"/>
      <c r="O196" s="119">
        <f ca="1">SUM(O197:O210)</f>
        <v>0</v>
      </c>
      <c r="P196" s="120">
        <f ca="1">SUM(P197:P210)</f>
        <v>0</v>
      </c>
      <c r="Q196" s="248"/>
      <c r="R196" s="248"/>
      <c r="S196" s="11">
        <f ca="1">(Cost_Elements[[#This Row],[Rate | 2]]*$T$4)+Cost_Elements[[#This Row],[Rate | 2]]</f>
        <v>0</v>
      </c>
      <c r="T196" s="119">
        <f ca="1">SUM(T197:T210)</f>
        <v>0</v>
      </c>
      <c r="U196" s="120">
        <f ca="1">SUM(U197:U210)</f>
        <v>0</v>
      </c>
      <c r="V196" s="248"/>
      <c r="W196" s="248"/>
      <c r="X196" s="11">
        <f ca="1">(Cost_Elements[[#This Row],[Rate | 3]]*$Y$4)+Cost_Elements[[#This Row],[Rate | 3]]</f>
        <v>0</v>
      </c>
      <c r="Y196" s="119">
        <f ca="1">SUM(Y197:Y210)</f>
        <v>0</v>
      </c>
      <c r="Z196" s="120">
        <f ca="1">SUM(Z197:Z210)</f>
        <v>0</v>
      </c>
      <c r="AA196" s="248"/>
      <c r="AB196" s="248"/>
      <c r="AC196" s="11">
        <f ca="1">(Cost_Elements[[#This Row],[Rate | 4]]*$AD$4)+Cost_Elements[[#This Row],[Rate | 4]]</f>
        <v>0</v>
      </c>
      <c r="AD196" s="119">
        <f ca="1">SUM(AD197:AD210)</f>
        <v>0</v>
      </c>
      <c r="AE196" s="120">
        <f ca="1">SUM(AE197:AE210)</f>
        <v>0</v>
      </c>
      <c r="AF196" s="102"/>
      <c r="AG196" s="91"/>
      <c r="AH196" s="11">
        <f ca="1">(Cost_Elements[[#This Row],[Rate | 4]]*$AD$4)+Cost_Elements[[#This Row],[Rate | 4]]</f>
        <v>0</v>
      </c>
      <c r="AI196" s="119">
        <f ca="1">SUM(AI197:AI210)</f>
        <v>0</v>
      </c>
      <c r="AJ196" s="119"/>
      <c r="AK196" s="119"/>
      <c r="AL196" s="120">
        <f ca="1">SUM(AL197:AL210)</f>
        <v>0</v>
      </c>
      <c r="AM196" s="102"/>
      <c r="AN196" s="91"/>
      <c r="AO196" s="119">
        <f>SUM(AO197:AO210)</f>
        <v>0</v>
      </c>
      <c r="AP196" s="87">
        <f ca="1">SUM(AP197:AP210)</f>
        <v>0</v>
      </c>
      <c r="AQ196" s="68">
        <f ca="1">ROW(Cost_Elements[[#This Row],[Amount | Total]])</f>
        <v>196</v>
      </c>
    </row>
    <row r="197" spans="1:43">
      <c r="A197" s="240" t="s">
        <v>165</v>
      </c>
      <c r="B197" s="275"/>
      <c r="C197" s="277"/>
      <c r="D197" s="318"/>
      <c r="E197" s="318"/>
      <c r="F197" s="318"/>
      <c r="G197" s="318"/>
      <c r="H197" s="121" t="str">
        <f ca="1">IFERROR(INDEX(Labor_Categories[Minimum Direct Labor Rates],MATCH(Cost_Elements[[#This Row],[Government Labor Category]],Labor_Categories[Labor Categories],0)),"")</f>
        <v/>
      </c>
      <c r="I197" s="73"/>
      <c r="J197" s="74"/>
      <c r="K197" s="75">
        <f ca="1">IFERROR(IF(Cost_Elements[[#This Row],[Row]]&gt;='Do Not Use or Delete'!$L$2, IF(Cost_Elements[[#This Row],[Row]]&lt;='Do Not Use or Delete'!$M$2,I197*J197,0),0)+IF(Cost_Elements[[#This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7" s="63"/>
      <c r="M197" s="63"/>
      <c r="N197" s="73"/>
      <c r="O197" s="74"/>
      <c r="P197" s="75">
        <f ca="1">IFERROR(IF(Cost_Elements[[#This Row],[Row]]&gt;='Do Not Use or Delete'!$L$2, IF(Cost_Elements[[#This Row],[Row]]&lt;='Do Not Use or Delete'!$M$2,N197*O197,0),0)+IF(Cost_Elements[[#This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7" s="63"/>
      <c r="R197" s="63"/>
      <c r="S197" s="79"/>
      <c r="T197" s="74"/>
      <c r="U197" s="75">
        <f ca="1">IFERROR(IF(Cost_Elements[[#This Row],[Row]]&gt;='Do Not Use or Delete'!$L$2, IF(Cost_Elements[[#This Row],[Row]]&lt;='Do Not Use or Delete'!$M$2,S197*T197,0),0)+IF(Cost_Elements[[#This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7" s="63"/>
      <c r="W197" s="63"/>
      <c r="X197" s="79"/>
      <c r="Y197" s="74"/>
      <c r="Z197" s="75">
        <f ca="1">IFERROR(IF(Cost_Elements[[#This Row],[Row]]&gt;='Do Not Use or Delete'!$L$2, IF(Cost_Elements[[#This Row],[Row]]&lt;='Do Not Use or Delete'!$M$2,X197*Y197,0),0)+IF(Cost_Elements[[#This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7" s="63"/>
      <c r="AB197" s="63"/>
      <c r="AC197" s="79"/>
      <c r="AD197" s="74"/>
      <c r="AE197" s="75">
        <f ca="1">IFERROR(IF(Cost_Elements[[#This Row],[Row]]&gt;='Do Not Use or Delete'!$L$2, IF(Cost_Elements[[#This Row],[Row]]&lt;='Do Not Use or Delete'!$M$2,AC197*AD197,0),0)+IF(Cost_Elements[[#This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7" s="64"/>
      <c r="AG197" s="65"/>
      <c r="AH197" s="79"/>
      <c r="AI197" s="74"/>
      <c r="AJ197" s="458"/>
      <c r="AK197" s="458"/>
      <c r="AL197" s="75">
        <f ca="1">IFERROR(IF(Cost_Elements[[#This Row],[Row]]&gt;='Do Not Use or Delete'!$L$2, IF(Cost_Elements[[#This Row],[Row]]&lt;='Do Not Use or Delete'!$M$2,AH197*AI197,0),0)+IF(Cost_Elements[[#This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7" s="64"/>
      <c r="AN197" s="65"/>
      <c r="AO197" s="77">
        <f>J197+T197+AD197+O197+Y197+AI197</f>
        <v>0</v>
      </c>
      <c r="AP197" s="78">
        <f ca="1">K197+U197+AE197+P197+Z197+AL197</f>
        <v>0</v>
      </c>
      <c r="AQ197" s="68">
        <f ca="1">ROW(Cost_Elements[[#This Row],[Amount | Total]])</f>
        <v>197</v>
      </c>
    </row>
    <row r="198" spans="1:43">
      <c r="A198" s="240" t="s">
        <v>165</v>
      </c>
      <c r="B198" s="275"/>
      <c r="C198" s="277"/>
      <c r="D198" s="318"/>
      <c r="E198" s="318"/>
      <c r="F198" s="318"/>
      <c r="G198" s="318"/>
      <c r="H198" s="121" t="str">
        <f ca="1">IFERROR(INDEX(Labor_Categories[Minimum Direct Labor Rates],MATCH(Cost_Elements[[#This Row],[Government Labor Category]],Labor_Categories[Labor Categories],0)),"")</f>
        <v/>
      </c>
      <c r="I198" s="73"/>
      <c r="J198" s="74"/>
      <c r="K198" s="75">
        <f ca="1">IFERROR(IF(Cost_Elements[[#This Row],[Row]]&gt;='Do Not Use or Delete'!$L$2, IF(Cost_Elements[[#This Row],[Row]]&lt;='Do Not Use or Delete'!$M$2,I198*J198,0),0)+IF(Cost_Elements[[#This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8" s="63"/>
      <c r="M198" s="63"/>
      <c r="N198" s="73"/>
      <c r="O198" s="74"/>
      <c r="P198" s="75">
        <f ca="1">IFERROR(IF(Cost_Elements[[#This Row],[Row]]&gt;='Do Not Use or Delete'!$L$2, IF(Cost_Elements[[#This Row],[Row]]&lt;='Do Not Use or Delete'!$M$2,N198*O198,0),0)+IF(Cost_Elements[[#This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8" s="63"/>
      <c r="R198" s="63"/>
      <c r="S198" s="79"/>
      <c r="T198" s="74"/>
      <c r="U198" s="75">
        <f ca="1">IFERROR(IF(Cost_Elements[[#This Row],[Row]]&gt;='Do Not Use or Delete'!$L$2, IF(Cost_Elements[[#This Row],[Row]]&lt;='Do Not Use or Delete'!$M$2,S198*T198,0),0)+IF(Cost_Elements[[#This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8" s="63"/>
      <c r="W198" s="63"/>
      <c r="X198" s="79"/>
      <c r="Y198" s="74"/>
      <c r="Z198" s="75">
        <f ca="1">IFERROR(IF(Cost_Elements[[#This Row],[Row]]&gt;='Do Not Use or Delete'!$L$2, IF(Cost_Elements[[#This Row],[Row]]&lt;='Do Not Use or Delete'!$M$2,X198*Y198,0),0)+IF(Cost_Elements[[#This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8" s="63"/>
      <c r="AB198" s="63"/>
      <c r="AC198" s="79"/>
      <c r="AD198" s="74"/>
      <c r="AE198" s="75">
        <f ca="1">IFERROR(IF(Cost_Elements[[#This Row],[Row]]&gt;='Do Not Use or Delete'!$L$2, IF(Cost_Elements[[#This Row],[Row]]&lt;='Do Not Use or Delete'!$M$2,AC198*AD198,0),0)+IF(Cost_Elements[[#This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8" s="64"/>
      <c r="AG198" s="65"/>
      <c r="AH198" s="79"/>
      <c r="AI198" s="74"/>
      <c r="AJ198" s="458"/>
      <c r="AK198" s="458"/>
      <c r="AL198" s="75">
        <f ca="1">IFERROR(IF(Cost_Elements[[#This Row],[Row]]&gt;='Do Not Use or Delete'!$L$2, IF(Cost_Elements[[#This Row],[Row]]&lt;='Do Not Use or Delete'!$M$2,AH198*AI198,0),0)+IF(Cost_Elements[[#This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8" s="64"/>
      <c r="AN198" s="65"/>
      <c r="AO198" s="77">
        <f t="shared" ref="AO198:AO210" si="14">J198+T198+AD198+O198+Y198+AI198</f>
        <v>0</v>
      </c>
      <c r="AP198" s="78">
        <f t="shared" ref="AP198:AP210" ca="1" si="15">K198+U198+AE198+P198+Z198+AL198</f>
        <v>0</v>
      </c>
      <c r="AQ198" s="68">
        <f ca="1">ROW(Cost_Elements[[#This Row],[Amount | Total]])</f>
        <v>198</v>
      </c>
    </row>
    <row r="199" spans="1:43">
      <c r="A199" s="240" t="s">
        <v>165</v>
      </c>
      <c r="B199" s="275"/>
      <c r="C199" s="277"/>
      <c r="D199" s="318"/>
      <c r="E199" s="318"/>
      <c r="F199" s="318"/>
      <c r="G199" s="318"/>
      <c r="H199" s="121" t="str">
        <f ca="1">IFERROR(INDEX(Labor_Categories[Minimum Direct Labor Rates],MATCH(Cost_Elements[[#This Row],[Government Labor Category]],Labor_Categories[Labor Categories],0)),"")</f>
        <v/>
      </c>
      <c r="I199" s="73"/>
      <c r="J199" s="74"/>
      <c r="K199" s="75">
        <f ca="1">IFERROR(IF(Cost_Elements[[#This Row],[Row]]&gt;='Do Not Use or Delete'!$L$2, IF(Cost_Elements[[#This Row],[Row]]&lt;='Do Not Use or Delete'!$M$2,I199*J199,0),0)+IF(Cost_Elements[[#This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9" s="63"/>
      <c r="M199" s="63"/>
      <c r="N199" s="73"/>
      <c r="O199" s="74"/>
      <c r="P199" s="75">
        <f ca="1">IFERROR(IF(Cost_Elements[[#This Row],[Row]]&gt;='Do Not Use or Delete'!$L$2, IF(Cost_Elements[[#This Row],[Row]]&lt;='Do Not Use or Delete'!$M$2,N199*O199,0),0)+IF(Cost_Elements[[#This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9" s="63"/>
      <c r="R199" s="63"/>
      <c r="S199" s="79"/>
      <c r="T199" s="74"/>
      <c r="U199" s="75">
        <f ca="1">IFERROR(IF(Cost_Elements[[#This Row],[Row]]&gt;='Do Not Use or Delete'!$L$2, IF(Cost_Elements[[#This Row],[Row]]&lt;='Do Not Use or Delete'!$M$2,S199*T199,0),0)+IF(Cost_Elements[[#This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9" s="63"/>
      <c r="W199" s="63"/>
      <c r="X199" s="79"/>
      <c r="Y199" s="74"/>
      <c r="Z199" s="75">
        <f ca="1">IFERROR(IF(Cost_Elements[[#This Row],[Row]]&gt;='Do Not Use or Delete'!$L$2, IF(Cost_Elements[[#This Row],[Row]]&lt;='Do Not Use or Delete'!$M$2,X199*Y199,0),0)+IF(Cost_Elements[[#This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9" s="63"/>
      <c r="AB199" s="63"/>
      <c r="AC199" s="79"/>
      <c r="AD199" s="74"/>
      <c r="AE199" s="75">
        <f ca="1">IFERROR(IF(Cost_Elements[[#This Row],[Row]]&gt;='Do Not Use or Delete'!$L$2, IF(Cost_Elements[[#This Row],[Row]]&lt;='Do Not Use or Delete'!$M$2,AC199*AD199,0),0)+IF(Cost_Elements[[#This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9" s="64"/>
      <c r="AG199" s="65"/>
      <c r="AH199" s="79"/>
      <c r="AI199" s="74"/>
      <c r="AJ199" s="458"/>
      <c r="AK199" s="458"/>
      <c r="AL199" s="75">
        <f ca="1">IFERROR(IF(Cost_Elements[[#This Row],[Row]]&gt;='Do Not Use or Delete'!$L$2, IF(Cost_Elements[[#This Row],[Row]]&lt;='Do Not Use or Delete'!$M$2,AH199*AI199,0),0)+IF(Cost_Elements[[#This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9" s="64"/>
      <c r="AN199" s="65"/>
      <c r="AO199" s="77">
        <f t="shared" si="14"/>
        <v>0</v>
      </c>
      <c r="AP199" s="78">
        <f t="shared" ca="1" si="15"/>
        <v>0</v>
      </c>
      <c r="AQ199" s="68">
        <f ca="1">ROW(Cost_Elements[[#This Row],[Amount | Total]])</f>
        <v>199</v>
      </c>
    </row>
    <row r="200" spans="1:43">
      <c r="A200" s="240" t="s">
        <v>165</v>
      </c>
      <c r="B200" s="275"/>
      <c r="C200" s="277"/>
      <c r="D200" s="277"/>
      <c r="E200" s="318"/>
      <c r="F200" s="318"/>
      <c r="G200" s="277"/>
      <c r="H200" s="121" t="str">
        <f ca="1">IFERROR(INDEX(Labor_Categories[Minimum Direct Labor Rates],MATCH(Cost_Elements[[#This Row],[Government Labor Category]],Labor_Categories[Labor Categories],0)),"")</f>
        <v/>
      </c>
      <c r="I200" s="262"/>
      <c r="J200" s="74"/>
      <c r="K200" s="75">
        <f ca="1">IFERROR(IF(Cost_Elements[[#This Row],[Row]]&gt;='Do Not Use or Delete'!$L$2, IF(Cost_Elements[[#This Row],[Row]]&lt;='Do Not Use or Delete'!$M$2,I200*J200,0),0)+IF(Cost_Elements[[#This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0" s="63"/>
      <c r="M200" s="63"/>
      <c r="N200" s="79"/>
      <c r="O200" s="74"/>
      <c r="P200" s="75">
        <f ca="1">IFERROR(IF(Cost_Elements[[#This Row],[Row]]&gt;='Do Not Use or Delete'!$L$2, IF(Cost_Elements[[#This Row],[Row]]&lt;='Do Not Use or Delete'!$M$2,N200*O200,0),0)+IF(Cost_Elements[[#This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0" s="63"/>
      <c r="R200" s="63"/>
      <c r="S200" s="79"/>
      <c r="T200" s="74"/>
      <c r="U200" s="75">
        <f ca="1">IFERROR(IF(Cost_Elements[[#This Row],[Row]]&gt;='Do Not Use or Delete'!$L$2, IF(Cost_Elements[[#This Row],[Row]]&lt;='Do Not Use or Delete'!$M$2,S200*T200,0),0)+IF(Cost_Elements[[#This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0" s="63"/>
      <c r="W200" s="63"/>
      <c r="X200" s="79"/>
      <c r="Y200" s="74"/>
      <c r="Z200" s="75">
        <f ca="1">IFERROR(IF(Cost_Elements[[#This Row],[Row]]&gt;='Do Not Use or Delete'!$L$2, IF(Cost_Elements[[#This Row],[Row]]&lt;='Do Not Use or Delete'!$M$2,X200*Y200,0),0)+IF(Cost_Elements[[#This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0" s="63"/>
      <c r="AB200" s="63"/>
      <c r="AC200" s="79"/>
      <c r="AD200" s="74"/>
      <c r="AE200" s="75">
        <f ca="1">IFERROR(IF(Cost_Elements[[#This Row],[Row]]&gt;='Do Not Use or Delete'!$L$2, IF(Cost_Elements[[#This Row],[Row]]&lt;='Do Not Use or Delete'!$M$2,AC200*AD200,0),0)+IF(Cost_Elements[[#This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0" s="102"/>
      <c r="AG200" s="249"/>
      <c r="AH200" s="79"/>
      <c r="AI200" s="74"/>
      <c r="AJ200" s="458"/>
      <c r="AK200" s="458"/>
      <c r="AL200" s="75">
        <f ca="1">IFERROR(IF(Cost_Elements[[#This Row],[Row]]&gt;='Do Not Use or Delete'!$L$2, IF(Cost_Elements[[#This Row],[Row]]&lt;='Do Not Use or Delete'!$M$2,AH200*AI200,0),0)+IF(Cost_Elements[[#This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0" s="102"/>
      <c r="AN200" s="249"/>
      <c r="AO200" s="77">
        <f t="shared" si="14"/>
        <v>0</v>
      </c>
      <c r="AP200" s="78">
        <f t="shared" ca="1" si="15"/>
        <v>0</v>
      </c>
      <c r="AQ200" s="68">
        <f ca="1">ROW(Cost_Elements[[#This Row],[Amount | Total]])</f>
        <v>200</v>
      </c>
    </row>
    <row r="201" spans="1:43">
      <c r="A201" s="240" t="s">
        <v>165</v>
      </c>
      <c r="B201" s="275"/>
      <c r="C201" s="277"/>
      <c r="D201" s="277"/>
      <c r="E201" s="318"/>
      <c r="F201" s="318"/>
      <c r="G201" s="277"/>
      <c r="H201" s="121" t="str">
        <f ca="1">IFERROR(INDEX(Labor_Categories[Minimum Direct Labor Rates],MATCH(Cost_Elements[[#This Row],[Government Labor Category]],Labor_Categories[Labor Categories],0)),"")</f>
        <v/>
      </c>
      <c r="I201" s="262"/>
      <c r="J201" s="74"/>
      <c r="K201" s="75">
        <f ca="1">IFERROR(IF(Cost_Elements[[#This Row],[Row]]&gt;='Do Not Use or Delete'!$L$2, IF(Cost_Elements[[#This Row],[Row]]&lt;='Do Not Use or Delete'!$M$2,I201*J201,0),0)+IF(Cost_Elements[[#This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1" s="63"/>
      <c r="M201" s="63"/>
      <c r="N201" s="79"/>
      <c r="O201" s="74"/>
      <c r="P201" s="75">
        <f ca="1">IFERROR(IF(Cost_Elements[[#This Row],[Row]]&gt;='Do Not Use or Delete'!$L$2, IF(Cost_Elements[[#This Row],[Row]]&lt;='Do Not Use or Delete'!$M$2,N201*O201,0),0)+IF(Cost_Elements[[#This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1" s="63"/>
      <c r="R201" s="63"/>
      <c r="S201" s="79"/>
      <c r="T201" s="74"/>
      <c r="U201" s="75">
        <f ca="1">IFERROR(IF(Cost_Elements[[#This Row],[Row]]&gt;='Do Not Use or Delete'!$L$2, IF(Cost_Elements[[#This Row],[Row]]&lt;='Do Not Use or Delete'!$M$2,S201*T201,0),0)+IF(Cost_Elements[[#This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1" s="63"/>
      <c r="W201" s="63"/>
      <c r="X201" s="79"/>
      <c r="Y201" s="74"/>
      <c r="Z201" s="75">
        <f ca="1">IFERROR(IF(Cost_Elements[[#This Row],[Row]]&gt;='Do Not Use or Delete'!$L$2, IF(Cost_Elements[[#This Row],[Row]]&lt;='Do Not Use or Delete'!$M$2,X201*Y201,0),0)+IF(Cost_Elements[[#This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1" s="63"/>
      <c r="AB201" s="63"/>
      <c r="AC201" s="79"/>
      <c r="AD201" s="74"/>
      <c r="AE201" s="75">
        <f ca="1">IFERROR(IF(Cost_Elements[[#This Row],[Row]]&gt;='Do Not Use or Delete'!$L$2, IF(Cost_Elements[[#This Row],[Row]]&lt;='Do Not Use or Delete'!$M$2,AC201*AD201,0),0)+IF(Cost_Elements[[#This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1" s="102"/>
      <c r="AG201" s="249"/>
      <c r="AH201" s="79"/>
      <c r="AI201" s="74"/>
      <c r="AJ201" s="458"/>
      <c r="AK201" s="458"/>
      <c r="AL201" s="75">
        <f ca="1">IFERROR(IF(Cost_Elements[[#This Row],[Row]]&gt;='Do Not Use or Delete'!$L$2, IF(Cost_Elements[[#This Row],[Row]]&lt;='Do Not Use or Delete'!$M$2,AH201*AI201,0),0)+IF(Cost_Elements[[#This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1" s="102"/>
      <c r="AN201" s="249"/>
      <c r="AO201" s="77">
        <f t="shared" si="14"/>
        <v>0</v>
      </c>
      <c r="AP201" s="78">
        <f t="shared" ca="1" si="15"/>
        <v>0</v>
      </c>
      <c r="AQ201" s="68">
        <f ca="1">ROW(Cost_Elements[[#This Row],[Amount | Total]])</f>
        <v>201</v>
      </c>
    </row>
    <row r="202" spans="1:43">
      <c r="A202" s="240" t="s">
        <v>165</v>
      </c>
      <c r="B202" s="275"/>
      <c r="C202" s="277"/>
      <c r="D202" s="277"/>
      <c r="E202" s="318"/>
      <c r="F202" s="318"/>
      <c r="G202" s="277"/>
      <c r="H202" s="121" t="str">
        <f ca="1">IFERROR(INDEX(Labor_Categories[Minimum Direct Labor Rates],MATCH(Cost_Elements[[#This Row],[Government Labor Category]],Labor_Categories[Labor Categories],0)),"")</f>
        <v/>
      </c>
      <c r="I202" s="262"/>
      <c r="J202" s="74"/>
      <c r="K202" s="75">
        <f ca="1">IFERROR(IF(Cost_Elements[[#This Row],[Row]]&gt;='Do Not Use or Delete'!$L$2, IF(Cost_Elements[[#This Row],[Row]]&lt;='Do Not Use or Delete'!$M$2,I202*J202,0),0)+IF(Cost_Elements[[#This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2" s="63"/>
      <c r="M202" s="63"/>
      <c r="N202" s="79"/>
      <c r="O202" s="74"/>
      <c r="P202" s="75">
        <f ca="1">IFERROR(IF(Cost_Elements[[#This Row],[Row]]&gt;='Do Not Use or Delete'!$L$2, IF(Cost_Elements[[#This Row],[Row]]&lt;='Do Not Use or Delete'!$M$2,N202*O202,0),0)+IF(Cost_Elements[[#This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2" s="63"/>
      <c r="R202" s="63"/>
      <c r="S202" s="79"/>
      <c r="T202" s="74"/>
      <c r="U202" s="75">
        <f ca="1">IFERROR(IF(Cost_Elements[[#This Row],[Row]]&gt;='Do Not Use or Delete'!$L$2, IF(Cost_Elements[[#This Row],[Row]]&lt;='Do Not Use or Delete'!$M$2,S202*T202,0),0)+IF(Cost_Elements[[#This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2" s="63"/>
      <c r="W202" s="63"/>
      <c r="X202" s="79"/>
      <c r="Y202" s="74"/>
      <c r="Z202" s="75">
        <f ca="1">IFERROR(IF(Cost_Elements[[#This Row],[Row]]&gt;='Do Not Use or Delete'!$L$2, IF(Cost_Elements[[#This Row],[Row]]&lt;='Do Not Use or Delete'!$M$2,X202*Y202,0),0)+IF(Cost_Elements[[#This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2" s="63"/>
      <c r="AB202" s="63"/>
      <c r="AC202" s="79"/>
      <c r="AD202" s="74"/>
      <c r="AE202" s="75">
        <f ca="1">IFERROR(IF(Cost_Elements[[#This Row],[Row]]&gt;='Do Not Use or Delete'!$L$2, IF(Cost_Elements[[#This Row],[Row]]&lt;='Do Not Use or Delete'!$M$2,AC202*AD202,0),0)+IF(Cost_Elements[[#This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2" s="102"/>
      <c r="AG202" s="249"/>
      <c r="AH202" s="79"/>
      <c r="AI202" s="74"/>
      <c r="AJ202" s="458"/>
      <c r="AK202" s="458"/>
      <c r="AL202" s="75">
        <f ca="1">IFERROR(IF(Cost_Elements[[#This Row],[Row]]&gt;='Do Not Use or Delete'!$L$2, IF(Cost_Elements[[#This Row],[Row]]&lt;='Do Not Use or Delete'!$M$2,AH202*AI202,0),0)+IF(Cost_Elements[[#This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2" s="102"/>
      <c r="AN202" s="249"/>
      <c r="AO202" s="77">
        <f t="shared" si="14"/>
        <v>0</v>
      </c>
      <c r="AP202" s="78">
        <f t="shared" ca="1" si="15"/>
        <v>0</v>
      </c>
      <c r="AQ202" s="68">
        <f ca="1">ROW(Cost_Elements[[#This Row],[Amount | Total]])</f>
        <v>202</v>
      </c>
    </row>
    <row r="203" spans="1:43">
      <c r="A203" s="240" t="s">
        <v>165</v>
      </c>
      <c r="B203" s="275"/>
      <c r="C203" s="277"/>
      <c r="D203" s="277"/>
      <c r="E203" s="318"/>
      <c r="F203" s="318"/>
      <c r="G203" s="277"/>
      <c r="H203" s="121" t="str">
        <f ca="1">IFERROR(INDEX(Labor_Categories[Minimum Direct Labor Rates],MATCH(Cost_Elements[[#This Row],[Government Labor Category]],Labor_Categories[Labor Categories],0)),"")</f>
        <v/>
      </c>
      <c r="I203" s="262"/>
      <c r="J203" s="74"/>
      <c r="K203" s="75">
        <f ca="1">IFERROR(IF(Cost_Elements[[#This Row],[Row]]&gt;='Do Not Use or Delete'!$L$2, IF(Cost_Elements[[#This Row],[Row]]&lt;='Do Not Use or Delete'!$M$2,I203*J203,0),0)+IF(Cost_Elements[[#This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3" s="63"/>
      <c r="M203" s="63"/>
      <c r="N203" s="79"/>
      <c r="O203" s="74"/>
      <c r="P203" s="75">
        <f ca="1">IFERROR(IF(Cost_Elements[[#This Row],[Row]]&gt;='Do Not Use or Delete'!$L$2, IF(Cost_Elements[[#This Row],[Row]]&lt;='Do Not Use or Delete'!$M$2,N203*O203,0),0)+IF(Cost_Elements[[#This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3" s="63"/>
      <c r="R203" s="63"/>
      <c r="S203" s="79"/>
      <c r="T203" s="74"/>
      <c r="U203" s="75">
        <f ca="1">IFERROR(IF(Cost_Elements[[#This Row],[Row]]&gt;='Do Not Use or Delete'!$L$2, IF(Cost_Elements[[#This Row],[Row]]&lt;='Do Not Use or Delete'!$M$2,S203*T203,0),0)+IF(Cost_Elements[[#This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3" s="63"/>
      <c r="W203" s="63"/>
      <c r="X203" s="79"/>
      <c r="Y203" s="74"/>
      <c r="Z203" s="75">
        <f ca="1">IFERROR(IF(Cost_Elements[[#This Row],[Row]]&gt;='Do Not Use or Delete'!$L$2, IF(Cost_Elements[[#This Row],[Row]]&lt;='Do Not Use or Delete'!$M$2,X203*Y203,0),0)+IF(Cost_Elements[[#This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3" s="63"/>
      <c r="AB203" s="63"/>
      <c r="AC203" s="79"/>
      <c r="AD203" s="74"/>
      <c r="AE203" s="75">
        <f ca="1">IFERROR(IF(Cost_Elements[[#This Row],[Row]]&gt;='Do Not Use or Delete'!$L$2, IF(Cost_Elements[[#This Row],[Row]]&lt;='Do Not Use or Delete'!$M$2,AC203*AD203,0),0)+IF(Cost_Elements[[#This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3" s="102"/>
      <c r="AG203" s="249"/>
      <c r="AH203" s="79"/>
      <c r="AI203" s="74"/>
      <c r="AJ203" s="458"/>
      <c r="AK203" s="458"/>
      <c r="AL203" s="75">
        <f ca="1">IFERROR(IF(Cost_Elements[[#This Row],[Row]]&gt;='Do Not Use or Delete'!$L$2, IF(Cost_Elements[[#This Row],[Row]]&lt;='Do Not Use or Delete'!$M$2,AH203*AI203,0),0)+IF(Cost_Elements[[#This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3" s="102"/>
      <c r="AN203" s="249"/>
      <c r="AO203" s="77">
        <f t="shared" si="14"/>
        <v>0</v>
      </c>
      <c r="AP203" s="78">
        <f t="shared" ca="1" si="15"/>
        <v>0</v>
      </c>
      <c r="AQ203" s="68">
        <f ca="1">ROW(Cost_Elements[[#This Row],[Amount | Total]])</f>
        <v>203</v>
      </c>
    </row>
    <row r="204" spans="1:43">
      <c r="A204" s="240" t="s">
        <v>165</v>
      </c>
      <c r="B204" s="275"/>
      <c r="C204" s="277"/>
      <c r="D204" s="277"/>
      <c r="E204" s="318"/>
      <c r="F204" s="318"/>
      <c r="G204" s="277"/>
      <c r="H204" s="121" t="str">
        <f ca="1">IFERROR(INDEX(Labor_Categories[Minimum Direct Labor Rates],MATCH(Cost_Elements[[#This Row],[Government Labor Category]],Labor_Categories[Labor Categories],0)),"")</f>
        <v/>
      </c>
      <c r="I204" s="262"/>
      <c r="J204" s="74"/>
      <c r="K204" s="75">
        <f ca="1">IFERROR(IF(Cost_Elements[[#This Row],[Row]]&gt;='Do Not Use or Delete'!$L$2, IF(Cost_Elements[[#This Row],[Row]]&lt;='Do Not Use or Delete'!$M$2,I204*J204,0),0)+IF(Cost_Elements[[#This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4" s="63"/>
      <c r="M204" s="63"/>
      <c r="N204" s="79"/>
      <c r="O204" s="74"/>
      <c r="P204" s="75">
        <f ca="1">IFERROR(IF(Cost_Elements[[#This Row],[Row]]&gt;='Do Not Use or Delete'!$L$2, IF(Cost_Elements[[#This Row],[Row]]&lt;='Do Not Use or Delete'!$M$2,N204*O204,0),0)+IF(Cost_Elements[[#This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4" s="63"/>
      <c r="R204" s="63"/>
      <c r="S204" s="79"/>
      <c r="T204" s="74"/>
      <c r="U204" s="75">
        <f ca="1">IFERROR(IF(Cost_Elements[[#This Row],[Row]]&gt;='Do Not Use or Delete'!$L$2, IF(Cost_Elements[[#This Row],[Row]]&lt;='Do Not Use or Delete'!$M$2,S204*T204,0),0)+IF(Cost_Elements[[#This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4" s="63"/>
      <c r="W204" s="63"/>
      <c r="X204" s="79"/>
      <c r="Y204" s="74"/>
      <c r="Z204" s="75">
        <f ca="1">IFERROR(IF(Cost_Elements[[#This Row],[Row]]&gt;='Do Not Use or Delete'!$L$2, IF(Cost_Elements[[#This Row],[Row]]&lt;='Do Not Use or Delete'!$M$2,X204*Y204,0),0)+IF(Cost_Elements[[#This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4" s="63"/>
      <c r="AB204" s="63"/>
      <c r="AC204" s="79"/>
      <c r="AD204" s="74"/>
      <c r="AE204" s="75">
        <f ca="1">IFERROR(IF(Cost_Elements[[#This Row],[Row]]&gt;='Do Not Use or Delete'!$L$2, IF(Cost_Elements[[#This Row],[Row]]&lt;='Do Not Use or Delete'!$M$2,AC204*AD204,0),0)+IF(Cost_Elements[[#This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4" s="102"/>
      <c r="AG204" s="249"/>
      <c r="AH204" s="79"/>
      <c r="AI204" s="74"/>
      <c r="AJ204" s="458"/>
      <c r="AK204" s="458"/>
      <c r="AL204" s="75">
        <f ca="1">IFERROR(IF(Cost_Elements[[#This Row],[Row]]&gt;='Do Not Use or Delete'!$L$2, IF(Cost_Elements[[#This Row],[Row]]&lt;='Do Not Use or Delete'!$M$2,AH204*AI204,0),0)+IF(Cost_Elements[[#This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4" s="102"/>
      <c r="AN204" s="249"/>
      <c r="AO204" s="77">
        <f t="shared" si="14"/>
        <v>0</v>
      </c>
      <c r="AP204" s="78">
        <f t="shared" ca="1" si="15"/>
        <v>0</v>
      </c>
      <c r="AQ204" s="68">
        <f ca="1">ROW(Cost_Elements[[#This Row],[Amount | Total]])</f>
        <v>204</v>
      </c>
    </row>
    <row r="205" spans="1:43">
      <c r="A205" s="240" t="s">
        <v>165</v>
      </c>
      <c r="B205" s="275"/>
      <c r="C205" s="277"/>
      <c r="D205" s="277"/>
      <c r="E205" s="318"/>
      <c r="F205" s="318"/>
      <c r="G205" s="277"/>
      <c r="H205" s="121" t="str">
        <f ca="1">IFERROR(INDEX(Labor_Categories[Minimum Direct Labor Rates],MATCH(Cost_Elements[[#This Row],[Government Labor Category]],Labor_Categories[Labor Categories],0)),"")</f>
        <v/>
      </c>
      <c r="I205" s="262"/>
      <c r="J205" s="74"/>
      <c r="K205" s="75">
        <f ca="1">IFERROR(IF(Cost_Elements[[#This Row],[Row]]&gt;='Do Not Use or Delete'!$L$2, IF(Cost_Elements[[#This Row],[Row]]&lt;='Do Not Use or Delete'!$M$2,I205*J205,0),0)+IF(Cost_Elements[[#This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5" s="63"/>
      <c r="M205" s="63"/>
      <c r="N205" s="79"/>
      <c r="O205" s="74"/>
      <c r="P205" s="75">
        <f ca="1">IFERROR(IF(Cost_Elements[[#This Row],[Row]]&gt;='Do Not Use or Delete'!$L$2, IF(Cost_Elements[[#This Row],[Row]]&lt;='Do Not Use or Delete'!$M$2,N205*O205,0),0)+IF(Cost_Elements[[#This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5" s="63"/>
      <c r="R205" s="63"/>
      <c r="S205" s="79"/>
      <c r="T205" s="74"/>
      <c r="U205" s="75">
        <f ca="1">IFERROR(IF(Cost_Elements[[#This Row],[Row]]&gt;='Do Not Use or Delete'!$L$2, IF(Cost_Elements[[#This Row],[Row]]&lt;='Do Not Use or Delete'!$M$2,S205*T205,0),0)+IF(Cost_Elements[[#This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5" s="63"/>
      <c r="W205" s="63"/>
      <c r="X205" s="79"/>
      <c r="Y205" s="74"/>
      <c r="Z205" s="75">
        <f ca="1">IFERROR(IF(Cost_Elements[[#This Row],[Row]]&gt;='Do Not Use or Delete'!$L$2, IF(Cost_Elements[[#This Row],[Row]]&lt;='Do Not Use or Delete'!$M$2,X205*Y205,0),0)+IF(Cost_Elements[[#This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5" s="63"/>
      <c r="AB205" s="63"/>
      <c r="AC205" s="79"/>
      <c r="AD205" s="74"/>
      <c r="AE205" s="75">
        <f ca="1">IFERROR(IF(Cost_Elements[[#This Row],[Row]]&gt;='Do Not Use or Delete'!$L$2, IF(Cost_Elements[[#This Row],[Row]]&lt;='Do Not Use or Delete'!$M$2,AC205*AD205,0),0)+IF(Cost_Elements[[#This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5" s="102"/>
      <c r="AG205" s="249"/>
      <c r="AH205" s="79"/>
      <c r="AI205" s="74"/>
      <c r="AJ205" s="458"/>
      <c r="AK205" s="458"/>
      <c r="AL205" s="75">
        <f ca="1">IFERROR(IF(Cost_Elements[[#This Row],[Row]]&gt;='Do Not Use or Delete'!$L$2, IF(Cost_Elements[[#This Row],[Row]]&lt;='Do Not Use or Delete'!$M$2,AH205*AI205,0),0)+IF(Cost_Elements[[#This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5" s="102"/>
      <c r="AN205" s="249"/>
      <c r="AO205" s="77">
        <f t="shared" si="14"/>
        <v>0</v>
      </c>
      <c r="AP205" s="78">
        <f t="shared" ca="1" si="15"/>
        <v>0</v>
      </c>
      <c r="AQ205" s="68">
        <f ca="1">ROW(Cost_Elements[[#This Row],[Amount | Total]])</f>
        <v>205</v>
      </c>
    </row>
    <row r="206" spans="1:43">
      <c r="A206" s="240" t="s">
        <v>165</v>
      </c>
      <c r="B206" s="275"/>
      <c r="C206" s="277"/>
      <c r="D206" s="277"/>
      <c r="E206" s="318"/>
      <c r="F206" s="318"/>
      <c r="G206" s="277"/>
      <c r="H206" s="121" t="str">
        <f ca="1">IFERROR(INDEX(Labor_Categories[Minimum Direct Labor Rates],MATCH(Cost_Elements[[#This Row],[Government Labor Category]],Labor_Categories[Labor Categories],0)),"")</f>
        <v/>
      </c>
      <c r="I206" s="262"/>
      <c r="J206" s="74"/>
      <c r="K206" s="75">
        <f ca="1">IFERROR(IF(Cost_Elements[[#This Row],[Row]]&gt;='Do Not Use or Delete'!$L$2, IF(Cost_Elements[[#This Row],[Row]]&lt;='Do Not Use or Delete'!$M$2,I206*J206,0),0)+IF(Cost_Elements[[#This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6" s="63"/>
      <c r="M206" s="63"/>
      <c r="N206" s="79"/>
      <c r="O206" s="74"/>
      <c r="P206" s="75">
        <f ca="1">IFERROR(IF(Cost_Elements[[#This Row],[Row]]&gt;='Do Not Use or Delete'!$L$2, IF(Cost_Elements[[#This Row],[Row]]&lt;='Do Not Use or Delete'!$M$2,N206*O206,0),0)+IF(Cost_Elements[[#This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6" s="63"/>
      <c r="R206" s="63"/>
      <c r="S206" s="79"/>
      <c r="T206" s="74"/>
      <c r="U206" s="75">
        <f ca="1">IFERROR(IF(Cost_Elements[[#This Row],[Row]]&gt;='Do Not Use or Delete'!$L$2, IF(Cost_Elements[[#This Row],[Row]]&lt;='Do Not Use or Delete'!$M$2,S206*T206,0),0)+IF(Cost_Elements[[#This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6" s="63"/>
      <c r="W206" s="63"/>
      <c r="X206" s="79"/>
      <c r="Y206" s="74"/>
      <c r="Z206" s="75">
        <f ca="1">IFERROR(IF(Cost_Elements[[#This Row],[Row]]&gt;='Do Not Use or Delete'!$L$2, IF(Cost_Elements[[#This Row],[Row]]&lt;='Do Not Use or Delete'!$M$2,X206*Y206,0),0)+IF(Cost_Elements[[#This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6" s="63"/>
      <c r="AB206" s="63"/>
      <c r="AC206" s="79"/>
      <c r="AD206" s="74"/>
      <c r="AE206" s="75">
        <f ca="1">IFERROR(IF(Cost_Elements[[#This Row],[Row]]&gt;='Do Not Use or Delete'!$L$2, IF(Cost_Elements[[#This Row],[Row]]&lt;='Do Not Use or Delete'!$M$2,AC206*AD206,0),0)+IF(Cost_Elements[[#This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6" s="102"/>
      <c r="AG206" s="249"/>
      <c r="AH206" s="79"/>
      <c r="AI206" s="74"/>
      <c r="AJ206" s="458"/>
      <c r="AK206" s="458"/>
      <c r="AL206" s="75">
        <f ca="1">IFERROR(IF(Cost_Elements[[#This Row],[Row]]&gt;='Do Not Use or Delete'!$L$2, IF(Cost_Elements[[#This Row],[Row]]&lt;='Do Not Use or Delete'!$M$2,AH206*AI206,0),0)+IF(Cost_Elements[[#This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6" s="102"/>
      <c r="AN206" s="249"/>
      <c r="AO206" s="77">
        <f t="shared" si="14"/>
        <v>0</v>
      </c>
      <c r="AP206" s="78">
        <f t="shared" ca="1" si="15"/>
        <v>0</v>
      </c>
      <c r="AQ206" s="68">
        <f ca="1">ROW(Cost_Elements[[#This Row],[Amount | Total]])</f>
        <v>206</v>
      </c>
    </row>
    <row r="207" spans="1:43">
      <c r="A207" s="240" t="s">
        <v>165</v>
      </c>
      <c r="B207" s="275"/>
      <c r="C207" s="277"/>
      <c r="D207" s="318"/>
      <c r="E207" s="318"/>
      <c r="F207" s="318"/>
      <c r="G207" s="318"/>
      <c r="H207" s="121" t="str">
        <f ca="1">IFERROR(INDEX(Labor_Categories[Minimum Direct Labor Rates],MATCH(Cost_Elements[[#This Row],[Government Labor Category]],Labor_Categories[Labor Categories],0)),"")</f>
        <v/>
      </c>
      <c r="I207" s="79"/>
      <c r="J207" s="74"/>
      <c r="K207" s="75">
        <f ca="1">IFERROR(IF(Cost_Elements[[#This Row],[Row]]&gt;='Do Not Use or Delete'!$L$2, IF(Cost_Elements[[#This Row],[Row]]&lt;='Do Not Use or Delete'!$M$2,I207*J207,0),0)+IF(Cost_Elements[[#This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7" s="63"/>
      <c r="M207" s="63"/>
      <c r="N207" s="79"/>
      <c r="O207" s="74"/>
      <c r="P207" s="75">
        <f ca="1">IFERROR(IF(Cost_Elements[[#This Row],[Row]]&gt;='Do Not Use or Delete'!$L$2, IF(Cost_Elements[[#This Row],[Row]]&lt;='Do Not Use or Delete'!$M$2,N207*O207,0),0)+IF(Cost_Elements[[#This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7" s="63"/>
      <c r="R207" s="63"/>
      <c r="S207" s="79"/>
      <c r="T207" s="74"/>
      <c r="U207" s="75">
        <f ca="1">IFERROR(IF(Cost_Elements[[#This Row],[Row]]&gt;='Do Not Use or Delete'!$L$2, IF(Cost_Elements[[#This Row],[Row]]&lt;='Do Not Use or Delete'!$M$2,S207*T207,0),0)+IF(Cost_Elements[[#This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7" s="63"/>
      <c r="W207" s="63"/>
      <c r="X207" s="79"/>
      <c r="Y207" s="74"/>
      <c r="Z207" s="75">
        <f ca="1">IFERROR(IF(Cost_Elements[[#This Row],[Row]]&gt;='Do Not Use or Delete'!$L$2, IF(Cost_Elements[[#This Row],[Row]]&lt;='Do Not Use or Delete'!$M$2,X207*Y207,0),0)+IF(Cost_Elements[[#This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7" s="63"/>
      <c r="AB207" s="63"/>
      <c r="AC207" s="79"/>
      <c r="AD207" s="74"/>
      <c r="AE207" s="75">
        <f ca="1">IFERROR(IF(Cost_Elements[[#This Row],[Row]]&gt;='Do Not Use or Delete'!$L$2, IF(Cost_Elements[[#This Row],[Row]]&lt;='Do Not Use or Delete'!$M$2,AC207*AD207,0),0)+IF(Cost_Elements[[#This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7" s="64"/>
      <c r="AG207" s="65"/>
      <c r="AH207" s="79"/>
      <c r="AI207" s="74"/>
      <c r="AJ207" s="458"/>
      <c r="AK207" s="458"/>
      <c r="AL207" s="75">
        <f ca="1">IFERROR(IF(Cost_Elements[[#This Row],[Row]]&gt;='Do Not Use or Delete'!$L$2, IF(Cost_Elements[[#This Row],[Row]]&lt;='Do Not Use or Delete'!$M$2,AH207*AI207,0),0)+IF(Cost_Elements[[#This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7" s="64"/>
      <c r="AN207" s="65"/>
      <c r="AO207" s="77">
        <f t="shared" si="14"/>
        <v>0</v>
      </c>
      <c r="AP207" s="78">
        <f t="shared" ca="1" si="15"/>
        <v>0</v>
      </c>
      <c r="AQ207" s="68">
        <f ca="1">ROW(Cost_Elements[[#This Row],[Amount | Total]])</f>
        <v>207</v>
      </c>
    </row>
    <row r="208" spans="1:43">
      <c r="A208" s="240" t="s">
        <v>165</v>
      </c>
      <c r="B208" s="275"/>
      <c r="C208" s="277"/>
      <c r="D208" s="318"/>
      <c r="E208" s="318"/>
      <c r="F208" s="318"/>
      <c r="G208" s="318"/>
      <c r="H208" s="121" t="str">
        <f ca="1">IFERROR(INDEX(Labor_Categories[Minimum Direct Labor Rates],MATCH(Cost_Elements[[#This Row],[Government Labor Category]],Labor_Categories[Labor Categories],0)),"")</f>
        <v/>
      </c>
      <c r="I208" s="79"/>
      <c r="J208" s="74"/>
      <c r="K208" s="75">
        <f ca="1">IFERROR(IF(Cost_Elements[[#This Row],[Row]]&gt;='Do Not Use or Delete'!$L$2, IF(Cost_Elements[[#This Row],[Row]]&lt;='Do Not Use or Delete'!$M$2,I208*J208,0),0)+IF(Cost_Elements[[#This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8" s="63"/>
      <c r="M208" s="63"/>
      <c r="N208" s="79"/>
      <c r="O208" s="74"/>
      <c r="P208" s="75">
        <f ca="1">IFERROR(IF(Cost_Elements[[#This Row],[Row]]&gt;='Do Not Use or Delete'!$L$2, IF(Cost_Elements[[#This Row],[Row]]&lt;='Do Not Use or Delete'!$M$2,N208*O208,0),0)+IF(Cost_Elements[[#This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8" s="63"/>
      <c r="R208" s="63"/>
      <c r="S208" s="79"/>
      <c r="T208" s="74"/>
      <c r="U208" s="75">
        <f ca="1">IFERROR(IF(Cost_Elements[[#This Row],[Row]]&gt;='Do Not Use or Delete'!$L$2, IF(Cost_Elements[[#This Row],[Row]]&lt;='Do Not Use or Delete'!$M$2,S208*T208,0),0)+IF(Cost_Elements[[#This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8" s="63"/>
      <c r="W208" s="63"/>
      <c r="X208" s="79"/>
      <c r="Y208" s="74"/>
      <c r="Z208" s="75">
        <f ca="1">IFERROR(IF(Cost_Elements[[#This Row],[Row]]&gt;='Do Not Use or Delete'!$L$2, IF(Cost_Elements[[#This Row],[Row]]&lt;='Do Not Use or Delete'!$M$2,X208*Y208,0),0)+IF(Cost_Elements[[#This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8" s="63"/>
      <c r="AB208" s="63"/>
      <c r="AC208" s="79"/>
      <c r="AD208" s="74"/>
      <c r="AE208" s="75">
        <f ca="1">IFERROR(IF(Cost_Elements[[#This Row],[Row]]&gt;='Do Not Use or Delete'!$L$2, IF(Cost_Elements[[#This Row],[Row]]&lt;='Do Not Use or Delete'!$M$2,AC208*AD208,0),0)+IF(Cost_Elements[[#This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8" s="64"/>
      <c r="AG208" s="65"/>
      <c r="AH208" s="79"/>
      <c r="AI208" s="74"/>
      <c r="AJ208" s="458"/>
      <c r="AK208" s="458"/>
      <c r="AL208" s="75">
        <f ca="1">IFERROR(IF(Cost_Elements[[#This Row],[Row]]&gt;='Do Not Use or Delete'!$L$2, IF(Cost_Elements[[#This Row],[Row]]&lt;='Do Not Use or Delete'!$M$2,AH208*AI208,0),0)+IF(Cost_Elements[[#This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8" s="64"/>
      <c r="AN208" s="65"/>
      <c r="AO208" s="77">
        <f t="shared" si="14"/>
        <v>0</v>
      </c>
      <c r="AP208" s="78">
        <f t="shared" ca="1" si="15"/>
        <v>0</v>
      </c>
      <c r="AQ208" s="68">
        <f ca="1">ROW(Cost_Elements[[#This Row],[Amount | Total]])</f>
        <v>208</v>
      </c>
    </row>
    <row r="209" spans="1:43">
      <c r="A209" s="240" t="s">
        <v>165</v>
      </c>
      <c r="B209" s="275"/>
      <c r="C209" s="277"/>
      <c r="D209" s="318"/>
      <c r="E209" s="318"/>
      <c r="F209" s="318"/>
      <c r="G209" s="318"/>
      <c r="H209" s="121" t="str">
        <f ca="1">IFERROR(INDEX(Labor_Categories[Minimum Direct Labor Rates],MATCH(Cost_Elements[[#This Row],[Government Labor Category]],Labor_Categories[Labor Categories],0)),"")</f>
        <v/>
      </c>
      <c r="I209" s="79"/>
      <c r="J209" s="74"/>
      <c r="K209" s="75">
        <f ca="1">IFERROR(IF(Cost_Elements[[#This Row],[Row]]&gt;='Do Not Use or Delete'!$L$2, IF(Cost_Elements[[#This Row],[Row]]&lt;='Do Not Use or Delete'!$M$2,I209*J209,0),0)+IF(Cost_Elements[[#This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9" s="63"/>
      <c r="M209" s="63"/>
      <c r="N209" s="79"/>
      <c r="O209" s="74"/>
      <c r="P209" s="75">
        <f ca="1">IFERROR(IF(Cost_Elements[[#This Row],[Row]]&gt;='Do Not Use or Delete'!$L$2, IF(Cost_Elements[[#This Row],[Row]]&lt;='Do Not Use or Delete'!$M$2,N209*O209,0),0)+IF(Cost_Elements[[#This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9" s="63"/>
      <c r="R209" s="63"/>
      <c r="S209" s="79"/>
      <c r="T209" s="74"/>
      <c r="U209" s="75">
        <f ca="1">IFERROR(IF(Cost_Elements[[#This Row],[Row]]&gt;='Do Not Use or Delete'!$L$2, IF(Cost_Elements[[#This Row],[Row]]&lt;='Do Not Use or Delete'!$M$2,S209*T209,0),0)+IF(Cost_Elements[[#This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9" s="63"/>
      <c r="W209" s="63"/>
      <c r="X209" s="79"/>
      <c r="Y209" s="74"/>
      <c r="Z209" s="75">
        <f ca="1">IFERROR(IF(Cost_Elements[[#This Row],[Row]]&gt;='Do Not Use or Delete'!$L$2, IF(Cost_Elements[[#This Row],[Row]]&lt;='Do Not Use or Delete'!$M$2,X209*Y209,0),0)+IF(Cost_Elements[[#This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9" s="63"/>
      <c r="AB209" s="63"/>
      <c r="AC209" s="79"/>
      <c r="AD209" s="74"/>
      <c r="AE209" s="75">
        <f ca="1">IFERROR(IF(Cost_Elements[[#This Row],[Row]]&gt;='Do Not Use or Delete'!$L$2, IF(Cost_Elements[[#This Row],[Row]]&lt;='Do Not Use or Delete'!$M$2,AC209*AD209,0),0)+IF(Cost_Elements[[#This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9" s="64"/>
      <c r="AG209" s="65"/>
      <c r="AH209" s="79"/>
      <c r="AI209" s="74"/>
      <c r="AJ209" s="458"/>
      <c r="AK209" s="458"/>
      <c r="AL209" s="75">
        <f ca="1">IFERROR(IF(Cost_Elements[[#This Row],[Row]]&gt;='Do Not Use or Delete'!$L$2, IF(Cost_Elements[[#This Row],[Row]]&lt;='Do Not Use or Delete'!$M$2,AH209*AI209,0),0)+IF(Cost_Elements[[#This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9" s="64"/>
      <c r="AN209" s="65"/>
      <c r="AO209" s="77">
        <f t="shared" si="14"/>
        <v>0</v>
      </c>
      <c r="AP209" s="78">
        <f t="shared" ca="1" si="15"/>
        <v>0</v>
      </c>
      <c r="AQ209" s="68">
        <f ca="1">ROW(Cost_Elements[[#This Row],[Amount | Total]])</f>
        <v>209</v>
      </c>
    </row>
    <row r="210" spans="1:43">
      <c r="A210" s="257"/>
      <c r="B210" s="276"/>
      <c r="C210" s="277"/>
      <c r="D210" s="318"/>
      <c r="E210" s="318"/>
      <c r="F210" s="318"/>
      <c r="G210" s="318"/>
      <c r="H210" s="121" t="str">
        <f ca="1">IFERROR(INDEX(Labor_Categories[Minimum Direct Labor Rates],MATCH(Cost_Elements[[#This Row],[Government Labor Category]],Labor_Categories[Labor Categories],0)),"")</f>
        <v/>
      </c>
      <c r="I210" s="79"/>
      <c r="J210" s="74"/>
      <c r="K210" s="75">
        <f ca="1">IFERROR(IF(Cost_Elements[[#This Row],[Row]]&gt;='Do Not Use or Delete'!$L$2, IF(Cost_Elements[[#This Row],[Row]]&lt;='Do Not Use or Delete'!$M$2,I210*J210,0),0)+IF(Cost_Elements[[#This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0" s="63"/>
      <c r="M210" s="63"/>
      <c r="N210" s="79"/>
      <c r="O210" s="74"/>
      <c r="P210" s="75">
        <f ca="1">IFERROR(IF(Cost_Elements[[#This Row],[Row]]&gt;='Do Not Use or Delete'!$L$2, IF(Cost_Elements[[#This Row],[Row]]&lt;='Do Not Use or Delete'!$M$2,N210*O210,0),0)+IF(Cost_Elements[[#This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0" s="63"/>
      <c r="R210" s="63"/>
      <c r="S210" s="79"/>
      <c r="T210" s="74"/>
      <c r="U210" s="75">
        <f ca="1">IFERROR(IF(Cost_Elements[[#This Row],[Row]]&gt;='Do Not Use or Delete'!$L$2, IF(Cost_Elements[[#This Row],[Row]]&lt;='Do Not Use or Delete'!$M$2,S210*T210,0),0)+IF(Cost_Elements[[#This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0" s="63"/>
      <c r="W210" s="63"/>
      <c r="X210" s="79"/>
      <c r="Y210" s="74"/>
      <c r="Z210" s="75">
        <f ca="1">IFERROR(IF(Cost_Elements[[#This Row],[Row]]&gt;='Do Not Use or Delete'!$L$2, IF(Cost_Elements[[#This Row],[Row]]&lt;='Do Not Use or Delete'!$M$2,X210*Y210,0),0)+IF(Cost_Elements[[#This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0" s="63"/>
      <c r="AB210" s="63"/>
      <c r="AC210" s="79"/>
      <c r="AD210" s="74"/>
      <c r="AE210" s="75">
        <f ca="1">IFERROR(IF(Cost_Elements[[#This Row],[Row]]&gt;='Do Not Use or Delete'!$L$2, IF(Cost_Elements[[#This Row],[Row]]&lt;='Do Not Use or Delete'!$M$2,AC210*AD210,0),0)+IF(Cost_Elements[[#This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0" s="64"/>
      <c r="AG210" s="65"/>
      <c r="AH210" s="79"/>
      <c r="AI210" s="74"/>
      <c r="AJ210" s="458"/>
      <c r="AK210" s="458"/>
      <c r="AL210" s="75">
        <f ca="1">IFERROR(IF(Cost_Elements[[#This Row],[Row]]&gt;='Do Not Use or Delete'!$L$2, IF(Cost_Elements[[#This Row],[Row]]&lt;='Do Not Use or Delete'!$M$2,AH210*AI210,0),0)+IF(Cost_Elements[[#This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0" s="64"/>
      <c r="AN210" s="65"/>
      <c r="AO210" s="77">
        <f t="shared" si="14"/>
        <v>0</v>
      </c>
      <c r="AP210" s="78">
        <f t="shared" ca="1" si="15"/>
        <v>0</v>
      </c>
      <c r="AQ210" s="68">
        <f ca="1">ROW(Cost_Elements[[#This Row],[Amount | Total]])</f>
        <v>210</v>
      </c>
    </row>
    <row r="211" spans="1:43">
      <c r="A211" s="239" t="s">
        <v>190</v>
      </c>
      <c r="B211" s="70"/>
      <c r="C211" s="69"/>
      <c r="D211" s="61"/>
      <c r="E211" s="61"/>
      <c r="F211" s="61"/>
      <c r="G211" s="61"/>
      <c r="H211" s="59" t="str">
        <f ca="1">IFERROR(INDEX(Labor_Categories[Minimum Direct Labor Rates],MATCH(Cost_Elements[[#This Row],[Government Labor Category]],Labor_Categories[Labor Categories],0)),"")</f>
        <v/>
      </c>
      <c r="I211" s="11"/>
      <c r="J211" s="119">
        <f ca="1">SUM(J212:J225)</f>
        <v>0</v>
      </c>
      <c r="K211" s="120">
        <f ca="1">SUM(K212:K225)</f>
        <v>0</v>
      </c>
      <c r="L211" s="248"/>
      <c r="M211" s="248"/>
      <c r="N211" s="124"/>
      <c r="O211" s="119">
        <f ca="1">SUM(O212:O225)</f>
        <v>0</v>
      </c>
      <c r="P211" s="120">
        <f ca="1">SUM(P212:P225)</f>
        <v>0</v>
      </c>
      <c r="Q211" s="248"/>
      <c r="R211" s="248"/>
      <c r="S211" s="11">
        <f ca="1">(Cost_Elements[[#This Row],[Rate | 2]]*$T$4)+Cost_Elements[[#This Row],[Rate | 2]]</f>
        <v>0</v>
      </c>
      <c r="T211" s="119">
        <f ca="1">SUM(T212:T225)</f>
        <v>0</v>
      </c>
      <c r="U211" s="120">
        <f ca="1">SUM(U212:U225)</f>
        <v>0</v>
      </c>
      <c r="V211" s="248"/>
      <c r="W211" s="248"/>
      <c r="X211" s="11">
        <f ca="1">(Cost_Elements[[#This Row],[Rate | 3]]*$Y$4)+Cost_Elements[[#This Row],[Rate | 3]]</f>
        <v>0</v>
      </c>
      <c r="Y211" s="119">
        <f ca="1">SUM(Y212:Y225)</f>
        <v>0</v>
      </c>
      <c r="Z211" s="120">
        <f ca="1">SUM(Z212:Z225)</f>
        <v>0</v>
      </c>
      <c r="AA211" s="248"/>
      <c r="AB211" s="248"/>
      <c r="AC211" s="11">
        <f ca="1">(Cost_Elements[[#This Row],[Rate | 4]]*$AD$4)+Cost_Elements[[#This Row],[Rate | 4]]</f>
        <v>0</v>
      </c>
      <c r="AD211" s="119">
        <f ca="1">SUM(AD212:AD225)</f>
        <v>0</v>
      </c>
      <c r="AE211" s="120">
        <f ca="1">SUM(AE212:AE225)</f>
        <v>0</v>
      </c>
      <c r="AF211" s="102"/>
      <c r="AG211" s="91"/>
      <c r="AH211" s="11">
        <f ca="1">(Cost_Elements[[#This Row],[Rate | 4]]*$AD$4)+Cost_Elements[[#This Row],[Rate | 4]]</f>
        <v>0</v>
      </c>
      <c r="AI211" s="119">
        <f ca="1">SUM(AI212:AI225)</f>
        <v>0</v>
      </c>
      <c r="AJ211" s="119"/>
      <c r="AK211" s="119"/>
      <c r="AL211" s="120">
        <f ca="1">SUM(AL212:AL225)</f>
        <v>0</v>
      </c>
      <c r="AM211" s="102"/>
      <c r="AN211" s="91"/>
      <c r="AO211" s="119">
        <f>SUM(AO212:AO225)</f>
        <v>0</v>
      </c>
      <c r="AP211" s="87">
        <f ca="1">SUM(AP212:AP225)</f>
        <v>0</v>
      </c>
      <c r="AQ211" s="68">
        <f ca="1">ROW(Cost_Elements[[#This Row],[Amount | Total]])</f>
        <v>211</v>
      </c>
    </row>
    <row r="212" spans="1:43">
      <c r="A212" s="240" t="s">
        <v>165</v>
      </c>
      <c r="B212" s="275"/>
      <c r="C212" s="277"/>
      <c r="D212" s="318"/>
      <c r="E212" s="318"/>
      <c r="F212" s="318"/>
      <c r="G212" s="318"/>
      <c r="H212" s="121" t="str">
        <f ca="1">IFERROR(INDEX(Labor_Categories[Minimum Direct Labor Rates],MATCH(Cost_Elements[[#This Row],[Government Labor Category]],Labor_Categories[Labor Categories],0)),"")</f>
        <v/>
      </c>
      <c r="I212" s="73"/>
      <c r="J212" s="74"/>
      <c r="K212" s="75">
        <f ca="1">IFERROR(IF(Cost_Elements[[#This Row],[Row]]&gt;='Do Not Use or Delete'!$L$2, IF(Cost_Elements[[#This Row],[Row]]&lt;='Do Not Use or Delete'!$M$2,I212*J212,0),0)+IF(Cost_Elements[[#This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2" s="63"/>
      <c r="M212" s="63"/>
      <c r="N212" s="73"/>
      <c r="O212" s="74"/>
      <c r="P212" s="75">
        <f ca="1">IFERROR(IF(Cost_Elements[[#This Row],[Row]]&gt;='Do Not Use or Delete'!$L$2, IF(Cost_Elements[[#This Row],[Row]]&lt;='Do Not Use or Delete'!$M$2,N212*O212,0),0)+IF(Cost_Elements[[#This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2" s="63"/>
      <c r="R212" s="63"/>
      <c r="S212" s="73"/>
      <c r="T212" s="74"/>
      <c r="U212" s="75">
        <f ca="1">IFERROR(IF(Cost_Elements[[#This Row],[Row]]&gt;='Do Not Use or Delete'!$L$2, IF(Cost_Elements[[#This Row],[Row]]&lt;='Do Not Use or Delete'!$M$2,S212*T212,0),0)+IF(Cost_Elements[[#This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2" s="63"/>
      <c r="W212" s="63"/>
      <c r="X212" s="73"/>
      <c r="Y212" s="74"/>
      <c r="Z212" s="75">
        <f ca="1">IFERROR(IF(Cost_Elements[[#This Row],[Row]]&gt;='Do Not Use or Delete'!$L$2, IF(Cost_Elements[[#This Row],[Row]]&lt;='Do Not Use or Delete'!$M$2,X212*Y212,0),0)+IF(Cost_Elements[[#This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2" s="63"/>
      <c r="AB212" s="63"/>
      <c r="AC212" s="73"/>
      <c r="AD212" s="74"/>
      <c r="AE212" s="75">
        <f ca="1">IFERROR(IF(Cost_Elements[[#This Row],[Row]]&gt;='Do Not Use or Delete'!$L$2, IF(Cost_Elements[[#This Row],[Row]]&lt;='Do Not Use or Delete'!$M$2,AC212*AD212,0),0)+IF(Cost_Elements[[#This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2" s="64"/>
      <c r="AG212" s="65"/>
      <c r="AH212" s="73"/>
      <c r="AI212" s="74"/>
      <c r="AJ212" s="458"/>
      <c r="AK212" s="458"/>
      <c r="AL212" s="75">
        <f ca="1">IFERROR(IF(Cost_Elements[[#This Row],[Row]]&gt;='Do Not Use or Delete'!$L$2, IF(Cost_Elements[[#This Row],[Row]]&lt;='Do Not Use or Delete'!$M$2,AH212*AI212,0),0)+IF(Cost_Elements[[#This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2" s="64"/>
      <c r="AN212" s="65"/>
      <c r="AO212" s="125">
        <f>J212+T212+AD212+O212+Y212+AI212</f>
        <v>0</v>
      </c>
      <c r="AP212" s="78">
        <f ca="1">K212+U212+AE212+P212+Z212+AL212</f>
        <v>0</v>
      </c>
      <c r="AQ212" s="68">
        <f ca="1">ROW(Cost_Elements[[#This Row],[Amount | Total]])</f>
        <v>212</v>
      </c>
    </row>
    <row r="213" spans="1:43">
      <c r="A213" s="240" t="s">
        <v>165</v>
      </c>
      <c r="B213" s="275"/>
      <c r="C213" s="277"/>
      <c r="D213" s="277"/>
      <c r="E213" s="318"/>
      <c r="F213" s="318"/>
      <c r="G213" s="277"/>
      <c r="H213" s="123" t="str">
        <f ca="1">IFERROR(INDEX(Labor_Categories[Minimum Direct Labor Rates],MATCH(Cost_Elements[[#This Row],[Government Labor Category]],Labor_Categories[Labor Categories],0)),"")</f>
        <v/>
      </c>
      <c r="I213" s="73"/>
      <c r="J213" s="74"/>
      <c r="K213" s="75">
        <f ca="1">IFERROR(IF(Cost_Elements[[#This Row],[Row]]&gt;='Do Not Use or Delete'!$L$2, IF(Cost_Elements[[#This Row],[Row]]&lt;='Do Not Use or Delete'!$M$2,I213*J213,0),0)+IF(Cost_Elements[[#This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3" s="63"/>
      <c r="M213" s="63"/>
      <c r="N213" s="73"/>
      <c r="O213" s="74"/>
      <c r="P213" s="75">
        <f ca="1">IFERROR(IF(Cost_Elements[[#This Row],[Row]]&gt;='Do Not Use or Delete'!$L$2, IF(Cost_Elements[[#This Row],[Row]]&lt;='Do Not Use or Delete'!$M$2,N213*O213,0),0)+IF(Cost_Elements[[#This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3" s="63"/>
      <c r="R213" s="63"/>
      <c r="S213" s="73"/>
      <c r="T213" s="74"/>
      <c r="U213" s="75">
        <f ca="1">IFERROR(IF(Cost_Elements[[#This Row],[Row]]&gt;='Do Not Use or Delete'!$L$2, IF(Cost_Elements[[#This Row],[Row]]&lt;='Do Not Use or Delete'!$M$2,S213*T213,0),0)+IF(Cost_Elements[[#This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3" s="63"/>
      <c r="W213" s="63"/>
      <c r="X213" s="73"/>
      <c r="Y213" s="74"/>
      <c r="Z213" s="75">
        <f ca="1">IFERROR(IF(Cost_Elements[[#This Row],[Row]]&gt;='Do Not Use or Delete'!$L$2, IF(Cost_Elements[[#This Row],[Row]]&lt;='Do Not Use or Delete'!$M$2,X213*Y213,0),0)+IF(Cost_Elements[[#This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3" s="63"/>
      <c r="AB213" s="63"/>
      <c r="AC213" s="73"/>
      <c r="AD213" s="74"/>
      <c r="AE213" s="75">
        <f ca="1">IFERROR(IF(Cost_Elements[[#This Row],[Row]]&gt;='Do Not Use or Delete'!$L$2, IF(Cost_Elements[[#This Row],[Row]]&lt;='Do Not Use or Delete'!$M$2,AC213*AD213,0),0)+IF(Cost_Elements[[#This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3" s="102"/>
      <c r="AG213" s="249"/>
      <c r="AH213" s="73"/>
      <c r="AI213" s="74"/>
      <c r="AJ213" s="458"/>
      <c r="AK213" s="458"/>
      <c r="AL213" s="75">
        <f ca="1">IFERROR(IF(Cost_Elements[[#This Row],[Row]]&gt;='Do Not Use or Delete'!$L$2, IF(Cost_Elements[[#This Row],[Row]]&lt;='Do Not Use or Delete'!$M$2,AH213*AI213,0),0)+IF(Cost_Elements[[#This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3" s="102"/>
      <c r="AN213" s="249"/>
      <c r="AO213" s="125">
        <f t="shared" ref="AO213:AO225" si="16">J213+T213+AD213+O213+Y213+AI213</f>
        <v>0</v>
      </c>
      <c r="AP213" s="78">
        <f t="shared" ref="AP213:AP225" ca="1" si="17">K213+U213+AE213+P213+Z213+AL213</f>
        <v>0</v>
      </c>
      <c r="AQ213" s="68">
        <f ca="1">ROW(Cost_Elements[[#This Row],[Amount | Total]])</f>
        <v>213</v>
      </c>
    </row>
    <row r="214" spans="1:43">
      <c r="A214" s="240" t="s">
        <v>165</v>
      </c>
      <c r="B214" s="275"/>
      <c r="C214" s="277"/>
      <c r="D214" s="277"/>
      <c r="E214" s="318"/>
      <c r="F214" s="318"/>
      <c r="G214" s="277"/>
      <c r="H214" s="123" t="str">
        <f ca="1">IFERROR(INDEX(Labor_Categories[Minimum Direct Labor Rates],MATCH(Cost_Elements[[#This Row],[Government Labor Category]],Labor_Categories[Labor Categories],0)),"")</f>
        <v/>
      </c>
      <c r="I214" s="73"/>
      <c r="J214" s="74"/>
      <c r="K214" s="75">
        <f ca="1">IFERROR(IF(Cost_Elements[[#This Row],[Row]]&gt;='Do Not Use or Delete'!$L$2, IF(Cost_Elements[[#This Row],[Row]]&lt;='Do Not Use or Delete'!$M$2,I214*J214,0),0)+IF(Cost_Elements[[#This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4" s="63"/>
      <c r="M214" s="63"/>
      <c r="N214" s="73"/>
      <c r="O214" s="74"/>
      <c r="P214" s="75">
        <f ca="1">IFERROR(IF(Cost_Elements[[#This Row],[Row]]&gt;='Do Not Use or Delete'!$L$2, IF(Cost_Elements[[#This Row],[Row]]&lt;='Do Not Use or Delete'!$M$2,N214*O214,0),0)+IF(Cost_Elements[[#This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4" s="63"/>
      <c r="R214" s="63"/>
      <c r="S214" s="73"/>
      <c r="T214" s="74"/>
      <c r="U214" s="75">
        <f ca="1">IFERROR(IF(Cost_Elements[[#This Row],[Row]]&gt;='Do Not Use or Delete'!$L$2, IF(Cost_Elements[[#This Row],[Row]]&lt;='Do Not Use or Delete'!$M$2,S214*T214,0),0)+IF(Cost_Elements[[#This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4" s="63"/>
      <c r="W214" s="63"/>
      <c r="X214" s="73"/>
      <c r="Y214" s="74"/>
      <c r="Z214" s="75">
        <f ca="1">IFERROR(IF(Cost_Elements[[#This Row],[Row]]&gt;='Do Not Use or Delete'!$L$2, IF(Cost_Elements[[#This Row],[Row]]&lt;='Do Not Use or Delete'!$M$2,X214*Y214,0),0)+IF(Cost_Elements[[#This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4" s="63"/>
      <c r="AB214" s="63"/>
      <c r="AC214" s="73"/>
      <c r="AD214" s="74"/>
      <c r="AE214" s="75">
        <f ca="1">IFERROR(IF(Cost_Elements[[#This Row],[Row]]&gt;='Do Not Use or Delete'!$L$2, IF(Cost_Elements[[#This Row],[Row]]&lt;='Do Not Use or Delete'!$M$2,AC214*AD214,0),0)+IF(Cost_Elements[[#This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4" s="102"/>
      <c r="AG214" s="249"/>
      <c r="AH214" s="73"/>
      <c r="AI214" s="74"/>
      <c r="AJ214" s="458"/>
      <c r="AK214" s="458"/>
      <c r="AL214" s="75">
        <f ca="1">IFERROR(IF(Cost_Elements[[#This Row],[Row]]&gt;='Do Not Use or Delete'!$L$2, IF(Cost_Elements[[#This Row],[Row]]&lt;='Do Not Use or Delete'!$M$2,AH214*AI214,0),0)+IF(Cost_Elements[[#This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4" s="102"/>
      <c r="AN214" s="249"/>
      <c r="AO214" s="125">
        <f t="shared" si="16"/>
        <v>0</v>
      </c>
      <c r="AP214" s="78">
        <f t="shared" ca="1" si="17"/>
        <v>0</v>
      </c>
      <c r="AQ214" s="68">
        <f ca="1">ROW(Cost_Elements[[#This Row],[Amount | Total]])</f>
        <v>214</v>
      </c>
    </row>
    <row r="215" spans="1:43">
      <c r="A215" s="240" t="s">
        <v>165</v>
      </c>
      <c r="B215" s="277"/>
      <c r="C215" s="277"/>
      <c r="D215" s="277"/>
      <c r="E215" s="318"/>
      <c r="F215" s="318"/>
      <c r="G215" s="277"/>
      <c r="H215" s="123" t="str">
        <f ca="1">IFERROR(INDEX(Labor_Categories[Minimum Direct Labor Rates],MATCH(Cost_Elements[[#This Row],[Government Labor Category]],Labor_Categories[Labor Categories],0)),"")</f>
        <v/>
      </c>
      <c r="I215" s="262"/>
      <c r="J215" s="74"/>
      <c r="K215" s="75">
        <f ca="1">IFERROR(IF(Cost_Elements[[#This Row],[Row]]&gt;='Do Not Use or Delete'!$L$2, IF(Cost_Elements[[#This Row],[Row]]&lt;='Do Not Use or Delete'!$M$2,I215*J215,0),0)+IF(Cost_Elements[[#This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5" s="63"/>
      <c r="M215" s="63"/>
      <c r="N215" s="73"/>
      <c r="O215" s="74"/>
      <c r="P215" s="75">
        <f ca="1">IFERROR(IF(Cost_Elements[[#This Row],[Row]]&gt;='Do Not Use or Delete'!$L$2, IF(Cost_Elements[[#This Row],[Row]]&lt;='Do Not Use or Delete'!$M$2,N215*O215,0),0)+IF(Cost_Elements[[#This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5" s="63"/>
      <c r="R215" s="63"/>
      <c r="S215" s="73"/>
      <c r="T215" s="74"/>
      <c r="U215" s="75">
        <f ca="1">IFERROR(IF(Cost_Elements[[#This Row],[Row]]&gt;='Do Not Use or Delete'!$L$2, IF(Cost_Elements[[#This Row],[Row]]&lt;='Do Not Use or Delete'!$M$2,S215*T215,0),0)+IF(Cost_Elements[[#This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5" s="63"/>
      <c r="W215" s="63"/>
      <c r="X215" s="73"/>
      <c r="Y215" s="74"/>
      <c r="Z215" s="75">
        <f ca="1">IFERROR(IF(Cost_Elements[[#This Row],[Row]]&gt;='Do Not Use or Delete'!$L$2, IF(Cost_Elements[[#This Row],[Row]]&lt;='Do Not Use or Delete'!$M$2,X215*Y215,0),0)+IF(Cost_Elements[[#This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5" s="63"/>
      <c r="AB215" s="63"/>
      <c r="AC215" s="73"/>
      <c r="AD215" s="74"/>
      <c r="AE215" s="75">
        <f ca="1">IFERROR(IF(Cost_Elements[[#This Row],[Row]]&gt;='Do Not Use or Delete'!$L$2, IF(Cost_Elements[[#This Row],[Row]]&lt;='Do Not Use or Delete'!$M$2,AC215*AD215,0),0)+IF(Cost_Elements[[#This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5" s="102"/>
      <c r="AG215" s="249"/>
      <c r="AH215" s="73"/>
      <c r="AI215" s="74"/>
      <c r="AJ215" s="458"/>
      <c r="AK215" s="458"/>
      <c r="AL215" s="75">
        <f ca="1">IFERROR(IF(Cost_Elements[[#This Row],[Row]]&gt;='Do Not Use or Delete'!$L$2, IF(Cost_Elements[[#This Row],[Row]]&lt;='Do Not Use or Delete'!$M$2,AH215*AI215,0),0)+IF(Cost_Elements[[#This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5" s="102"/>
      <c r="AN215" s="249"/>
      <c r="AO215" s="125">
        <f t="shared" si="16"/>
        <v>0</v>
      </c>
      <c r="AP215" s="78">
        <f t="shared" ca="1" si="17"/>
        <v>0</v>
      </c>
      <c r="AQ215" s="68">
        <f ca="1">ROW(Cost_Elements[[#This Row],[Amount | Total]])</f>
        <v>215</v>
      </c>
    </row>
    <row r="216" spans="1:43">
      <c r="A216" s="240" t="s">
        <v>165</v>
      </c>
      <c r="B216" s="277"/>
      <c r="C216" s="277"/>
      <c r="D216" s="277"/>
      <c r="E216" s="318"/>
      <c r="F216" s="318"/>
      <c r="G216" s="277"/>
      <c r="H216" s="123" t="str">
        <f ca="1">IFERROR(INDEX(Labor_Categories[Minimum Direct Labor Rates],MATCH(Cost_Elements[[#This Row],[Government Labor Category]],Labor_Categories[Labor Categories],0)),"")</f>
        <v/>
      </c>
      <c r="I216" s="262"/>
      <c r="J216" s="74"/>
      <c r="K216" s="75">
        <f ca="1">IFERROR(IF(Cost_Elements[[#This Row],[Row]]&gt;='Do Not Use or Delete'!$L$2, IF(Cost_Elements[[#This Row],[Row]]&lt;='Do Not Use or Delete'!$M$2,I216*J216,0),0)+IF(Cost_Elements[[#This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6" s="63"/>
      <c r="M216" s="63"/>
      <c r="N216" s="73"/>
      <c r="O216" s="74"/>
      <c r="P216" s="75">
        <f ca="1">IFERROR(IF(Cost_Elements[[#This Row],[Row]]&gt;='Do Not Use or Delete'!$L$2, IF(Cost_Elements[[#This Row],[Row]]&lt;='Do Not Use or Delete'!$M$2,N216*O216,0),0)+IF(Cost_Elements[[#This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6" s="63"/>
      <c r="R216" s="63"/>
      <c r="S216" s="73"/>
      <c r="T216" s="74"/>
      <c r="U216" s="75">
        <f ca="1">IFERROR(IF(Cost_Elements[[#This Row],[Row]]&gt;='Do Not Use or Delete'!$L$2, IF(Cost_Elements[[#This Row],[Row]]&lt;='Do Not Use or Delete'!$M$2,S216*T216,0),0)+IF(Cost_Elements[[#This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6" s="63"/>
      <c r="W216" s="63"/>
      <c r="X216" s="73"/>
      <c r="Y216" s="74"/>
      <c r="Z216" s="75">
        <f ca="1">IFERROR(IF(Cost_Elements[[#This Row],[Row]]&gt;='Do Not Use or Delete'!$L$2, IF(Cost_Elements[[#This Row],[Row]]&lt;='Do Not Use or Delete'!$M$2,X216*Y216,0),0)+IF(Cost_Elements[[#This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6" s="63"/>
      <c r="AB216" s="63"/>
      <c r="AC216" s="73"/>
      <c r="AD216" s="74"/>
      <c r="AE216" s="75">
        <f ca="1">IFERROR(IF(Cost_Elements[[#This Row],[Row]]&gt;='Do Not Use or Delete'!$L$2, IF(Cost_Elements[[#This Row],[Row]]&lt;='Do Not Use or Delete'!$M$2,AC216*AD216,0),0)+IF(Cost_Elements[[#This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6" s="102"/>
      <c r="AG216" s="249"/>
      <c r="AH216" s="73"/>
      <c r="AI216" s="74"/>
      <c r="AJ216" s="458"/>
      <c r="AK216" s="458"/>
      <c r="AL216" s="75">
        <f ca="1">IFERROR(IF(Cost_Elements[[#This Row],[Row]]&gt;='Do Not Use or Delete'!$L$2, IF(Cost_Elements[[#This Row],[Row]]&lt;='Do Not Use or Delete'!$M$2,AH216*AI216,0),0)+IF(Cost_Elements[[#This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6" s="102"/>
      <c r="AN216" s="249"/>
      <c r="AO216" s="125">
        <f t="shared" si="16"/>
        <v>0</v>
      </c>
      <c r="AP216" s="78">
        <f t="shared" ca="1" si="17"/>
        <v>0</v>
      </c>
      <c r="AQ216" s="68">
        <f ca="1">ROW(Cost_Elements[[#This Row],[Amount | Total]])</f>
        <v>216</v>
      </c>
    </row>
    <row r="217" spans="1:43">
      <c r="A217" s="240" t="s">
        <v>165</v>
      </c>
      <c r="B217" s="277"/>
      <c r="C217" s="277"/>
      <c r="D217" s="277"/>
      <c r="E217" s="318"/>
      <c r="F217" s="318"/>
      <c r="G217" s="277"/>
      <c r="H217" s="123" t="str">
        <f ca="1">IFERROR(INDEX(Labor_Categories[Minimum Direct Labor Rates],MATCH(Cost_Elements[[#This Row],[Government Labor Category]],Labor_Categories[Labor Categories],0)),"")</f>
        <v/>
      </c>
      <c r="I217" s="262"/>
      <c r="J217" s="74"/>
      <c r="K217" s="75">
        <f ca="1">IFERROR(IF(Cost_Elements[[#This Row],[Row]]&gt;='Do Not Use or Delete'!$L$2, IF(Cost_Elements[[#This Row],[Row]]&lt;='Do Not Use or Delete'!$M$2,I217*J217,0),0)+IF(Cost_Elements[[#This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7" s="63"/>
      <c r="M217" s="63"/>
      <c r="N217" s="73"/>
      <c r="O217" s="74"/>
      <c r="P217" s="75">
        <f ca="1">IFERROR(IF(Cost_Elements[[#This Row],[Row]]&gt;='Do Not Use or Delete'!$L$2, IF(Cost_Elements[[#This Row],[Row]]&lt;='Do Not Use or Delete'!$M$2,N217*O217,0),0)+IF(Cost_Elements[[#This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7" s="63"/>
      <c r="R217" s="63"/>
      <c r="S217" s="73"/>
      <c r="T217" s="74"/>
      <c r="U217" s="75">
        <f ca="1">IFERROR(IF(Cost_Elements[[#This Row],[Row]]&gt;='Do Not Use or Delete'!$L$2, IF(Cost_Elements[[#This Row],[Row]]&lt;='Do Not Use or Delete'!$M$2,S217*T217,0),0)+IF(Cost_Elements[[#This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7" s="63"/>
      <c r="W217" s="63"/>
      <c r="X217" s="73"/>
      <c r="Y217" s="74"/>
      <c r="Z217" s="75">
        <f ca="1">IFERROR(IF(Cost_Elements[[#This Row],[Row]]&gt;='Do Not Use or Delete'!$L$2, IF(Cost_Elements[[#This Row],[Row]]&lt;='Do Not Use or Delete'!$M$2,X217*Y217,0),0)+IF(Cost_Elements[[#This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7" s="63"/>
      <c r="AB217" s="63"/>
      <c r="AC217" s="73"/>
      <c r="AD217" s="74"/>
      <c r="AE217" s="75">
        <f ca="1">IFERROR(IF(Cost_Elements[[#This Row],[Row]]&gt;='Do Not Use or Delete'!$L$2, IF(Cost_Elements[[#This Row],[Row]]&lt;='Do Not Use or Delete'!$M$2,AC217*AD217,0),0)+IF(Cost_Elements[[#This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7" s="102"/>
      <c r="AG217" s="249"/>
      <c r="AH217" s="73"/>
      <c r="AI217" s="74"/>
      <c r="AJ217" s="458"/>
      <c r="AK217" s="458"/>
      <c r="AL217" s="75">
        <f ca="1">IFERROR(IF(Cost_Elements[[#This Row],[Row]]&gt;='Do Not Use or Delete'!$L$2, IF(Cost_Elements[[#This Row],[Row]]&lt;='Do Not Use or Delete'!$M$2,AH217*AI217,0),0)+IF(Cost_Elements[[#This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7" s="102"/>
      <c r="AN217" s="249"/>
      <c r="AO217" s="125">
        <f t="shared" si="16"/>
        <v>0</v>
      </c>
      <c r="AP217" s="78">
        <f t="shared" ca="1" si="17"/>
        <v>0</v>
      </c>
      <c r="AQ217" s="68">
        <f ca="1">ROW(Cost_Elements[[#This Row],[Amount | Total]])</f>
        <v>217</v>
      </c>
    </row>
    <row r="218" spans="1:43">
      <c r="A218" s="240" t="s">
        <v>165</v>
      </c>
      <c r="B218" s="277"/>
      <c r="C218" s="277"/>
      <c r="D218" s="277"/>
      <c r="E218" s="318"/>
      <c r="F218" s="318"/>
      <c r="G218" s="277"/>
      <c r="H218" s="123" t="str">
        <f ca="1">IFERROR(INDEX(Labor_Categories[Minimum Direct Labor Rates],MATCH(Cost_Elements[[#This Row],[Government Labor Category]],Labor_Categories[Labor Categories],0)),"")</f>
        <v/>
      </c>
      <c r="I218" s="262"/>
      <c r="J218" s="74"/>
      <c r="K218" s="75">
        <f ca="1">IFERROR(IF(Cost_Elements[[#This Row],[Row]]&gt;='Do Not Use or Delete'!$L$2, IF(Cost_Elements[[#This Row],[Row]]&lt;='Do Not Use or Delete'!$M$2,I218*J218,0),0)+IF(Cost_Elements[[#This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8" s="63"/>
      <c r="M218" s="63"/>
      <c r="N218" s="73"/>
      <c r="O218" s="74"/>
      <c r="P218" s="75">
        <f ca="1">IFERROR(IF(Cost_Elements[[#This Row],[Row]]&gt;='Do Not Use or Delete'!$L$2, IF(Cost_Elements[[#This Row],[Row]]&lt;='Do Not Use or Delete'!$M$2,N218*O218,0),0)+IF(Cost_Elements[[#This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8" s="63"/>
      <c r="R218" s="63"/>
      <c r="S218" s="73"/>
      <c r="T218" s="74"/>
      <c r="U218" s="75">
        <f ca="1">IFERROR(IF(Cost_Elements[[#This Row],[Row]]&gt;='Do Not Use or Delete'!$L$2, IF(Cost_Elements[[#This Row],[Row]]&lt;='Do Not Use or Delete'!$M$2,S218*T218,0),0)+IF(Cost_Elements[[#This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8" s="63"/>
      <c r="W218" s="63"/>
      <c r="X218" s="73"/>
      <c r="Y218" s="74"/>
      <c r="Z218" s="75">
        <f ca="1">IFERROR(IF(Cost_Elements[[#This Row],[Row]]&gt;='Do Not Use or Delete'!$L$2, IF(Cost_Elements[[#This Row],[Row]]&lt;='Do Not Use or Delete'!$M$2,X218*Y218,0),0)+IF(Cost_Elements[[#This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8" s="63"/>
      <c r="AB218" s="63"/>
      <c r="AC218" s="73"/>
      <c r="AD218" s="74"/>
      <c r="AE218" s="75">
        <f ca="1">IFERROR(IF(Cost_Elements[[#This Row],[Row]]&gt;='Do Not Use or Delete'!$L$2, IF(Cost_Elements[[#This Row],[Row]]&lt;='Do Not Use or Delete'!$M$2,AC218*AD218,0),0)+IF(Cost_Elements[[#This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8" s="102"/>
      <c r="AG218" s="249"/>
      <c r="AH218" s="73"/>
      <c r="AI218" s="74"/>
      <c r="AJ218" s="458"/>
      <c r="AK218" s="458"/>
      <c r="AL218" s="75">
        <f ca="1">IFERROR(IF(Cost_Elements[[#This Row],[Row]]&gt;='Do Not Use or Delete'!$L$2, IF(Cost_Elements[[#This Row],[Row]]&lt;='Do Not Use or Delete'!$M$2,AH218*AI218,0),0)+IF(Cost_Elements[[#This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8" s="102"/>
      <c r="AN218" s="249"/>
      <c r="AO218" s="125">
        <f t="shared" si="16"/>
        <v>0</v>
      </c>
      <c r="AP218" s="78">
        <f t="shared" ca="1" si="17"/>
        <v>0</v>
      </c>
      <c r="AQ218" s="68">
        <f ca="1">ROW(Cost_Elements[[#This Row],[Amount | Total]])</f>
        <v>218</v>
      </c>
    </row>
    <row r="219" spans="1:43">
      <c r="A219" s="240" t="s">
        <v>165</v>
      </c>
      <c r="B219" s="277"/>
      <c r="C219" s="277"/>
      <c r="D219" s="277"/>
      <c r="E219" s="318"/>
      <c r="F219" s="318"/>
      <c r="G219" s="277"/>
      <c r="H219" s="123" t="str">
        <f ca="1">IFERROR(INDEX(Labor_Categories[Minimum Direct Labor Rates],MATCH(Cost_Elements[[#This Row],[Government Labor Category]],Labor_Categories[Labor Categories],0)),"")</f>
        <v/>
      </c>
      <c r="I219" s="262"/>
      <c r="J219" s="74"/>
      <c r="K219" s="75">
        <f ca="1">IFERROR(IF(Cost_Elements[[#This Row],[Row]]&gt;='Do Not Use or Delete'!$L$2, IF(Cost_Elements[[#This Row],[Row]]&lt;='Do Not Use or Delete'!$M$2,I219*J219,0),0)+IF(Cost_Elements[[#This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9" s="63"/>
      <c r="M219" s="63"/>
      <c r="N219" s="73"/>
      <c r="O219" s="74"/>
      <c r="P219" s="75">
        <f ca="1">IFERROR(IF(Cost_Elements[[#This Row],[Row]]&gt;='Do Not Use or Delete'!$L$2, IF(Cost_Elements[[#This Row],[Row]]&lt;='Do Not Use or Delete'!$M$2,N219*O219,0),0)+IF(Cost_Elements[[#This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9" s="63"/>
      <c r="R219" s="63"/>
      <c r="S219" s="73"/>
      <c r="T219" s="74"/>
      <c r="U219" s="75">
        <f ca="1">IFERROR(IF(Cost_Elements[[#This Row],[Row]]&gt;='Do Not Use or Delete'!$L$2, IF(Cost_Elements[[#This Row],[Row]]&lt;='Do Not Use or Delete'!$M$2,S219*T219,0),0)+IF(Cost_Elements[[#This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9" s="63"/>
      <c r="W219" s="63"/>
      <c r="X219" s="73"/>
      <c r="Y219" s="74"/>
      <c r="Z219" s="75">
        <f ca="1">IFERROR(IF(Cost_Elements[[#This Row],[Row]]&gt;='Do Not Use or Delete'!$L$2, IF(Cost_Elements[[#This Row],[Row]]&lt;='Do Not Use or Delete'!$M$2,X219*Y219,0),0)+IF(Cost_Elements[[#This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9" s="63"/>
      <c r="AB219" s="63"/>
      <c r="AC219" s="73"/>
      <c r="AD219" s="74"/>
      <c r="AE219" s="75">
        <f ca="1">IFERROR(IF(Cost_Elements[[#This Row],[Row]]&gt;='Do Not Use or Delete'!$L$2, IF(Cost_Elements[[#This Row],[Row]]&lt;='Do Not Use or Delete'!$M$2,AC219*AD219,0),0)+IF(Cost_Elements[[#This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9" s="102"/>
      <c r="AG219" s="249"/>
      <c r="AH219" s="73"/>
      <c r="AI219" s="74"/>
      <c r="AJ219" s="458"/>
      <c r="AK219" s="458"/>
      <c r="AL219" s="75">
        <f ca="1">IFERROR(IF(Cost_Elements[[#This Row],[Row]]&gt;='Do Not Use or Delete'!$L$2, IF(Cost_Elements[[#This Row],[Row]]&lt;='Do Not Use or Delete'!$M$2,AH219*AI219,0),0)+IF(Cost_Elements[[#This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9" s="102"/>
      <c r="AN219" s="249"/>
      <c r="AO219" s="125">
        <f t="shared" si="16"/>
        <v>0</v>
      </c>
      <c r="AP219" s="78">
        <f t="shared" ca="1" si="17"/>
        <v>0</v>
      </c>
      <c r="AQ219" s="68">
        <f ca="1">ROW(Cost_Elements[[#This Row],[Amount | Total]])</f>
        <v>219</v>
      </c>
    </row>
    <row r="220" spans="1:43">
      <c r="A220" s="240" t="s">
        <v>165</v>
      </c>
      <c r="B220" s="275"/>
      <c r="C220" s="277"/>
      <c r="D220" s="318"/>
      <c r="E220" s="318"/>
      <c r="F220" s="318"/>
      <c r="G220" s="318"/>
      <c r="H220" s="121" t="str">
        <f ca="1">IFERROR(INDEX(Labor_Categories[Minimum Direct Labor Rates],MATCH(Cost_Elements[[#This Row],[Government Labor Category]],Labor_Categories[Labor Categories],0)),"")</f>
        <v/>
      </c>
      <c r="I220" s="79"/>
      <c r="J220" s="74"/>
      <c r="K220" s="75">
        <f ca="1">IFERROR(IF(Cost_Elements[[#This Row],[Row]]&gt;='Do Not Use or Delete'!$L$2, IF(Cost_Elements[[#This Row],[Row]]&lt;='Do Not Use or Delete'!$M$2,I220*J220,0),0)+IF(Cost_Elements[[#This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0" s="63"/>
      <c r="M220" s="63"/>
      <c r="N220" s="73"/>
      <c r="O220" s="74"/>
      <c r="P220" s="75">
        <f ca="1">IFERROR(IF(Cost_Elements[[#This Row],[Row]]&gt;='Do Not Use or Delete'!$L$2, IF(Cost_Elements[[#This Row],[Row]]&lt;='Do Not Use or Delete'!$M$2,N220*O220,0),0)+IF(Cost_Elements[[#This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0" s="63"/>
      <c r="R220" s="63"/>
      <c r="S220" s="73"/>
      <c r="T220" s="74"/>
      <c r="U220" s="75">
        <f ca="1">IFERROR(IF(Cost_Elements[[#This Row],[Row]]&gt;='Do Not Use or Delete'!$L$2, IF(Cost_Elements[[#This Row],[Row]]&lt;='Do Not Use or Delete'!$M$2,S220*T220,0),0)+IF(Cost_Elements[[#This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0" s="63"/>
      <c r="W220" s="63"/>
      <c r="X220" s="79"/>
      <c r="Y220" s="74"/>
      <c r="Z220" s="75">
        <f ca="1">IFERROR(IF(Cost_Elements[[#This Row],[Row]]&gt;='Do Not Use or Delete'!$L$2, IF(Cost_Elements[[#This Row],[Row]]&lt;='Do Not Use or Delete'!$M$2,X220*Y220,0),0)+IF(Cost_Elements[[#This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0" s="63"/>
      <c r="AB220" s="63"/>
      <c r="AC220" s="73"/>
      <c r="AD220" s="74"/>
      <c r="AE220" s="75">
        <f ca="1">IFERROR(IF(Cost_Elements[[#This Row],[Row]]&gt;='Do Not Use or Delete'!$L$2, IF(Cost_Elements[[#This Row],[Row]]&lt;='Do Not Use or Delete'!$M$2,AC220*AD220,0),0)+IF(Cost_Elements[[#This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0" s="64"/>
      <c r="AG220" s="65"/>
      <c r="AH220" s="73"/>
      <c r="AI220" s="74"/>
      <c r="AJ220" s="458"/>
      <c r="AK220" s="458"/>
      <c r="AL220" s="75">
        <f ca="1">IFERROR(IF(Cost_Elements[[#This Row],[Row]]&gt;='Do Not Use or Delete'!$L$2, IF(Cost_Elements[[#This Row],[Row]]&lt;='Do Not Use or Delete'!$M$2,AH220*AI220,0),0)+IF(Cost_Elements[[#This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0" s="64"/>
      <c r="AN220" s="65"/>
      <c r="AO220" s="125">
        <f t="shared" si="16"/>
        <v>0</v>
      </c>
      <c r="AP220" s="78">
        <f t="shared" ca="1" si="17"/>
        <v>0</v>
      </c>
      <c r="AQ220" s="68">
        <f ca="1">ROW(Cost_Elements[[#This Row],[Amount | Total]])</f>
        <v>220</v>
      </c>
    </row>
    <row r="221" spans="1:43">
      <c r="A221" s="240" t="s">
        <v>165</v>
      </c>
      <c r="B221" s="275"/>
      <c r="C221" s="277"/>
      <c r="D221" s="318"/>
      <c r="E221" s="318"/>
      <c r="F221" s="318"/>
      <c r="G221" s="318"/>
      <c r="H221" s="121" t="str">
        <f ca="1">IFERROR(INDEX(Labor_Categories[Minimum Direct Labor Rates],MATCH(Cost_Elements[[#This Row],[Government Labor Category]],Labor_Categories[Labor Categories],0)),"")</f>
        <v/>
      </c>
      <c r="I221" s="79"/>
      <c r="J221" s="74"/>
      <c r="K221" s="75">
        <f ca="1">IFERROR(IF(Cost_Elements[[#This Row],[Row]]&gt;='Do Not Use or Delete'!$L$2, IF(Cost_Elements[[#This Row],[Row]]&lt;='Do Not Use or Delete'!$M$2,I221*J221,0),0)+IF(Cost_Elements[[#This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1" s="63"/>
      <c r="M221" s="63"/>
      <c r="N221" s="73"/>
      <c r="O221" s="74"/>
      <c r="P221" s="75">
        <f ca="1">IFERROR(IF(Cost_Elements[[#This Row],[Row]]&gt;='Do Not Use or Delete'!$L$2, IF(Cost_Elements[[#This Row],[Row]]&lt;='Do Not Use or Delete'!$M$2,N221*O221,0),0)+IF(Cost_Elements[[#This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1" s="63"/>
      <c r="R221" s="63"/>
      <c r="S221" s="79"/>
      <c r="T221" s="74"/>
      <c r="U221" s="75">
        <f ca="1">IFERROR(IF(Cost_Elements[[#This Row],[Row]]&gt;='Do Not Use or Delete'!$L$2, IF(Cost_Elements[[#This Row],[Row]]&lt;='Do Not Use or Delete'!$M$2,S221*T221,0),0)+IF(Cost_Elements[[#This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1" s="63"/>
      <c r="W221" s="63"/>
      <c r="X221" s="79"/>
      <c r="Y221" s="74"/>
      <c r="Z221" s="75">
        <f ca="1">IFERROR(IF(Cost_Elements[[#This Row],[Row]]&gt;='Do Not Use or Delete'!$L$2, IF(Cost_Elements[[#This Row],[Row]]&lt;='Do Not Use or Delete'!$M$2,X221*Y221,0),0)+IF(Cost_Elements[[#This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1" s="63"/>
      <c r="AB221" s="63"/>
      <c r="AC221" s="73"/>
      <c r="AD221" s="74"/>
      <c r="AE221" s="75">
        <f ca="1">IFERROR(IF(Cost_Elements[[#This Row],[Row]]&gt;='Do Not Use or Delete'!$L$2, IF(Cost_Elements[[#This Row],[Row]]&lt;='Do Not Use or Delete'!$M$2,AC221*AD221,0),0)+IF(Cost_Elements[[#This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1" s="64"/>
      <c r="AG221" s="65"/>
      <c r="AH221" s="73"/>
      <c r="AI221" s="74"/>
      <c r="AJ221" s="458"/>
      <c r="AK221" s="458"/>
      <c r="AL221" s="75">
        <f ca="1">IFERROR(IF(Cost_Elements[[#This Row],[Row]]&gt;='Do Not Use or Delete'!$L$2, IF(Cost_Elements[[#This Row],[Row]]&lt;='Do Not Use or Delete'!$M$2,AH221*AI221,0),0)+IF(Cost_Elements[[#This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1" s="64"/>
      <c r="AN221" s="65"/>
      <c r="AO221" s="125">
        <f t="shared" si="16"/>
        <v>0</v>
      </c>
      <c r="AP221" s="78">
        <f t="shared" ca="1" si="17"/>
        <v>0</v>
      </c>
      <c r="AQ221" s="68">
        <f ca="1">ROW(Cost_Elements[[#This Row],[Amount | Total]])</f>
        <v>221</v>
      </c>
    </row>
    <row r="222" spans="1:43">
      <c r="A222" s="240" t="s">
        <v>165</v>
      </c>
      <c r="B222" s="275"/>
      <c r="C222" s="277"/>
      <c r="D222" s="318"/>
      <c r="E222" s="318"/>
      <c r="F222" s="318"/>
      <c r="G222" s="318"/>
      <c r="H222" s="121" t="str">
        <f ca="1">IFERROR(INDEX(Labor_Categories[Minimum Direct Labor Rates],MATCH(Cost_Elements[[#This Row],[Government Labor Category]],Labor_Categories[Labor Categories],0)),"")</f>
        <v/>
      </c>
      <c r="I222" s="79"/>
      <c r="J222" s="74"/>
      <c r="K222" s="75">
        <f ca="1">IFERROR(IF(Cost_Elements[[#This Row],[Row]]&gt;='Do Not Use or Delete'!$L$2, IF(Cost_Elements[[#This Row],[Row]]&lt;='Do Not Use or Delete'!$M$2,I222*J222,0),0)+IF(Cost_Elements[[#This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2" s="63"/>
      <c r="M222" s="63"/>
      <c r="N222" s="73"/>
      <c r="O222" s="74"/>
      <c r="P222" s="75">
        <f ca="1">IFERROR(IF(Cost_Elements[[#This Row],[Row]]&gt;='Do Not Use or Delete'!$L$2, IF(Cost_Elements[[#This Row],[Row]]&lt;='Do Not Use or Delete'!$M$2,N222*O222,0),0)+IF(Cost_Elements[[#This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2" s="63"/>
      <c r="R222" s="63"/>
      <c r="S222" s="79"/>
      <c r="T222" s="74"/>
      <c r="U222" s="75">
        <f ca="1">IFERROR(IF(Cost_Elements[[#This Row],[Row]]&gt;='Do Not Use or Delete'!$L$2, IF(Cost_Elements[[#This Row],[Row]]&lt;='Do Not Use or Delete'!$M$2,S222*T222,0),0)+IF(Cost_Elements[[#This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2" s="63"/>
      <c r="W222" s="63"/>
      <c r="X222" s="79"/>
      <c r="Y222" s="74"/>
      <c r="Z222" s="75">
        <f ca="1">IFERROR(IF(Cost_Elements[[#This Row],[Row]]&gt;='Do Not Use or Delete'!$L$2, IF(Cost_Elements[[#This Row],[Row]]&lt;='Do Not Use or Delete'!$M$2,X222*Y222,0),0)+IF(Cost_Elements[[#This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2" s="63"/>
      <c r="AB222" s="63"/>
      <c r="AC222" s="73"/>
      <c r="AD222" s="74"/>
      <c r="AE222" s="75">
        <f ca="1">IFERROR(IF(Cost_Elements[[#This Row],[Row]]&gt;='Do Not Use or Delete'!$L$2, IF(Cost_Elements[[#This Row],[Row]]&lt;='Do Not Use or Delete'!$M$2,AC222*AD222,0),0)+IF(Cost_Elements[[#This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2" s="64"/>
      <c r="AG222" s="65"/>
      <c r="AH222" s="73"/>
      <c r="AI222" s="74"/>
      <c r="AJ222" s="458"/>
      <c r="AK222" s="458"/>
      <c r="AL222" s="75">
        <f ca="1">IFERROR(IF(Cost_Elements[[#This Row],[Row]]&gt;='Do Not Use or Delete'!$L$2, IF(Cost_Elements[[#This Row],[Row]]&lt;='Do Not Use or Delete'!$M$2,AH222*AI222,0),0)+IF(Cost_Elements[[#This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2" s="64"/>
      <c r="AN222" s="65"/>
      <c r="AO222" s="125">
        <f t="shared" si="16"/>
        <v>0</v>
      </c>
      <c r="AP222" s="78">
        <f t="shared" ca="1" si="17"/>
        <v>0</v>
      </c>
      <c r="AQ222" s="68">
        <f ca="1">ROW(Cost_Elements[[#This Row],[Amount | Total]])</f>
        <v>222</v>
      </c>
    </row>
    <row r="223" spans="1:43">
      <c r="A223" s="240" t="s">
        <v>165</v>
      </c>
      <c r="B223" s="275"/>
      <c r="C223" s="277"/>
      <c r="D223" s="318"/>
      <c r="E223" s="318"/>
      <c r="F223" s="318"/>
      <c r="G223" s="318"/>
      <c r="H223" s="121" t="str">
        <f ca="1">IFERROR(INDEX(Labor_Categories[Minimum Direct Labor Rates],MATCH(Cost_Elements[[#This Row],[Government Labor Category]],Labor_Categories[Labor Categories],0)),"")</f>
        <v/>
      </c>
      <c r="I223" s="79"/>
      <c r="J223" s="74"/>
      <c r="K223" s="75">
        <f ca="1">IFERROR(IF(Cost_Elements[[#This Row],[Row]]&gt;='Do Not Use or Delete'!$L$2, IF(Cost_Elements[[#This Row],[Row]]&lt;='Do Not Use or Delete'!$M$2,I223*J223,0),0)+IF(Cost_Elements[[#This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3" s="63"/>
      <c r="M223" s="63"/>
      <c r="N223" s="73"/>
      <c r="O223" s="74"/>
      <c r="P223" s="75">
        <f ca="1">IFERROR(IF(Cost_Elements[[#This Row],[Row]]&gt;='Do Not Use or Delete'!$L$2, IF(Cost_Elements[[#This Row],[Row]]&lt;='Do Not Use or Delete'!$M$2,N223*O223,0),0)+IF(Cost_Elements[[#This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3" s="63"/>
      <c r="R223" s="63"/>
      <c r="S223" s="79"/>
      <c r="T223" s="74"/>
      <c r="U223" s="75">
        <f ca="1">IFERROR(IF(Cost_Elements[[#This Row],[Row]]&gt;='Do Not Use or Delete'!$L$2, IF(Cost_Elements[[#This Row],[Row]]&lt;='Do Not Use or Delete'!$M$2,S223*T223,0),0)+IF(Cost_Elements[[#This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3" s="63"/>
      <c r="W223" s="63"/>
      <c r="X223" s="79"/>
      <c r="Y223" s="74"/>
      <c r="Z223" s="75">
        <f ca="1">IFERROR(IF(Cost_Elements[[#This Row],[Row]]&gt;='Do Not Use or Delete'!$L$2, IF(Cost_Elements[[#This Row],[Row]]&lt;='Do Not Use or Delete'!$M$2,X223*Y223,0),0)+IF(Cost_Elements[[#This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3" s="63"/>
      <c r="AB223" s="63"/>
      <c r="AC223" s="73"/>
      <c r="AD223" s="74"/>
      <c r="AE223" s="75">
        <f ca="1">IFERROR(IF(Cost_Elements[[#This Row],[Row]]&gt;='Do Not Use or Delete'!$L$2, IF(Cost_Elements[[#This Row],[Row]]&lt;='Do Not Use or Delete'!$M$2,AC223*AD223,0),0)+IF(Cost_Elements[[#This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3" s="64"/>
      <c r="AG223" s="65"/>
      <c r="AH223" s="73"/>
      <c r="AI223" s="74"/>
      <c r="AJ223" s="458"/>
      <c r="AK223" s="458"/>
      <c r="AL223" s="75">
        <f ca="1">IFERROR(IF(Cost_Elements[[#This Row],[Row]]&gt;='Do Not Use or Delete'!$L$2, IF(Cost_Elements[[#This Row],[Row]]&lt;='Do Not Use or Delete'!$M$2,AH223*AI223,0),0)+IF(Cost_Elements[[#This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3" s="64"/>
      <c r="AN223" s="65"/>
      <c r="AO223" s="125">
        <f t="shared" si="16"/>
        <v>0</v>
      </c>
      <c r="AP223" s="78">
        <f t="shared" ca="1" si="17"/>
        <v>0</v>
      </c>
      <c r="AQ223" s="68">
        <f ca="1">ROW(Cost_Elements[[#This Row],[Amount | Total]])</f>
        <v>223</v>
      </c>
    </row>
    <row r="224" spans="1:43">
      <c r="A224" s="240" t="s">
        <v>165</v>
      </c>
      <c r="B224" s="275"/>
      <c r="C224" s="277"/>
      <c r="D224" s="318"/>
      <c r="E224" s="318"/>
      <c r="F224" s="318"/>
      <c r="G224" s="318"/>
      <c r="H224" s="121" t="str">
        <f ca="1">IFERROR(INDEX(Labor_Categories[Minimum Direct Labor Rates],MATCH(Cost_Elements[[#This Row],[Government Labor Category]],Labor_Categories[Labor Categories],0)),"")</f>
        <v/>
      </c>
      <c r="I224" s="79"/>
      <c r="J224" s="74"/>
      <c r="K224" s="75">
        <f ca="1">IFERROR(IF(Cost_Elements[[#This Row],[Row]]&gt;='Do Not Use or Delete'!$L$2, IF(Cost_Elements[[#This Row],[Row]]&lt;='Do Not Use or Delete'!$M$2,I224*J224,0),0)+IF(Cost_Elements[[#This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4" s="63"/>
      <c r="M224" s="63"/>
      <c r="N224" s="73"/>
      <c r="O224" s="74"/>
      <c r="P224" s="75">
        <f ca="1">IFERROR(IF(Cost_Elements[[#This Row],[Row]]&gt;='Do Not Use or Delete'!$L$2, IF(Cost_Elements[[#This Row],[Row]]&lt;='Do Not Use or Delete'!$M$2,N224*O224,0),0)+IF(Cost_Elements[[#This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4" s="63"/>
      <c r="R224" s="63"/>
      <c r="S224" s="79"/>
      <c r="T224" s="74"/>
      <c r="U224" s="75">
        <f ca="1">IFERROR(IF(Cost_Elements[[#This Row],[Row]]&gt;='Do Not Use or Delete'!$L$2, IF(Cost_Elements[[#This Row],[Row]]&lt;='Do Not Use or Delete'!$M$2,S224*T224,0),0)+IF(Cost_Elements[[#This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4" s="63"/>
      <c r="W224" s="63"/>
      <c r="X224" s="79"/>
      <c r="Y224" s="74"/>
      <c r="Z224" s="75">
        <f ca="1">IFERROR(IF(Cost_Elements[[#This Row],[Row]]&gt;='Do Not Use or Delete'!$L$2, IF(Cost_Elements[[#This Row],[Row]]&lt;='Do Not Use or Delete'!$M$2,X224*Y224,0),0)+IF(Cost_Elements[[#This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4" s="63"/>
      <c r="AB224" s="63"/>
      <c r="AC224" s="73"/>
      <c r="AD224" s="74"/>
      <c r="AE224" s="75">
        <f ca="1">IFERROR(IF(Cost_Elements[[#This Row],[Row]]&gt;='Do Not Use or Delete'!$L$2, IF(Cost_Elements[[#This Row],[Row]]&lt;='Do Not Use or Delete'!$M$2,AC224*AD224,0),0)+IF(Cost_Elements[[#This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4" s="64"/>
      <c r="AG224" s="65"/>
      <c r="AH224" s="73"/>
      <c r="AI224" s="74"/>
      <c r="AJ224" s="458"/>
      <c r="AK224" s="458"/>
      <c r="AL224" s="75">
        <f ca="1">IFERROR(IF(Cost_Elements[[#This Row],[Row]]&gt;='Do Not Use or Delete'!$L$2, IF(Cost_Elements[[#This Row],[Row]]&lt;='Do Not Use or Delete'!$M$2,AH224*AI224,0),0)+IF(Cost_Elements[[#This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4" s="64"/>
      <c r="AN224" s="65"/>
      <c r="AO224" s="125">
        <f t="shared" si="16"/>
        <v>0</v>
      </c>
      <c r="AP224" s="78">
        <f t="shared" ca="1" si="17"/>
        <v>0</v>
      </c>
      <c r="AQ224" s="68">
        <f ca="1">ROW(Cost_Elements[[#This Row],[Amount | Total]])</f>
        <v>224</v>
      </c>
    </row>
    <row r="225" spans="1:43">
      <c r="A225" s="257"/>
      <c r="B225" s="276"/>
      <c r="C225" s="277"/>
      <c r="D225" s="318"/>
      <c r="E225" s="318"/>
      <c r="F225" s="318"/>
      <c r="G225" s="318"/>
      <c r="H225" s="121" t="str">
        <f ca="1">IFERROR(INDEX(Labor_Categories[Minimum Direct Labor Rates],MATCH(Cost_Elements[[#This Row],[Government Labor Category]],Labor_Categories[Labor Categories],0)),"")</f>
        <v/>
      </c>
      <c r="I225" s="79"/>
      <c r="J225" s="74"/>
      <c r="K225" s="75">
        <f ca="1">IFERROR(IF(Cost_Elements[[#This Row],[Row]]&gt;='Do Not Use or Delete'!$L$2, IF(Cost_Elements[[#This Row],[Row]]&lt;='Do Not Use or Delete'!$M$2,I225*J225,0),0)+IF(Cost_Elements[[#This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5" s="63"/>
      <c r="M225" s="63"/>
      <c r="N225" s="73"/>
      <c r="O225" s="74"/>
      <c r="P225" s="75">
        <f ca="1">IFERROR(IF(Cost_Elements[[#This Row],[Row]]&gt;='Do Not Use or Delete'!$L$2, IF(Cost_Elements[[#This Row],[Row]]&lt;='Do Not Use or Delete'!$M$2,N225*O225,0),0)+IF(Cost_Elements[[#This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5" s="63"/>
      <c r="R225" s="63"/>
      <c r="S225" s="79"/>
      <c r="T225" s="74"/>
      <c r="U225" s="75">
        <f ca="1">IFERROR(IF(Cost_Elements[[#This Row],[Row]]&gt;='Do Not Use or Delete'!$L$2, IF(Cost_Elements[[#This Row],[Row]]&lt;='Do Not Use or Delete'!$M$2,S225*T225,0),0)+IF(Cost_Elements[[#This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5" s="63"/>
      <c r="W225" s="63"/>
      <c r="X225" s="79"/>
      <c r="Y225" s="74"/>
      <c r="Z225" s="75">
        <f ca="1">IFERROR(IF(Cost_Elements[[#This Row],[Row]]&gt;='Do Not Use or Delete'!$L$2, IF(Cost_Elements[[#This Row],[Row]]&lt;='Do Not Use or Delete'!$M$2,X225*Y225,0),0)+IF(Cost_Elements[[#This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5" s="63"/>
      <c r="AB225" s="63"/>
      <c r="AC225" s="73"/>
      <c r="AD225" s="74"/>
      <c r="AE225" s="75">
        <f ca="1">IFERROR(IF(Cost_Elements[[#This Row],[Row]]&gt;='Do Not Use or Delete'!$L$2, IF(Cost_Elements[[#This Row],[Row]]&lt;='Do Not Use or Delete'!$M$2,AC225*AD225,0),0)+IF(Cost_Elements[[#This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5" s="64"/>
      <c r="AG225" s="65"/>
      <c r="AH225" s="73"/>
      <c r="AI225" s="74"/>
      <c r="AJ225" s="458"/>
      <c r="AK225" s="458"/>
      <c r="AL225" s="75">
        <f ca="1">IFERROR(IF(Cost_Elements[[#This Row],[Row]]&gt;='Do Not Use or Delete'!$L$2, IF(Cost_Elements[[#This Row],[Row]]&lt;='Do Not Use or Delete'!$M$2,AH225*AI225,0),0)+IF(Cost_Elements[[#This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5" s="64"/>
      <c r="AN225" s="65"/>
      <c r="AO225" s="125">
        <f t="shared" si="16"/>
        <v>0</v>
      </c>
      <c r="AP225" s="78">
        <f t="shared" ca="1" si="17"/>
        <v>0</v>
      </c>
      <c r="AQ225" s="68">
        <f ca="1">ROW(Cost_Elements[[#This Row],[Amount | Total]])</f>
        <v>225</v>
      </c>
    </row>
    <row r="226" spans="1:43">
      <c r="A226" s="239" t="s">
        <v>190</v>
      </c>
      <c r="B226" s="70"/>
      <c r="C226" s="69"/>
      <c r="D226" s="61"/>
      <c r="E226" s="61"/>
      <c r="F226" s="61"/>
      <c r="G226" s="61"/>
      <c r="H226" s="59" t="str">
        <f ca="1">IFERROR(INDEX(Labor_Categories[Minimum Direct Labor Rates],MATCH(Cost_Elements[[#This Row],[Government Labor Category]],Labor_Categories[Labor Categories],0)),"")</f>
        <v/>
      </c>
      <c r="I226" s="11"/>
      <c r="J226" s="119">
        <f ca="1">SUM(J227:J240)</f>
        <v>0</v>
      </c>
      <c r="K226" s="120">
        <f ca="1">SUM(K227:K240)</f>
        <v>0</v>
      </c>
      <c r="L226" s="248"/>
      <c r="M226" s="248"/>
      <c r="N226" s="124"/>
      <c r="O226" s="119">
        <f ca="1">SUM(O227:O240)</f>
        <v>0</v>
      </c>
      <c r="P226" s="120">
        <f ca="1">SUM(P227:P240)</f>
        <v>0</v>
      </c>
      <c r="Q226" s="248"/>
      <c r="R226" s="248"/>
      <c r="S226" s="11">
        <f ca="1">(Cost_Elements[[#This Row],[Rate | 2]]*$T$4)+Cost_Elements[[#This Row],[Rate | 2]]</f>
        <v>0</v>
      </c>
      <c r="T226" s="119">
        <f ca="1">SUM(T227:T240)</f>
        <v>0</v>
      </c>
      <c r="U226" s="120">
        <f ca="1">SUM(U227:U240)</f>
        <v>0</v>
      </c>
      <c r="V226" s="248"/>
      <c r="W226" s="248"/>
      <c r="X226" s="11">
        <f ca="1">(Cost_Elements[[#This Row],[Rate | 3]]*$Y$4)+Cost_Elements[[#This Row],[Rate | 3]]</f>
        <v>0</v>
      </c>
      <c r="Y226" s="119">
        <f ca="1">SUM(Y227:Y240)</f>
        <v>0</v>
      </c>
      <c r="Z226" s="120">
        <f ca="1">SUM(Z227:Z240)</f>
        <v>0</v>
      </c>
      <c r="AA226" s="248"/>
      <c r="AB226" s="248"/>
      <c r="AC226" s="11">
        <f ca="1">(Cost_Elements[[#This Row],[Rate | 4]]*$AD$4)+Cost_Elements[[#This Row],[Rate | 4]]</f>
        <v>0</v>
      </c>
      <c r="AD226" s="119">
        <f ca="1">SUM(AD227:AD240)</f>
        <v>0</v>
      </c>
      <c r="AE226" s="120">
        <f ca="1">SUM(AE227:AE240)</f>
        <v>0</v>
      </c>
      <c r="AF226" s="102"/>
      <c r="AG226" s="91"/>
      <c r="AH226" s="11">
        <f ca="1">(Cost_Elements[[#This Row],[Rate | 4]]*$AD$4)+Cost_Elements[[#This Row],[Rate | 4]]</f>
        <v>0</v>
      </c>
      <c r="AI226" s="119">
        <f ca="1">SUM(AI227:AI240)</f>
        <v>0</v>
      </c>
      <c r="AJ226" s="119"/>
      <c r="AK226" s="119"/>
      <c r="AL226" s="75">
        <f ca="1">SUM(AL227:AL240)</f>
        <v>0</v>
      </c>
      <c r="AM226" s="102"/>
      <c r="AN226" s="91"/>
      <c r="AO226" s="119">
        <f>SUM(AO227:AO240)</f>
        <v>0</v>
      </c>
      <c r="AP226" s="87">
        <f ca="1">SUM(AP227:AP240)</f>
        <v>0</v>
      </c>
      <c r="AQ226" s="68">
        <f ca="1">ROW(Cost_Elements[[#This Row],[Amount | Total]])</f>
        <v>226</v>
      </c>
    </row>
    <row r="227" spans="1:43">
      <c r="A227" s="240" t="s">
        <v>165</v>
      </c>
      <c r="B227" s="275"/>
      <c r="C227" s="277"/>
      <c r="D227" s="318"/>
      <c r="E227" s="318"/>
      <c r="F227" s="318"/>
      <c r="G227" s="318"/>
      <c r="H227" s="121" t="str">
        <f ca="1">IFERROR(INDEX(Labor_Categories[Minimum Direct Labor Rates],MATCH(Cost_Elements[[#This Row],[Government Labor Category]],Labor_Categories[Labor Categories],0)),"")</f>
        <v/>
      </c>
      <c r="I227" s="73"/>
      <c r="J227" s="74"/>
      <c r="K227" s="75">
        <f ca="1">IFERROR(IF(Cost_Elements[[#This Row],[Row]]&gt;='Do Not Use or Delete'!$L$2, IF(Cost_Elements[[#This Row],[Row]]&lt;='Do Not Use or Delete'!$M$2,I227*J227,0),0)+IF(Cost_Elements[[#This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7" s="63"/>
      <c r="M227" s="63"/>
      <c r="N227" s="73"/>
      <c r="O227" s="74"/>
      <c r="P227" s="75">
        <f ca="1">IFERROR(IF(Cost_Elements[[#This Row],[Row]]&gt;='Do Not Use or Delete'!$L$2, IF(Cost_Elements[[#This Row],[Row]]&lt;='Do Not Use or Delete'!$M$2,N227*O227,0),0)+IF(Cost_Elements[[#This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7" s="63"/>
      <c r="R227" s="63"/>
      <c r="S227" s="79"/>
      <c r="T227" s="74"/>
      <c r="U227" s="75">
        <f ca="1">IFERROR(IF(Cost_Elements[[#This Row],[Row]]&gt;='Do Not Use or Delete'!$L$2, IF(Cost_Elements[[#This Row],[Row]]&lt;='Do Not Use or Delete'!$M$2,S227*T227,0),0)+IF(Cost_Elements[[#This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7" s="63"/>
      <c r="W227" s="63"/>
      <c r="X227" s="79"/>
      <c r="Y227" s="74"/>
      <c r="Z227" s="75">
        <f ca="1">IFERROR(IF(Cost_Elements[[#This Row],[Row]]&gt;='Do Not Use or Delete'!$L$2, IF(Cost_Elements[[#This Row],[Row]]&lt;='Do Not Use or Delete'!$M$2,X227*Y227,0),0)+IF(Cost_Elements[[#This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7" s="63"/>
      <c r="AB227" s="63"/>
      <c r="AC227" s="79"/>
      <c r="AD227" s="74"/>
      <c r="AE227" s="75">
        <f ca="1">IFERROR(IF(Cost_Elements[[#This Row],[Row]]&gt;='Do Not Use or Delete'!$L$2, IF(Cost_Elements[[#This Row],[Row]]&lt;='Do Not Use or Delete'!$M$2,AC227*AD227,0),0)+IF(Cost_Elements[[#This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7" s="64"/>
      <c r="AG227" s="65"/>
      <c r="AH227" s="79"/>
      <c r="AI227" s="74"/>
      <c r="AJ227" s="458"/>
      <c r="AK227" s="458"/>
      <c r="AL227" s="75">
        <f ca="1">IFERROR(IF(Cost_Elements[[#This Row],[Row]]&gt;='Do Not Use or Delete'!$L$2, IF(Cost_Elements[[#This Row],[Row]]&lt;='Do Not Use or Delete'!$M$2,AH227*AI227,0),0)+IF(Cost_Elements[[#This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7" s="64"/>
      <c r="AN227" s="65"/>
      <c r="AO227" s="125">
        <f>J227+T227+AD227+O227+Y227+AI227</f>
        <v>0</v>
      </c>
      <c r="AP227" s="78">
        <f ca="1">K227+U227+AE227+P227+Z227+AL227</f>
        <v>0</v>
      </c>
      <c r="AQ227" s="68">
        <f ca="1">ROW(Cost_Elements[[#This Row],[Amount | Total]])</f>
        <v>227</v>
      </c>
    </row>
    <row r="228" spans="1:43">
      <c r="A228" s="240" t="s">
        <v>165</v>
      </c>
      <c r="B228" s="275"/>
      <c r="C228" s="277"/>
      <c r="D228" s="318"/>
      <c r="E228" s="318"/>
      <c r="F228" s="318"/>
      <c r="G228" s="318"/>
      <c r="H228" s="121" t="str">
        <f ca="1">IFERROR(INDEX(Labor_Categories[Minimum Direct Labor Rates],MATCH(Cost_Elements[[#This Row],[Government Labor Category]],Labor_Categories[Labor Categories],0)),"")</f>
        <v/>
      </c>
      <c r="I228" s="73"/>
      <c r="J228" s="74"/>
      <c r="K228" s="75">
        <f ca="1">IFERROR(IF(Cost_Elements[[#This Row],[Row]]&gt;='Do Not Use or Delete'!$L$2, IF(Cost_Elements[[#This Row],[Row]]&lt;='Do Not Use or Delete'!$M$2,I228*J228,0),0)+IF(Cost_Elements[[#This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8" s="63"/>
      <c r="M228" s="63"/>
      <c r="N228" s="73"/>
      <c r="O228" s="74"/>
      <c r="P228" s="75">
        <f ca="1">IFERROR(IF(Cost_Elements[[#This Row],[Row]]&gt;='Do Not Use or Delete'!$L$2, IF(Cost_Elements[[#This Row],[Row]]&lt;='Do Not Use or Delete'!$M$2,N228*O228,0),0)+IF(Cost_Elements[[#This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8" s="63"/>
      <c r="R228" s="63"/>
      <c r="S228" s="79"/>
      <c r="T228" s="74"/>
      <c r="U228" s="75">
        <f ca="1">IFERROR(IF(Cost_Elements[[#This Row],[Row]]&gt;='Do Not Use or Delete'!$L$2, IF(Cost_Elements[[#This Row],[Row]]&lt;='Do Not Use or Delete'!$M$2,S228*T228,0),0)+IF(Cost_Elements[[#This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8" s="63"/>
      <c r="W228" s="63"/>
      <c r="X228" s="79"/>
      <c r="Y228" s="74"/>
      <c r="Z228" s="75">
        <f ca="1">IFERROR(IF(Cost_Elements[[#This Row],[Row]]&gt;='Do Not Use or Delete'!$L$2, IF(Cost_Elements[[#This Row],[Row]]&lt;='Do Not Use or Delete'!$M$2,X228*Y228,0),0)+IF(Cost_Elements[[#This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8" s="63"/>
      <c r="AB228" s="63"/>
      <c r="AC228" s="79"/>
      <c r="AD228" s="74"/>
      <c r="AE228" s="75">
        <f ca="1">IFERROR(IF(Cost_Elements[[#This Row],[Row]]&gt;='Do Not Use or Delete'!$L$2, IF(Cost_Elements[[#This Row],[Row]]&lt;='Do Not Use or Delete'!$M$2,AC228*AD228,0),0)+IF(Cost_Elements[[#This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8" s="64"/>
      <c r="AG228" s="65"/>
      <c r="AH228" s="79"/>
      <c r="AI228" s="74"/>
      <c r="AJ228" s="458"/>
      <c r="AK228" s="458"/>
      <c r="AL228" s="75">
        <f ca="1">IFERROR(IF(Cost_Elements[[#This Row],[Row]]&gt;='Do Not Use or Delete'!$L$2, IF(Cost_Elements[[#This Row],[Row]]&lt;='Do Not Use or Delete'!$M$2,AH228*AI228,0),0)+IF(Cost_Elements[[#This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8" s="64"/>
      <c r="AN228" s="65"/>
      <c r="AO228" s="125">
        <f t="shared" ref="AO228:AO240" si="18">J228+T228+AD228+O228+Y228+AI228</f>
        <v>0</v>
      </c>
      <c r="AP228" s="78">
        <f t="shared" ref="AP228:AP240" ca="1" si="19">K228+U228+AE228+P228+Z228+AL228</f>
        <v>0</v>
      </c>
      <c r="AQ228" s="68">
        <f ca="1">ROW(Cost_Elements[[#This Row],[Amount | Total]])</f>
        <v>228</v>
      </c>
    </row>
    <row r="229" spans="1:43">
      <c r="A229" s="240" t="s">
        <v>165</v>
      </c>
      <c r="B229" s="275"/>
      <c r="C229" s="277"/>
      <c r="D229" s="318"/>
      <c r="E229" s="318"/>
      <c r="F229" s="318"/>
      <c r="G229" s="318"/>
      <c r="H229" s="121" t="str">
        <f ca="1">IFERROR(INDEX(Labor_Categories[Minimum Direct Labor Rates],MATCH(Cost_Elements[[#This Row],[Government Labor Category]],Labor_Categories[Labor Categories],0)),"")</f>
        <v/>
      </c>
      <c r="I229" s="73"/>
      <c r="J229" s="74"/>
      <c r="K229" s="75">
        <f ca="1">IFERROR(IF(Cost_Elements[[#This Row],[Row]]&gt;='Do Not Use or Delete'!$L$2, IF(Cost_Elements[[#This Row],[Row]]&lt;='Do Not Use or Delete'!$M$2,I229*J229,0),0)+IF(Cost_Elements[[#This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9" s="63"/>
      <c r="M229" s="63"/>
      <c r="N229" s="73"/>
      <c r="O229" s="74"/>
      <c r="P229" s="75">
        <f ca="1">IFERROR(IF(Cost_Elements[[#This Row],[Row]]&gt;='Do Not Use or Delete'!$L$2, IF(Cost_Elements[[#This Row],[Row]]&lt;='Do Not Use or Delete'!$M$2,N229*O229,0),0)+IF(Cost_Elements[[#This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9" s="63"/>
      <c r="R229" s="63"/>
      <c r="S229" s="79"/>
      <c r="T229" s="74"/>
      <c r="U229" s="75">
        <f ca="1">IFERROR(IF(Cost_Elements[[#This Row],[Row]]&gt;='Do Not Use or Delete'!$L$2, IF(Cost_Elements[[#This Row],[Row]]&lt;='Do Not Use or Delete'!$M$2,S229*T229,0),0)+IF(Cost_Elements[[#This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9" s="63"/>
      <c r="W229" s="63"/>
      <c r="X229" s="79"/>
      <c r="Y229" s="74"/>
      <c r="Z229" s="75">
        <f ca="1">IFERROR(IF(Cost_Elements[[#This Row],[Row]]&gt;='Do Not Use or Delete'!$L$2, IF(Cost_Elements[[#This Row],[Row]]&lt;='Do Not Use or Delete'!$M$2,X229*Y229,0),0)+IF(Cost_Elements[[#This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9" s="63"/>
      <c r="AB229" s="63"/>
      <c r="AC229" s="79"/>
      <c r="AD229" s="74"/>
      <c r="AE229" s="75">
        <f ca="1">IFERROR(IF(Cost_Elements[[#This Row],[Row]]&gt;='Do Not Use or Delete'!$L$2, IF(Cost_Elements[[#This Row],[Row]]&lt;='Do Not Use or Delete'!$M$2,AC229*AD229,0),0)+IF(Cost_Elements[[#This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9" s="64"/>
      <c r="AG229" s="65"/>
      <c r="AH229" s="79"/>
      <c r="AI229" s="74"/>
      <c r="AJ229" s="458"/>
      <c r="AK229" s="458"/>
      <c r="AL229" s="75">
        <f ca="1">IFERROR(IF(Cost_Elements[[#This Row],[Row]]&gt;='Do Not Use or Delete'!$L$2, IF(Cost_Elements[[#This Row],[Row]]&lt;='Do Not Use or Delete'!$M$2,AH229*AI229,0),0)+IF(Cost_Elements[[#This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9" s="64"/>
      <c r="AN229" s="65"/>
      <c r="AO229" s="125">
        <f t="shared" si="18"/>
        <v>0</v>
      </c>
      <c r="AP229" s="78">
        <f t="shared" ca="1" si="19"/>
        <v>0</v>
      </c>
      <c r="AQ229" s="68">
        <f ca="1">ROW(Cost_Elements[[#This Row],[Amount | Total]])</f>
        <v>229</v>
      </c>
    </row>
    <row r="230" spans="1:43">
      <c r="A230" s="240" t="s">
        <v>165</v>
      </c>
      <c r="B230" s="275"/>
      <c r="C230" s="277"/>
      <c r="D230" s="318"/>
      <c r="E230" s="318"/>
      <c r="F230" s="318"/>
      <c r="G230" s="318"/>
      <c r="H230" s="121" t="str">
        <f ca="1">IFERROR(INDEX(Labor_Categories[Minimum Direct Labor Rates],MATCH(Cost_Elements[[#This Row],[Government Labor Category]],Labor_Categories[Labor Categories],0)),"")</f>
        <v/>
      </c>
      <c r="I230" s="79"/>
      <c r="J230" s="74"/>
      <c r="K230" s="75">
        <f ca="1">IFERROR(IF(Cost_Elements[[#This Row],[Row]]&gt;='Do Not Use or Delete'!$L$2, IF(Cost_Elements[[#This Row],[Row]]&lt;='Do Not Use or Delete'!$M$2,I230*J230,0),0)+IF(Cost_Elements[[#This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0" s="63"/>
      <c r="M230" s="63"/>
      <c r="N230" s="79"/>
      <c r="O230" s="74"/>
      <c r="P230" s="75">
        <f ca="1">IFERROR(IF(Cost_Elements[[#This Row],[Row]]&gt;='Do Not Use or Delete'!$L$2, IF(Cost_Elements[[#This Row],[Row]]&lt;='Do Not Use or Delete'!$M$2,N230*O230,0),0)+IF(Cost_Elements[[#This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0" s="63"/>
      <c r="R230" s="63"/>
      <c r="S230" s="79"/>
      <c r="T230" s="74"/>
      <c r="U230" s="75">
        <f ca="1">IFERROR(IF(Cost_Elements[[#This Row],[Row]]&gt;='Do Not Use or Delete'!$L$2, IF(Cost_Elements[[#This Row],[Row]]&lt;='Do Not Use or Delete'!$M$2,S230*T230,0),0)+IF(Cost_Elements[[#This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0" s="63"/>
      <c r="W230" s="63"/>
      <c r="X230" s="79"/>
      <c r="Y230" s="74"/>
      <c r="Z230" s="75">
        <f ca="1">IFERROR(IF(Cost_Elements[[#This Row],[Row]]&gt;='Do Not Use or Delete'!$L$2, IF(Cost_Elements[[#This Row],[Row]]&lt;='Do Not Use or Delete'!$M$2,X230*Y230,0),0)+IF(Cost_Elements[[#This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0" s="63"/>
      <c r="AB230" s="63"/>
      <c r="AC230" s="79"/>
      <c r="AD230" s="74"/>
      <c r="AE230" s="75">
        <f ca="1">IFERROR(IF(Cost_Elements[[#This Row],[Row]]&gt;='Do Not Use or Delete'!$L$2, IF(Cost_Elements[[#This Row],[Row]]&lt;='Do Not Use or Delete'!$M$2,AC230*AD230,0),0)+IF(Cost_Elements[[#This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0" s="64"/>
      <c r="AG230" s="65"/>
      <c r="AH230" s="79"/>
      <c r="AI230" s="74"/>
      <c r="AJ230" s="458"/>
      <c r="AK230" s="458"/>
      <c r="AL230" s="75">
        <f ca="1">IFERROR(IF(Cost_Elements[[#This Row],[Row]]&gt;='Do Not Use or Delete'!$L$2, IF(Cost_Elements[[#This Row],[Row]]&lt;='Do Not Use or Delete'!$M$2,AH230*AI230,0),0)+IF(Cost_Elements[[#This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0" s="64"/>
      <c r="AN230" s="65"/>
      <c r="AO230" s="125">
        <f t="shared" si="18"/>
        <v>0</v>
      </c>
      <c r="AP230" s="78">
        <f t="shared" ca="1" si="19"/>
        <v>0</v>
      </c>
      <c r="AQ230" s="68">
        <f ca="1">ROW(Cost_Elements[[#This Row],[Amount | Total]])</f>
        <v>230</v>
      </c>
    </row>
    <row r="231" spans="1:43">
      <c r="A231" s="240" t="s">
        <v>165</v>
      </c>
      <c r="B231" s="275"/>
      <c r="C231" s="277"/>
      <c r="D231" s="318"/>
      <c r="E231" s="318"/>
      <c r="F231" s="318"/>
      <c r="G231" s="318"/>
      <c r="H231" s="121" t="str">
        <f ca="1">IFERROR(INDEX(Labor_Categories[Minimum Direct Labor Rates],MATCH(Cost_Elements[[#This Row],[Government Labor Category]],Labor_Categories[Labor Categories],0)),"")</f>
        <v/>
      </c>
      <c r="I231" s="79"/>
      <c r="J231" s="74"/>
      <c r="K231" s="75">
        <f ca="1">IFERROR(IF(Cost_Elements[[#This Row],[Row]]&gt;='Do Not Use or Delete'!$L$2, IF(Cost_Elements[[#This Row],[Row]]&lt;='Do Not Use or Delete'!$M$2,I231*J231,0),0)+IF(Cost_Elements[[#This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1" s="63"/>
      <c r="M231" s="63"/>
      <c r="N231" s="79"/>
      <c r="O231" s="74"/>
      <c r="P231" s="75">
        <f ca="1">IFERROR(IF(Cost_Elements[[#This Row],[Row]]&gt;='Do Not Use or Delete'!$L$2, IF(Cost_Elements[[#This Row],[Row]]&lt;='Do Not Use or Delete'!$M$2,N231*O231,0),0)+IF(Cost_Elements[[#This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1" s="63"/>
      <c r="R231" s="63"/>
      <c r="S231" s="79"/>
      <c r="T231" s="74"/>
      <c r="U231" s="75">
        <f ca="1">IFERROR(IF(Cost_Elements[[#This Row],[Row]]&gt;='Do Not Use or Delete'!$L$2, IF(Cost_Elements[[#This Row],[Row]]&lt;='Do Not Use or Delete'!$M$2,S231*T231,0),0)+IF(Cost_Elements[[#This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1" s="63"/>
      <c r="W231" s="63"/>
      <c r="X231" s="79"/>
      <c r="Y231" s="74"/>
      <c r="Z231" s="75">
        <f ca="1">IFERROR(IF(Cost_Elements[[#This Row],[Row]]&gt;='Do Not Use or Delete'!$L$2, IF(Cost_Elements[[#This Row],[Row]]&lt;='Do Not Use or Delete'!$M$2,X231*Y231,0),0)+IF(Cost_Elements[[#This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1" s="63"/>
      <c r="AB231" s="63"/>
      <c r="AC231" s="79"/>
      <c r="AD231" s="74"/>
      <c r="AE231" s="75">
        <f ca="1">IFERROR(IF(Cost_Elements[[#This Row],[Row]]&gt;='Do Not Use or Delete'!$L$2, IF(Cost_Elements[[#This Row],[Row]]&lt;='Do Not Use or Delete'!$M$2,AC231*AD231,0),0)+IF(Cost_Elements[[#This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1" s="64"/>
      <c r="AG231" s="65"/>
      <c r="AH231" s="79"/>
      <c r="AI231" s="74"/>
      <c r="AJ231" s="458"/>
      <c r="AK231" s="458"/>
      <c r="AL231" s="75">
        <f ca="1">IFERROR(IF(Cost_Elements[[#This Row],[Row]]&gt;='Do Not Use or Delete'!$L$2, IF(Cost_Elements[[#This Row],[Row]]&lt;='Do Not Use or Delete'!$M$2,AH231*AI231,0),0)+IF(Cost_Elements[[#This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1" s="64"/>
      <c r="AN231" s="65"/>
      <c r="AO231" s="125">
        <f t="shared" si="18"/>
        <v>0</v>
      </c>
      <c r="AP231" s="78">
        <f t="shared" ca="1" si="19"/>
        <v>0</v>
      </c>
      <c r="AQ231" s="68">
        <f ca="1">ROW(Cost_Elements[[#This Row],[Amount | Total]])</f>
        <v>231</v>
      </c>
    </row>
    <row r="232" spans="1:43">
      <c r="A232" s="240" t="s">
        <v>165</v>
      </c>
      <c r="B232" s="275"/>
      <c r="C232" s="277"/>
      <c r="D232" s="318"/>
      <c r="E232" s="318"/>
      <c r="F232" s="318"/>
      <c r="G232" s="318"/>
      <c r="H232" s="121" t="str">
        <f ca="1">IFERROR(INDEX(Labor_Categories[Minimum Direct Labor Rates],MATCH(Cost_Elements[[#This Row],[Government Labor Category]],Labor_Categories[Labor Categories],0)),"")</f>
        <v/>
      </c>
      <c r="I232" s="79"/>
      <c r="J232" s="74"/>
      <c r="K232" s="75">
        <f ca="1">IFERROR(IF(Cost_Elements[[#This Row],[Row]]&gt;='Do Not Use or Delete'!$L$2, IF(Cost_Elements[[#This Row],[Row]]&lt;='Do Not Use or Delete'!$M$2,I232*J232,0),0)+IF(Cost_Elements[[#This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2" s="63"/>
      <c r="M232" s="63"/>
      <c r="N232" s="79"/>
      <c r="O232" s="74"/>
      <c r="P232" s="75">
        <f ca="1">IFERROR(IF(Cost_Elements[[#This Row],[Row]]&gt;='Do Not Use or Delete'!$L$2, IF(Cost_Elements[[#This Row],[Row]]&lt;='Do Not Use or Delete'!$M$2,N232*O232,0),0)+IF(Cost_Elements[[#This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2" s="63"/>
      <c r="R232" s="63"/>
      <c r="S232" s="79"/>
      <c r="T232" s="74"/>
      <c r="U232" s="75">
        <f ca="1">IFERROR(IF(Cost_Elements[[#This Row],[Row]]&gt;='Do Not Use or Delete'!$L$2, IF(Cost_Elements[[#This Row],[Row]]&lt;='Do Not Use or Delete'!$M$2,S232*T232,0),0)+IF(Cost_Elements[[#This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2" s="63"/>
      <c r="W232" s="63"/>
      <c r="X232" s="79"/>
      <c r="Y232" s="74"/>
      <c r="Z232" s="75">
        <f ca="1">IFERROR(IF(Cost_Elements[[#This Row],[Row]]&gt;='Do Not Use or Delete'!$L$2, IF(Cost_Elements[[#This Row],[Row]]&lt;='Do Not Use or Delete'!$M$2,X232*Y232,0),0)+IF(Cost_Elements[[#This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2" s="63"/>
      <c r="AB232" s="63"/>
      <c r="AC232" s="79"/>
      <c r="AD232" s="74"/>
      <c r="AE232" s="75">
        <f ca="1">IFERROR(IF(Cost_Elements[[#This Row],[Row]]&gt;='Do Not Use or Delete'!$L$2, IF(Cost_Elements[[#This Row],[Row]]&lt;='Do Not Use or Delete'!$M$2,AC232*AD232,0),0)+IF(Cost_Elements[[#This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2" s="64"/>
      <c r="AG232" s="65"/>
      <c r="AH232" s="79"/>
      <c r="AI232" s="74"/>
      <c r="AJ232" s="458"/>
      <c r="AK232" s="458"/>
      <c r="AL232" s="75">
        <f ca="1">IFERROR(IF(Cost_Elements[[#This Row],[Row]]&gt;='Do Not Use or Delete'!$L$2, IF(Cost_Elements[[#This Row],[Row]]&lt;='Do Not Use or Delete'!$M$2,AH232*AI232,0),0)+IF(Cost_Elements[[#This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2" s="64"/>
      <c r="AN232" s="65"/>
      <c r="AO232" s="125">
        <f t="shared" si="18"/>
        <v>0</v>
      </c>
      <c r="AP232" s="78">
        <f t="shared" ca="1" si="19"/>
        <v>0</v>
      </c>
      <c r="AQ232" s="68">
        <f ca="1">ROW(Cost_Elements[[#This Row],[Amount | Total]])</f>
        <v>232</v>
      </c>
    </row>
    <row r="233" spans="1:43">
      <c r="A233" s="240" t="s">
        <v>165</v>
      </c>
      <c r="B233" s="275"/>
      <c r="C233" s="277"/>
      <c r="D233" s="318"/>
      <c r="E233" s="318"/>
      <c r="F233" s="318"/>
      <c r="G233" s="318"/>
      <c r="H233" s="121" t="str">
        <f ca="1">IFERROR(INDEX(Labor_Categories[Minimum Direct Labor Rates],MATCH(Cost_Elements[[#This Row],[Government Labor Category]],Labor_Categories[Labor Categories],0)),"")</f>
        <v/>
      </c>
      <c r="I233" s="79"/>
      <c r="J233" s="74"/>
      <c r="K233" s="75">
        <f ca="1">IFERROR(IF(Cost_Elements[[#This Row],[Row]]&gt;='Do Not Use or Delete'!$L$2, IF(Cost_Elements[[#This Row],[Row]]&lt;='Do Not Use or Delete'!$M$2,I233*J233,0),0)+IF(Cost_Elements[[#This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3" s="63"/>
      <c r="M233" s="63"/>
      <c r="N233" s="79"/>
      <c r="O233" s="74"/>
      <c r="P233" s="75">
        <f ca="1">IFERROR(IF(Cost_Elements[[#This Row],[Row]]&gt;='Do Not Use or Delete'!$L$2, IF(Cost_Elements[[#This Row],[Row]]&lt;='Do Not Use or Delete'!$M$2,N233*O233,0),0)+IF(Cost_Elements[[#This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3" s="63"/>
      <c r="R233" s="63"/>
      <c r="S233" s="79"/>
      <c r="T233" s="74"/>
      <c r="U233" s="75">
        <f ca="1">IFERROR(IF(Cost_Elements[[#This Row],[Row]]&gt;='Do Not Use or Delete'!$L$2, IF(Cost_Elements[[#This Row],[Row]]&lt;='Do Not Use or Delete'!$M$2,S233*T233,0),0)+IF(Cost_Elements[[#This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3" s="63"/>
      <c r="W233" s="63"/>
      <c r="X233" s="79"/>
      <c r="Y233" s="74"/>
      <c r="Z233" s="75">
        <f ca="1">IFERROR(IF(Cost_Elements[[#This Row],[Row]]&gt;='Do Not Use or Delete'!$L$2, IF(Cost_Elements[[#This Row],[Row]]&lt;='Do Not Use or Delete'!$M$2,X233*Y233,0),0)+IF(Cost_Elements[[#This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3" s="63"/>
      <c r="AB233" s="63"/>
      <c r="AC233" s="79"/>
      <c r="AD233" s="74"/>
      <c r="AE233" s="75">
        <f ca="1">IFERROR(IF(Cost_Elements[[#This Row],[Row]]&gt;='Do Not Use or Delete'!$L$2, IF(Cost_Elements[[#This Row],[Row]]&lt;='Do Not Use or Delete'!$M$2,AC233*AD233,0),0)+IF(Cost_Elements[[#This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3" s="64"/>
      <c r="AG233" s="65"/>
      <c r="AH233" s="79"/>
      <c r="AI233" s="74"/>
      <c r="AJ233" s="458"/>
      <c r="AK233" s="458"/>
      <c r="AL233" s="75">
        <f ca="1">IFERROR(IF(Cost_Elements[[#This Row],[Row]]&gt;='Do Not Use or Delete'!$L$2, IF(Cost_Elements[[#This Row],[Row]]&lt;='Do Not Use or Delete'!$M$2,AH233*AI233,0),0)+IF(Cost_Elements[[#This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3" s="64"/>
      <c r="AN233" s="65"/>
      <c r="AO233" s="125">
        <f t="shared" si="18"/>
        <v>0</v>
      </c>
      <c r="AP233" s="78">
        <f t="shared" ca="1" si="19"/>
        <v>0</v>
      </c>
      <c r="AQ233" s="68">
        <f ca="1">ROW(Cost_Elements[[#This Row],[Amount | Total]])</f>
        <v>233</v>
      </c>
    </row>
    <row r="234" spans="1:43">
      <c r="A234" s="240" t="s">
        <v>165</v>
      </c>
      <c r="B234" s="275"/>
      <c r="C234" s="277"/>
      <c r="D234" s="318"/>
      <c r="E234" s="318"/>
      <c r="F234" s="318"/>
      <c r="G234" s="318"/>
      <c r="H234" s="121" t="str">
        <f ca="1">IFERROR(INDEX(Labor_Categories[Minimum Direct Labor Rates],MATCH(Cost_Elements[[#This Row],[Government Labor Category]],Labor_Categories[Labor Categories],0)),"")</f>
        <v/>
      </c>
      <c r="I234" s="79"/>
      <c r="J234" s="74"/>
      <c r="K234" s="75">
        <f ca="1">IFERROR(IF(Cost_Elements[[#This Row],[Row]]&gt;='Do Not Use or Delete'!$L$2, IF(Cost_Elements[[#This Row],[Row]]&lt;='Do Not Use or Delete'!$M$2,I234*J234,0),0)+IF(Cost_Elements[[#This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4" s="63"/>
      <c r="M234" s="63"/>
      <c r="N234" s="79"/>
      <c r="O234" s="74"/>
      <c r="P234" s="75">
        <f ca="1">IFERROR(IF(Cost_Elements[[#This Row],[Row]]&gt;='Do Not Use or Delete'!$L$2, IF(Cost_Elements[[#This Row],[Row]]&lt;='Do Not Use or Delete'!$M$2,N234*O234,0),0)+IF(Cost_Elements[[#This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4" s="63"/>
      <c r="R234" s="63"/>
      <c r="S234" s="79"/>
      <c r="T234" s="74"/>
      <c r="U234" s="75">
        <f ca="1">IFERROR(IF(Cost_Elements[[#This Row],[Row]]&gt;='Do Not Use or Delete'!$L$2, IF(Cost_Elements[[#This Row],[Row]]&lt;='Do Not Use or Delete'!$M$2,S234*T234,0),0)+IF(Cost_Elements[[#This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4" s="63"/>
      <c r="W234" s="63"/>
      <c r="X234" s="79"/>
      <c r="Y234" s="74"/>
      <c r="Z234" s="75">
        <f ca="1">IFERROR(IF(Cost_Elements[[#This Row],[Row]]&gt;='Do Not Use or Delete'!$L$2, IF(Cost_Elements[[#This Row],[Row]]&lt;='Do Not Use or Delete'!$M$2,X234*Y234,0),0)+IF(Cost_Elements[[#This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4" s="63"/>
      <c r="AB234" s="63"/>
      <c r="AC234" s="79"/>
      <c r="AD234" s="74"/>
      <c r="AE234" s="75">
        <f ca="1">IFERROR(IF(Cost_Elements[[#This Row],[Row]]&gt;='Do Not Use or Delete'!$L$2, IF(Cost_Elements[[#This Row],[Row]]&lt;='Do Not Use or Delete'!$M$2,AC234*AD234,0),0)+IF(Cost_Elements[[#This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4" s="64"/>
      <c r="AG234" s="65"/>
      <c r="AH234" s="79"/>
      <c r="AI234" s="74"/>
      <c r="AJ234" s="458"/>
      <c r="AK234" s="458"/>
      <c r="AL234" s="75">
        <f ca="1">IFERROR(IF(Cost_Elements[[#This Row],[Row]]&gt;='Do Not Use or Delete'!$L$2, IF(Cost_Elements[[#This Row],[Row]]&lt;='Do Not Use or Delete'!$M$2,AH234*AI234,0),0)+IF(Cost_Elements[[#This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4" s="64"/>
      <c r="AN234" s="65"/>
      <c r="AO234" s="125">
        <f t="shared" si="18"/>
        <v>0</v>
      </c>
      <c r="AP234" s="78">
        <f t="shared" ca="1" si="19"/>
        <v>0</v>
      </c>
      <c r="AQ234" s="68">
        <f ca="1">ROW(Cost_Elements[[#This Row],[Amount | Total]])</f>
        <v>234</v>
      </c>
    </row>
    <row r="235" spans="1:43">
      <c r="A235" s="240" t="s">
        <v>165</v>
      </c>
      <c r="B235" s="275"/>
      <c r="C235" s="277"/>
      <c r="D235" s="318"/>
      <c r="E235" s="318"/>
      <c r="F235" s="318"/>
      <c r="G235" s="318"/>
      <c r="H235" s="121" t="str">
        <f ca="1">IFERROR(INDEX(Labor_Categories[Minimum Direct Labor Rates],MATCH(Cost_Elements[[#This Row],[Government Labor Category]],Labor_Categories[Labor Categories],0)),"")</f>
        <v/>
      </c>
      <c r="I235" s="79"/>
      <c r="J235" s="74"/>
      <c r="K235" s="75">
        <f ca="1">IFERROR(IF(Cost_Elements[[#This Row],[Row]]&gt;='Do Not Use or Delete'!$L$2, IF(Cost_Elements[[#This Row],[Row]]&lt;='Do Not Use or Delete'!$M$2,I235*J235,0),0)+IF(Cost_Elements[[#This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5" s="63"/>
      <c r="M235" s="63"/>
      <c r="N235" s="79"/>
      <c r="O235" s="74"/>
      <c r="P235" s="75">
        <f ca="1">IFERROR(IF(Cost_Elements[[#This Row],[Row]]&gt;='Do Not Use or Delete'!$L$2, IF(Cost_Elements[[#This Row],[Row]]&lt;='Do Not Use or Delete'!$M$2,N235*O235,0),0)+IF(Cost_Elements[[#This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5" s="63"/>
      <c r="R235" s="63"/>
      <c r="S235" s="79"/>
      <c r="T235" s="74"/>
      <c r="U235" s="75">
        <f ca="1">IFERROR(IF(Cost_Elements[[#This Row],[Row]]&gt;='Do Not Use or Delete'!$L$2, IF(Cost_Elements[[#This Row],[Row]]&lt;='Do Not Use or Delete'!$M$2,S235*T235,0),0)+IF(Cost_Elements[[#This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5" s="63"/>
      <c r="W235" s="63"/>
      <c r="X235" s="79"/>
      <c r="Y235" s="74"/>
      <c r="Z235" s="75">
        <f ca="1">IFERROR(IF(Cost_Elements[[#This Row],[Row]]&gt;='Do Not Use or Delete'!$L$2, IF(Cost_Elements[[#This Row],[Row]]&lt;='Do Not Use or Delete'!$M$2,X235*Y235,0),0)+IF(Cost_Elements[[#This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5" s="63"/>
      <c r="AB235" s="63"/>
      <c r="AC235" s="79"/>
      <c r="AD235" s="74"/>
      <c r="AE235" s="75">
        <f ca="1">IFERROR(IF(Cost_Elements[[#This Row],[Row]]&gt;='Do Not Use or Delete'!$L$2, IF(Cost_Elements[[#This Row],[Row]]&lt;='Do Not Use or Delete'!$M$2,AC235*AD235,0),0)+IF(Cost_Elements[[#This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5" s="64"/>
      <c r="AG235" s="65"/>
      <c r="AH235" s="79"/>
      <c r="AI235" s="74"/>
      <c r="AJ235" s="458"/>
      <c r="AK235" s="458"/>
      <c r="AL235" s="75">
        <f ca="1">IFERROR(IF(Cost_Elements[[#This Row],[Row]]&gt;='Do Not Use or Delete'!$L$2, IF(Cost_Elements[[#This Row],[Row]]&lt;='Do Not Use or Delete'!$M$2,AH235*AI235,0),0)+IF(Cost_Elements[[#This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5" s="64"/>
      <c r="AN235" s="65"/>
      <c r="AO235" s="125">
        <f t="shared" si="18"/>
        <v>0</v>
      </c>
      <c r="AP235" s="78">
        <f t="shared" ca="1" si="19"/>
        <v>0</v>
      </c>
      <c r="AQ235" s="68">
        <f ca="1">ROW(Cost_Elements[[#This Row],[Amount | Total]])</f>
        <v>235</v>
      </c>
    </row>
    <row r="236" spans="1:43">
      <c r="A236" s="240" t="s">
        <v>165</v>
      </c>
      <c r="B236" s="275"/>
      <c r="C236" s="277"/>
      <c r="D236" s="318"/>
      <c r="E236" s="318"/>
      <c r="F236" s="318"/>
      <c r="G236" s="318"/>
      <c r="H236" s="121" t="str">
        <f ca="1">IFERROR(INDEX(Labor_Categories[Minimum Direct Labor Rates],MATCH(Cost_Elements[[#This Row],[Government Labor Category]],Labor_Categories[Labor Categories],0)),"")</f>
        <v/>
      </c>
      <c r="I236" s="79"/>
      <c r="J236" s="74"/>
      <c r="K236" s="75">
        <f ca="1">IFERROR(IF(Cost_Elements[[#This Row],[Row]]&gt;='Do Not Use or Delete'!$L$2, IF(Cost_Elements[[#This Row],[Row]]&lt;='Do Not Use or Delete'!$M$2,I236*J236,0),0)+IF(Cost_Elements[[#This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6" s="63"/>
      <c r="M236" s="63"/>
      <c r="N236" s="79"/>
      <c r="O236" s="74"/>
      <c r="P236" s="75">
        <f ca="1">IFERROR(IF(Cost_Elements[[#This Row],[Row]]&gt;='Do Not Use or Delete'!$L$2, IF(Cost_Elements[[#This Row],[Row]]&lt;='Do Not Use or Delete'!$M$2,N236*O236,0),0)+IF(Cost_Elements[[#This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6" s="63"/>
      <c r="R236" s="63"/>
      <c r="S236" s="79"/>
      <c r="T236" s="74"/>
      <c r="U236" s="75">
        <f ca="1">IFERROR(IF(Cost_Elements[[#This Row],[Row]]&gt;='Do Not Use or Delete'!$L$2, IF(Cost_Elements[[#This Row],[Row]]&lt;='Do Not Use or Delete'!$M$2,S236*T236,0),0)+IF(Cost_Elements[[#This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6" s="63"/>
      <c r="W236" s="63"/>
      <c r="X236" s="79"/>
      <c r="Y236" s="74"/>
      <c r="Z236" s="75">
        <f ca="1">IFERROR(IF(Cost_Elements[[#This Row],[Row]]&gt;='Do Not Use or Delete'!$L$2, IF(Cost_Elements[[#This Row],[Row]]&lt;='Do Not Use or Delete'!$M$2,X236*Y236,0),0)+IF(Cost_Elements[[#This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6" s="63"/>
      <c r="AB236" s="63"/>
      <c r="AC236" s="79"/>
      <c r="AD236" s="74"/>
      <c r="AE236" s="75">
        <f ca="1">IFERROR(IF(Cost_Elements[[#This Row],[Row]]&gt;='Do Not Use or Delete'!$L$2, IF(Cost_Elements[[#This Row],[Row]]&lt;='Do Not Use or Delete'!$M$2,AC236*AD236,0),0)+IF(Cost_Elements[[#This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6" s="64"/>
      <c r="AG236" s="65"/>
      <c r="AH236" s="79"/>
      <c r="AI236" s="74"/>
      <c r="AJ236" s="458"/>
      <c r="AK236" s="458"/>
      <c r="AL236" s="75">
        <f ca="1">IFERROR(IF(Cost_Elements[[#This Row],[Row]]&gt;='Do Not Use or Delete'!$L$2, IF(Cost_Elements[[#This Row],[Row]]&lt;='Do Not Use or Delete'!$M$2,AH236*AI236,0),0)+IF(Cost_Elements[[#This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6" s="64"/>
      <c r="AN236" s="65"/>
      <c r="AO236" s="125">
        <f t="shared" si="18"/>
        <v>0</v>
      </c>
      <c r="AP236" s="78">
        <f t="shared" ca="1" si="19"/>
        <v>0</v>
      </c>
      <c r="AQ236" s="68">
        <f ca="1">ROW(Cost_Elements[[#This Row],[Amount | Total]])</f>
        <v>236</v>
      </c>
    </row>
    <row r="237" spans="1:43">
      <c r="A237" s="240" t="s">
        <v>165</v>
      </c>
      <c r="B237" s="275"/>
      <c r="C237" s="277"/>
      <c r="D237" s="318"/>
      <c r="E237" s="318"/>
      <c r="F237" s="318"/>
      <c r="G237" s="318"/>
      <c r="H237" s="121" t="str">
        <f ca="1">IFERROR(INDEX(Labor_Categories[Minimum Direct Labor Rates],MATCH(Cost_Elements[[#This Row],[Government Labor Category]],Labor_Categories[Labor Categories],0)),"")</f>
        <v/>
      </c>
      <c r="I237" s="79"/>
      <c r="J237" s="74"/>
      <c r="K237" s="75">
        <f ca="1">IFERROR(IF(Cost_Elements[[#This Row],[Row]]&gt;='Do Not Use or Delete'!$L$2, IF(Cost_Elements[[#This Row],[Row]]&lt;='Do Not Use or Delete'!$M$2,I237*J237,0),0)+IF(Cost_Elements[[#This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7" s="63"/>
      <c r="M237" s="63"/>
      <c r="N237" s="79"/>
      <c r="O237" s="74"/>
      <c r="P237" s="75">
        <f ca="1">IFERROR(IF(Cost_Elements[[#This Row],[Row]]&gt;='Do Not Use or Delete'!$L$2, IF(Cost_Elements[[#This Row],[Row]]&lt;='Do Not Use or Delete'!$M$2,N237*O237,0),0)+IF(Cost_Elements[[#This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7" s="63"/>
      <c r="R237" s="63"/>
      <c r="S237" s="79"/>
      <c r="T237" s="74"/>
      <c r="U237" s="75">
        <f ca="1">IFERROR(IF(Cost_Elements[[#This Row],[Row]]&gt;='Do Not Use or Delete'!$L$2, IF(Cost_Elements[[#This Row],[Row]]&lt;='Do Not Use or Delete'!$M$2,S237*T237,0),0)+IF(Cost_Elements[[#This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7" s="63"/>
      <c r="W237" s="63"/>
      <c r="X237" s="79"/>
      <c r="Y237" s="74"/>
      <c r="Z237" s="75">
        <f ca="1">IFERROR(IF(Cost_Elements[[#This Row],[Row]]&gt;='Do Not Use or Delete'!$L$2, IF(Cost_Elements[[#This Row],[Row]]&lt;='Do Not Use or Delete'!$M$2,X237*Y237,0),0)+IF(Cost_Elements[[#This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7" s="63"/>
      <c r="AB237" s="63"/>
      <c r="AC237" s="79"/>
      <c r="AD237" s="74"/>
      <c r="AE237" s="75">
        <f ca="1">IFERROR(IF(Cost_Elements[[#This Row],[Row]]&gt;='Do Not Use or Delete'!$L$2, IF(Cost_Elements[[#This Row],[Row]]&lt;='Do Not Use or Delete'!$M$2,AC237*AD237,0),0)+IF(Cost_Elements[[#This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7" s="64"/>
      <c r="AG237" s="65"/>
      <c r="AH237" s="79"/>
      <c r="AI237" s="74"/>
      <c r="AJ237" s="458"/>
      <c r="AK237" s="458"/>
      <c r="AL237" s="75">
        <f ca="1">IFERROR(IF(Cost_Elements[[#This Row],[Row]]&gt;='Do Not Use or Delete'!$L$2, IF(Cost_Elements[[#This Row],[Row]]&lt;='Do Not Use or Delete'!$M$2,AH237*AI237,0),0)+IF(Cost_Elements[[#This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7" s="64"/>
      <c r="AN237" s="65"/>
      <c r="AO237" s="125">
        <f t="shared" si="18"/>
        <v>0</v>
      </c>
      <c r="AP237" s="78">
        <f t="shared" ca="1" si="19"/>
        <v>0</v>
      </c>
      <c r="AQ237" s="68">
        <f ca="1">ROW(Cost_Elements[[#This Row],[Amount | Total]])</f>
        <v>237</v>
      </c>
    </row>
    <row r="238" spans="1:43">
      <c r="A238" s="240" t="s">
        <v>165</v>
      </c>
      <c r="B238" s="275"/>
      <c r="C238" s="277"/>
      <c r="D238" s="318"/>
      <c r="E238" s="318"/>
      <c r="F238" s="318"/>
      <c r="G238" s="318"/>
      <c r="H238" s="121" t="str">
        <f ca="1">IFERROR(INDEX(Labor_Categories[Minimum Direct Labor Rates],MATCH(Cost_Elements[[#This Row],[Government Labor Category]],Labor_Categories[Labor Categories],0)),"")</f>
        <v/>
      </c>
      <c r="I238" s="79"/>
      <c r="J238" s="74"/>
      <c r="K238" s="75">
        <f ca="1">IFERROR(IF(Cost_Elements[[#This Row],[Row]]&gt;='Do Not Use or Delete'!$L$2, IF(Cost_Elements[[#This Row],[Row]]&lt;='Do Not Use or Delete'!$M$2,I238*J238,0),0)+IF(Cost_Elements[[#This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8" s="63"/>
      <c r="M238" s="63"/>
      <c r="N238" s="79"/>
      <c r="O238" s="74"/>
      <c r="P238" s="75">
        <f ca="1">IFERROR(IF(Cost_Elements[[#This Row],[Row]]&gt;='Do Not Use or Delete'!$L$2, IF(Cost_Elements[[#This Row],[Row]]&lt;='Do Not Use or Delete'!$M$2,N238*O238,0),0)+IF(Cost_Elements[[#This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8" s="63"/>
      <c r="R238" s="63"/>
      <c r="S238" s="79"/>
      <c r="T238" s="74"/>
      <c r="U238" s="75">
        <f ca="1">IFERROR(IF(Cost_Elements[[#This Row],[Row]]&gt;='Do Not Use or Delete'!$L$2, IF(Cost_Elements[[#This Row],[Row]]&lt;='Do Not Use or Delete'!$M$2,S238*T238,0),0)+IF(Cost_Elements[[#This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8" s="63"/>
      <c r="W238" s="63"/>
      <c r="X238" s="79"/>
      <c r="Y238" s="74"/>
      <c r="Z238" s="75">
        <f ca="1">IFERROR(IF(Cost_Elements[[#This Row],[Row]]&gt;='Do Not Use or Delete'!$L$2, IF(Cost_Elements[[#This Row],[Row]]&lt;='Do Not Use or Delete'!$M$2,X238*Y238,0),0)+IF(Cost_Elements[[#This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8" s="63"/>
      <c r="AB238" s="63"/>
      <c r="AC238" s="79"/>
      <c r="AD238" s="74"/>
      <c r="AE238" s="75">
        <f ca="1">IFERROR(IF(Cost_Elements[[#This Row],[Row]]&gt;='Do Not Use or Delete'!$L$2, IF(Cost_Elements[[#This Row],[Row]]&lt;='Do Not Use or Delete'!$M$2,AC238*AD238,0),0)+IF(Cost_Elements[[#This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8" s="64"/>
      <c r="AG238" s="65"/>
      <c r="AH238" s="79"/>
      <c r="AI238" s="74"/>
      <c r="AJ238" s="458"/>
      <c r="AK238" s="458"/>
      <c r="AL238" s="75">
        <f ca="1">IFERROR(IF(Cost_Elements[[#This Row],[Row]]&gt;='Do Not Use or Delete'!$L$2, IF(Cost_Elements[[#This Row],[Row]]&lt;='Do Not Use or Delete'!$M$2,AH238*AI238,0),0)+IF(Cost_Elements[[#This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8" s="64"/>
      <c r="AN238" s="65"/>
      <c r="AO238" s="125">
        <f t="shared" si="18"/>
        <v>0</v>
      </c>
      <c r="AP238" s="78">
        <f t="shared" ca="1" si="19"/>
        <v>0</v>
      </c>
      <c r="AQ238" s="68">
        <f ca="1">ROW(Cost_Elements[[#This Row],[Amount | Total]])</f>
        <v>238</v>
      </c>
    </row>
    <row r="239" spans="1:43">
      <c r="A239" s="240" t="s">
        <v>165</v>
      </c>
      <c r="B239" s="275"/>
      <c r="C239" s="277"/>
      <c r="D239" s="318"/>
      <c r="E239" s="318"/>
      <c r="F239" s="318"/>
      <c r="G239" s="318"/>
      <c r="H239" s="121" t="str">
        <f ca="1">IFERROR(INDEX(Labor_Categories[Minimum Direct Labor Rates],MATCH(Cost_Elements[[#This Row],[Government Labor Category]],Labor_Categories[Labor Categories],0)),"")</f>
        <v/>
      </c>
      <c r="I239" s="79"/>
      <c r="J239" s="74"/>
      <c r="K239" s="75">
        <f ca="1">IFERROR(IF(Cost_Elements[[#This Row],[Row]]&gt;='Do Not Use or Delete'!$L$2, IF(Cost_Elements[[#This Row],[Row]]&lt;='Do Not Use or Delete'!$M$2,I239*J239,0),0)+IF(Cost_Elements[[#This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9" s="63"/>
      <c r="M239" s="63"/>
      <c r="N239" s="79"/>
      <c r="O239" s="74"/>
      <c r="P239" s="75">
        <f ca="1">IFERROR(IF(Cost_Elements[[#This Row],[Row]]&gt;='Do Not Use or Delete'!$L$2, IF(Cost_Elements[[#This Row],[Row]]&lt;='Do Not Use or Delete'!$M$2,N239*O239,0),0)+IF(Cost_Elements[[#This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9" s="63"/>
      <c r="R239" s="63"/>
      <c r="S239" s="79"/>
      <c r="T239" s="74"/>
      <c r="U239" s="75">
        <f ca="1">IFERROR(IF(Cost_Elements[[#This Row],[Row]]&gt;='Do Not Use or Delete'!$L$2, IF(Cost_Elements[[#This Row],[Row]]&lt;='Do Not Use or Delete'!$M$2,S239*T239,0),0)+IF(Cost_Elements[[#This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9" s="63"/>
      <c r="W239" s="63"/>
      <c r="X239" s="79"/>
      <c r="Y239" s="74"/>
      <c r="Z239" s="75">
        <f ca="1">IFERROR(IF(Cost_Elements[[#This Row],[Row]]&gt;='Do Not Use or Delete'!$L$2, IF(Cost_Elements[[#This Row],[Row]]&lt;='Do Not Use or Delete'!$M$2,X239*Y239,0),0)+IF(Cost_Elements[[#This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9" s="63"/>
      <c r="AB239" s="63"/>
      <c r="AC239" s="79"/>
      <c r="AD239" s="74"/>
      <c r="AE239" s="75">
        <f ca="1">IFERROR(IF(Cost_Elements[[#This Row],[Row]]&gt;='Do Not Use or Delete'!$L$2, IF(Cost_Elements[[#This Row],[Row]]&lt;='Do Not Use or Delete'!$M$2,AC239*AD239,0),0)+IF(Cost_Elements[[#This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9" s="64"/>
      <c r="AG239" s="65"/>
      <c r="AH239" s="79"/>
      <c r="AI239" s="74"/>
      <c r="AJ239" s="458"/>
      <c r="AK239" s="458"/>
      <c r="AL239" s="75">
        <f ca="1">IFERROR(IF(Cost_Elements[[#This Row],[Row]]&gt;='Do Not Use or Delete'!$L$2, IF(Cost_Elements[[#This Row],[Row]]&lt;='Do Not Use or Delete'!$M$2,AH239*AI239,0),0)+IF(Cost_Elements[[#This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9" s="64"/>
      <c r="AN239" s="65"/>
      <c r="AO239" s="125">
        <f t="shared" si="18"/>
        <v>0</v>
      </c>
      <c r="AP239" s="78">
        <f t="shared" ca="1" si="19"/>
        <v>0</v>
      </c>
      <c r="AQ239" s="68">
        <f ca="1">ROW(Cost_Elements[[#This Row],[Amount | Total]])</f>
        <v>239</v>
      </c>
    </row>
    <row r="240" spans="1:43">
      <c r="A240" s="257"/>
      <c r="B240" s="276"/>
      <c r="C240" s="277"/>
      <c r="D240" s="318"/>
      <c r="E240" s="318"/>
      <c r="F240" s="318"/>
      <c r="G240" s="318"/>
      <c r="H240" s="121" t="str">
        <f ca="1">IFERROR(INDEX(Labor_Categories[Minimum Direct Labor Rates],MATCH(Cost_Elements[[#This Row],[Government Labor Category]],Labor_Categories[Labor Categories],0)),"")</f>
        <v/>
      </c>
      <c r="I240" s="79"/>
      <c r="J240" s="74"/>
      <c r="K240" s="75">
        <f ca="1">IFERROR(IF(Cost_Elements[[#This Row],[Row]]&gt;='Do Not Use or Delete'!$L$2, IF(Cost_Elements[[#This Row],[Row]]&lt;='Do Not Use or Delete'!$M$2,I240*J240,0),0)+IF(Cost_Elements[[#This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0" s="63"/>
      <c r="M240" s="63"/>
      <c r="N240" s="79"/>
      <c r="O240" s="74"/>
      <c r="P240" s="75">
        <f ca="1">IFERROR(IF(Cost_Elements[[#This Row],[Row]]&gt;='Do Not Use or Delete'!$L$2, IF(Cost_Elements[[#This Row],[Row]]&lt;='Do Not Use or Delete'!$M$2,N240*O240,0),0)+IF(Cost_Elements[[#This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0" s="63"/>
      <c r="R240" s="63"/>
      <c r="S240" s="79"/>
      <c r="T240" s="74"/>
      <c r="U240" s="75">
        <f ca="1">IFERROR(IF(Cost_Elements[[#This Row],[Row]]&gt;='Do Not Use or Delete'!$L$2, IF(Cost_Elements[[#This Row],[Row]]&lt;='Do Not Use or Delete'!$M$2,S240*T240,0),0)+IF(Cost_Elements[[#This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0" s="63"/>
      <c r="W240" s="63"/>
      <c r="X240" s="79"/>
      <c r="Y240" s="74"/>
      <c r="Z240" s="75">
        <f ca="1">IFERROR(IF(Cost_Elements[[#This Row],[Row]]&gt;='Do Not Use or Delete'!$L$2, IF(Cost_Elements[[#This Row],[Row]]&lt;='Do Not Use or Delete'!$M$2,X240*Y240,0),0)+IF(Cost_Elements[[#This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0" s="63"/>
      <c r="AB240" s="63"/>
      <c r="AC240" s="79"/>
      <c r="AD240" s="74"/>
      <c r="AE240" s="75">
        <f ca="1">IFERROR(IF(Cost_Elements[[#This Row],[Row]]&gt;='Do Not Use or Delete'!$L$2, IF(Cost_Elements[[#This Row],[Row]]&lt;='Do Not Use or Delete'!$M$2,AC240*AD240,0),0)+IF(Cost_Elements[[#This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0" s="64"/>
      <c r="AG240" s="65"/>
      <c r="AH240" s="79"/>
      <c r="AI240" s="74"/>
      <c r="AJ240" s="458"/>
      <c r="AK240" s="458"/>
      <c r="AL240" s="75">
        <f ca="1">IFERROR(IF(Cost_Elements[[#This Row],[Row]]&gt;='Do Not Use or Delete'!$L$2, IF(Cost_Elements[[#This Row],[Row]]&lt;='Do Not Use or Delete'!$M$2,AH240*AI240,0),0)+IF(Cost_Elements[[#This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0" s="64"/>
      <c r="AN240" s="65"/>
      <c r="AO240" s="125">
        <f t="shared" si="18"/>
        <v>0</v>
      </c>
      <c r="AP240" s="78">
        <f t="shared" ca="1" si="19"/>
        <v>0</v>
      </c>
      <c r="AQ240" s="68">
        <f ca="1">ROW(Cost_Elements[[#This Row],[Amount | Total]])</f>
        <v>240</v>
      </c>
    </row>
    <row r="241" spans="1:43">
      <c r="A241" s="239" t="s">
        <v>190</v>
      </c>
      <c r="B241" s="70"/>
      <c r="C241" s="69"/>
      <c r="D241" s="61"/>
      <c r="E241" s="61"/>
      <c r="F241" s="61"/>
      <c r="G241" s="61"/>
      <c r="H241" s="59" t="str">
        <f ca="1">IFERROR(INDEX(Labor_Categories[Minimum Direct Labor Rates],MATCH(Cost_Elements[[#This Row],[Government Labor Category]],Labor_Categories[Labor Categories],0)),"")</f>
        <v/>
      </c>
      <c r="I241" s="11"/>
      <c r="J241" s="119">
        <f ca="1">SUM(J242:J255)</f>
        <v>0</v>
      </c>
      <c r="K241" s="120">
        <f ca="1">SUM(K242:K255)</f>
        <v>0</v>
      </c>
      <c r="L241" s="248"/>
      <c r="M241" s="248"/>
      <c r="N241" s="124"/>
      <c r="O241" s="119">
        <f ca="1">SUM(O242:O255)</f>
        <v>0</v>
      </c>
      <c r="P241" s="120">
        <f ca="1">SUM(P242:P255)</f>
        <v>0</v>
      </c>
      <c r="Q241" s="248"/>
      <c r="R241" s="248"/>
      <c r="S241" s="11">
        <f ca="1">(Cost_Elements[[#This Row],[Rate | 2]]*$T$4)+Cost_Elements[[#This Row],[Rate | 2]]</f>
        <v>0</v>
      </c>
      <c r="T241" s="119">
        <f ca="1">SUM(T242:T255)</f>
        <v>0</v>
      </c>
      <c r="U241" s="120">
        <f ca="1">SUM(U242:U255)</f>
        <v>0</v>
      </c>
      <c r="V241" s="248"/>
      <c r="W241" s="248"/>
      <c r="X241" s="11">
        <f ca="1">(Cost_Elements[[#This Row],[Rate | 3]]*$Y$4)+Cost_Elements[[#This Row],[Rate | 3]]</f>
        <v>0</v>
      </c>
      <c r="Y241" s="119">
        <f ca="1">SUM(Y242:Y255)</f>
        <v>0</v>
      </c>
      <c r="Z241" s="120">
        <f ca="1">SUM(Z242:Z255)</f>
        <v>0</v>
      </c>
      <c r="AA241" s="248"/>
      <c r="AB241" s="248"/>
      <c r="AC241" s="11">
        <f ca="1">(Cost_Elements[[#This Row],[Rate | 4]]*$AD$4)+Cost_Elements[[#This Row],[Rate | 4]]</f>
        <v>0</v>
      </c>
      <c r="AD241" s="119">
        <f ca="1">SUM(AD242:AD255)</f>
        <v>0</v>
      </c>
      <c r="AE241" s="120">
        <f ca="1">SUM(AE242:AE255)</f>
        <v>0</v>
      </c>
      <c r="AF241" s="102"/>
      <c r="AG241" s="91"/>
      <c r="AH241" s="11">
        <f ca="1">(Cost_Elements[[#This Row],[Rate | 4]]*$AD$4)+Cost_Elements[[#This Row],[Rate | 4]]</f>
        <v>0</v>
      </c>
      <c r="AI241" s="119">
        <f ca="1">SUM(AI242:AI255)</f>
        <v>0</v>
      </c>
      <c r="AJ241" s="119"/>
      <c r="AK241" s="119"/>
      <c r="AL241" s="75">
        <f ca="1">SUM(AL242:AL255)</f>
        <v>0</v>
      </c>
      <c r="AM241" s="102"/>
      <c r="AN241" s="91"/>
      <c r="AO241" s="119">
        <f>SUM(AO242:AO255)</f>
        <v>0</v>
      </c>
      <c r="AP241" s="87">
        <f ca="1">SUM(AP242:AP255)</f>
        <v>0</v>
      </c>
      <c r="AQ241" s="68">
        <f ca="1">ROW(Cost_Elements[[#This Row],[Amount | Total]])</f>
        <v>241</v>
      </c>
    </row>
    <row r="242" spans="1:43">
      <c r="A242" s="240" t="s">
        <v>165</v>
      </c>
      <c r="B242" s="275"/>
      <c r="C242" s="277"/>
      <c r="D242" s="318"/>
      <c r="E242" s="318"/>
      <c r="F242" s="318"/>
      <c r="G242" s="318"/>
      <c r="H242" s="121" t="str">
        <f ca="1">IFERROR(INDEX(Labor_Categories[Minimum Direct Labor Rates],MATCH(Cost_Elements[[#This Row],[Government Labor Category]],Labor_Categories[Labor Categories],0)),"")</f>
        <v/>
      </c>
      <c r="I242" s="73"/>
      <c r="J242" s="74"/>
      <c r="K242" s="75">
        <f ca="1">IFERROR(IF(Cost_Elements[[#This Row],[Row]]&gt;='Do Not Use or Delete'!$L$2, IF(Cost_Elements[[#This Row],[Row]]&lt;='Do Not Use or Delete'!$M$2,I242*J242,0),0)+IF(Cost_Elements[[#This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2" s="63"/>
      <c r="M242" s="63"/>
      <c r="N242" s="73"/>
      <c r="O242" s="74"/>
      <c r="P242" s="75">
        <f ca="1">IFERROR(IF(Cost_Elements[[#This Row],[Row]]&gt;='Do Not Use or Delete'!$L$2, IF(Cost_Elements[[#This Row],[Row]]&lt;='Do Not Use or Delete'!$M$2,N242*O242,0),0)+IF(Cost_Elements[[#This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2" s="63"/>
      <c r="R242" s="63"/>
      <c r="S242" s="79"/>
      <c r="T242" s="74"/>
      <c r="U242" s="75">
        <f ca="1">IFERROR(IF(Cost_Elements[[#This Row],[Row]]&gt;='Do Not Use or Delete'!$L$2, IF(Cost_Elements[[#This Row],[Row]]&lt;='Do Not Use or Delete'!$M$2,S242*T242,0),0)+IF(Cost_Elements[[#This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2" s="63"/>
      <c r="W242" s="63"/>
      <c r="X242" s="79"/>
      <c r="Y242" s="74"/>
      <c r="Z242" s="75">
        <f ca="1">IFERROR(IF(Cost_Elements[[#This Row],[Row]]&gt;='Do Not Use or Delete'!$L$2, IF(Cost_Elements[[#This Row],[Row]]&lt;='Do Not Use or Delete'!$M$2,X242*Y242,0),0)+IF(Cost_Elements[[#This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2" s="63"/>
      <c r="AB242" s="63"/>
      <c r="AC242" s="79"/>
      <c r="AD242" s="74"/>
      <c r="AE242" s="75">
        <f ca="1">IFERROR(IF(Cost_Elements[[#This Row],[Row]]&gt;='Do Not Use or Delete'!$L$2, IF(Cost_Elements[[#This Row],[Row]]&lt;='Do Not Use or Delete'!$M$2,AC242*AD242,0),0)+IF(Cost_Elements[[#This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2" s="64"/>
      <c r="AG242" s="65"/>
      <c r="AH242" s="79"/>
      <c r="AI242" s="74"/>
      <c r="AJ242" s="458"/>
      <c r="AK242" s="458"/>
      <c r="AL242" s="75">
        <f ca="1">IFERROR(IF(Cost_Elements[[#This Row],[Row]]&gt;='Do Not Use or Delete'!$L$2, IF(Cost_Elements[[#This Row],[Row]]&lt;='Do Not Use or Delete'!$M$2,AH242*AI242,0),0)+IF(Cost_Elements[[#This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2" s="64"/>
      <c r="AN242" s="65"/>
      <c r="AO242" s="125">
        <f>J242+T242+AD242+O242+Y242+AI242</f>
        <v>0</v>
      </c>
      <c r="AP242" s="78">
        <f ca="1">K242+U242+AE242+P242+Z242+AL242</f>
        <v>0</v>
      </c>
      <c r="AQ242" s="68">
        <f ca="1">ROW(Cost_Elements[[#This Row],[Amount | Total]])</f>
        <v>242</v>
      </c>
    </row>
    <row r="243" spans="1:43">
      <c r="A243" s="240" t="s">
        <v>165</v>
      </c>
      <c r="B243" s="275"/>
      <c r="C243" s="277"/>
      <c r="D243" s="318"/>
      <c r="E243" s="318"/>
      <c r="F243" s="318"/>
      <c r="G243" s="318"/>
      <c r="H243" s="121" t="str">
        <f ca="1">IFERROR(INDEX(Labor_Categories[Minimum Direct Labor Rates],MATCH(Cost_Elements[[#This Row],[Government Labor Category]],Labor_Categories[Labor Categories],0)),"")</f>
        <v/>
      </c>
      <c r="I243" s="73"/>
      <c r="J243" s="74"/>
      <c r="K243" s="75">
        <f ca="1">IFERROR(IF(Cost_Elements[[#This Row],[Row]]&gt;='Do Not Use or Delete'!$L$2, IF(Cost_Elements[[#This Row],[Row]]&lt;='Do Not Use or Delete'!$M$2,I243*J243,0),0)+IF(Cost_Elements[[#This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3" s="63"/>
      <c r="M243" s="63"/>
      <c r="N243" s="73"/>
      <c r="O243" s="74"/>
      <c r="P243" s="75">
        <f ca="1">IFERROR(IF(Cost_Elements[[#This Row],[Row]]&gt;='Do Not Use or Delete'!$L$2, IF(Cost_Elements[[#This Row],[Row]]&lt;='Do Not Use or Delete'!$M$2,N243*O243,0),0)+IF(Cost_Elements[[#This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3" s="63"/>
      <c r="R243" s="63"/>
      <c r="S243" s="79"/>
      <c r="T243" s="74"/>
      <c r="U243" s="75">
        <f ca="1">IFERROR(IF(Cost_Elements[[#This Row],[Row]]&gt;='Do Not Use or Delete'!$L$2, IF(Cost_Elements[[#This Row],[Row]]&lt;='Do Not Use or Delete'!$M$2,S243*T243,0),0)+IF(Cost_Elements[[#This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3" s="63"/>
      <c r="W243" s="63"/>
      <c r="X243" s="79"/>
      <c r="Y243" s="74"/>
      <c r="Z243" s="75">
        <f ca="1">IFERROR(IF(Cost_Elements[[#This Row],[Row]]&gt;='Do Not Use or Delete'!$L$2, IF(Cost_Elements[[#This Row],[Row]]&lt;='Do Not Use or Delete'!$M$2,X243*Y243,0),0)+IF(Cost_Elements[[#This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3" s="63"/>
      <c r="AB243" s="63"/>
      <c r="AC243" s="79"/>
      <c r="AD243" s="74"/>
      <c r="AE243" s="75">
        <f ca="1">IFERROR(IF(Cost_Elements[[#This Row],[Row]]&gt;='Do Not Use or Delete'!$L$2, IF(Cost_Elements[[#This Row],[Row]]&lt;='Do Not Use or Delete'!$M$2,AC243*AD243,0),0)+IF(Cost_Elements[[#This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3" s="64"/>
      <c r="AG243" s="65"/>
      <c r="AH243" s="79"/>
      <c r="AI243" s="74"/>
      <c r="AJ243" s="458"/>
      <c r="AK243" s="458"/>
      <c r="AL243" s="75">
        <f ca="1">IFERROR(IF(Cost_Elements[[#This Row],[Row]]&gt;='Do Not Use or Delete'!$L$2, IF(Cost_Elements[[#This Row],[Row]]&lt;='Do Not Use or Delete'!$M$2,AH243*AI243,0),0)+IF(Cost_Elements[[#This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3" s="64"/>
      <c r="AN243" s="65"/>
      <c r="AO243" s="125">
        <f t="shared" ref="AO243:AO255" si="20">J243+T243+AD243+O243+Y243+AI243</f>
        <v>0</v>
      </c>
      <c r="AP243" s="78">
        <f t="shared" ref="AP243:AP255" ca="1" si="21">K243+U243+AE243+P243+Z243+AL243</f>
        <v>0</v>
      </c>
      <c r="AQ243" s="68">
        <f ca="1">ROW(Cost_Elements[[#This Row],[Amount | Total]])</f>
        <v>243</v>
      </c>
    </row>
    <row r="244" spans="1:43">
      <c r="A244" s="240" t="s">
        <v>165</v>
      </c>
      <c r="B244" s="275"/>
      <c r="C244" s="277"/>
      <c r="D244" s="318"/>
      <c r="E244" s="318"/>
      <c r="F244" s="318"/>
      <c r="G244" s="318"/>
      <c r="H244" s="121" t="str">
        <f ca="1">IFERROR(INDEX(Labor_Categories[Minimum Direct Labor Rates],MATCH(Cost_Elements[[#This Row],[Government Labor Category]],Labor_Categories[Labor Categories],0)),"")</f>
        <v/>
      </c>
      <c r="I244" s="73"/>
      <c r="J244" s="74"/>
      <c r="K244" s="75">
        <f ca="1">IFERROR(IF(Cost_Elements[[#This Row],[Row]]&gt;='Do Not Use or Delete'!$L$2, IF(Cost_Elements[[#This Row],[Row]]&lt;='Do Not Use or Delete'!$M$2,I244*J244,0),0)+IF(Cost_Elements[[#This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4" s="63"/>
      <c r="M244" s="63"/>
      <c r="N244" s="73"/>
      <c r="O244" s="74"/>
      <c r="P244" s="75">
        <f ca="1">IFERROR(IF(Cost_Elements[[#This Row],[Row]]&gt;='Do Not Use or Delete'!$L$2, IF(Cost_Elements[[#This Row],[Row]]&lt;='Do Not Use or Delete'!$M$2,N244*O244,0),0)+IF(Cost_Elements[[#This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4" s="63"/>
      <c r="R244" s="63"/>
      <c r="S244" s="79"/>
      <c r="T244" s="74"/>
      <c r="U244" s="75">
        <f ca="1">IFERROR(IF(Cost_Elements[[#This Row],[Row]]&gt;='Do Not Use or Delete'!$L$2, IF(Cost_Elements[[#This Row],[Row]]&lt;='Do Not Use or Delete'!$M$2,S244*T244,0),0)+IF(Cost_Elements[[#This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4" s="63"/>
      <c r="W244" s="63"/>
      <c r="X244" s="79"/>
      <c r="Y244" s="74"/>
      <c r="Z244" s="75">
        <f ca="1">IFERROR(IF(Cost_Elements[[#This Row],[Row]]&gt;='Do Not Use or Delete'!$L$2, IF(Cost_Elements[[#This Row],[Row]]&lt;='Do Not Use or Delete'!$M$2,X244*Y244,0),0)+IF(Cost_Elements[[#This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4" s="63"/>
      <c r="AB244" s="63"/>
      <c r="AC244" s="79"/>
      <c r="AD244" s="74"/>
      <c r="AE244" s="75">
        <f ca="1">IFERROR(IF(Cost_Elements[[#This Row],[Row]]&gt;='Do Not Use or Delete'!$L$2, IF(Cost_Elements[[#This Row],[Row]]&lt;='Do Not Use or Delete'!$M$2,AC244*AD244,0),0)+IF(Cost_Elements[[#This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4" s="64"/>
      <c r="AG244" s="65"/>
      <c r="AH244" s="79"/>
      <c r="AI244" s="74"/>
      <c r="AJ244" s="458"/>
      <c r="AK244" s="458"/>
      <c r="AL244" s="75">
        <f ca="1">IFERROR(IF(Cost_Elements[[#This Row],[Row]]&gt;='Do Not Use or Delete'!$L$2, IF(Cost_Elements[[#This Row],[Row]]&lt;='Do Not Use or Delete'!$M$2,AH244*AI244,0),0)+IF(Cost_Elements[[#This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4" s="64"/>
      <c r="AN244" s="65"/>
      <c r="AO244" s="125">
        <f t="shared" si="20"/>
        <v>0</v>
      </c>
      <c r="AP244" s="78">
        <f t="shared" ca="1" si="21"/>
        <v>0</v>
      </c>
      <c r="AQ244" s="68">
        <f ca="1">ROW(Cost_Elements[[#This Row],[Amount | Total]])</f>
        <v>244</v>
      </c>
    </row>
    <row r="245" spans="1:43">
      <c r="A245" s="240" t="s">
        <v>165</v>
      </c>
      <c r="B245" s="275"/>
      <c r="C245" s="277"/>
      <c r="D245" s="318"/>
      <c r="E245" s="318"/>
      <c r="F245" s="318"/>
      <c r="G245" s="318"/>
      <c r="H245" s="121" t="str">
        <f ca="1">IFERROR(INDEX(Labor_Categories[Minimum Direct Labor Rates],MATCH(Cost_Elements[[#This Row],[Government Labor Category]],Labor_Categories[Labor Categories],0)),"")</f>
        <v/>
      </c>
      <c r="I245" s="79"/>
      <c r="J245" s="74"/>
      <c r="K245" s="75">
        <f ca="1">IFERROR(IF(Cost_Elements[[#This Row],[Row]]&gt;='Do Not Use or Delete'!$L$2, IF(Cost_Elements[[#This Row],[Row]]&lt;='Do Not Use or Delete'!$M$2,I245*J245,0),0)+IF(Cost_Elements[[#This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5" s="63"/>
      <c r="M245" s="63"/>
      <c r="N245" s="79"/>
      <c r="O245" s="74"/>
      <c r="P245" s="75">
        <f ca="1">IFERROR(IF(Cost_Elements[[#This Row],[Row]]&gt;='Do Not Use or Delete'!$L$2, IF(Cost_Elements[[#This Row],[Row]]&lt;='Do Not Use or Delete'!$M$2,N245*O245,0),0)+IF(Cost_Elements[[#This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5" s="63"/>
      <c r="R245" s="63"/>
      <c r="S245" s="79"/>
      <c r="T245" s="74"/>
      <c r="U245" s="75">
        <f ca="1">IFERROR(IF(Cost_Elements[[#This Row],[Row]]&gt;='Do Not Use or Delete'!$L$2, IF(Cost_Elements[[#This Row],[Row]]&lt;='Do Not Use or Delete'!$M$2,S245*T245,0),0)+IF(Cost_Elements[[#This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5" s="63"/>
      <c r="W245" s="63"/>
      <c r="X245" s="79"/>
      <c r="Y245" s="74"/>
      <c r="Z245" s="75">
        <f ca="1">IFERROR(IF(Cost_Elements[[#This Row],[Row]]&gt;='Do Not Use or Delete'!$L$2, IF(Cost_Elements[[#This Row],[Row]]&lt;='Do Not Use or Delete'!$M$2,X245*Y245,0),0)+IF(Cost_Elements[[#This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5" s="63"/>
      <c r="AB245" s="63"/>
      <c r="AC245" s="79"/>
      <c r="AD245" s="74"/>
      <c r="AE245" s="75">
        <f ca="1">IFERROR(IF(Cost_Elements[[#This Row],[Row]]&gt;='Do Not Use or Delete'!$L$2, IF(Cost_Elements[[#This Row],[Row]]&lt;='Do Not Use or Delete'!$M$2,AC245*AD245,0),0)+IF(Cost_Elements[[#This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5" s="64"/>
      <c r="AG245" s="65"/>
      <c r="AH245" s="79"/>
      <c r="AI245" s="74"/>
      <c r="AJ245" s="458"/>
      <c r="AK245" s="458"/>
      <c r="AL245" s="75">
        <f ca="1">IFERROR(IF(Cost_Elements[[#This Row],[Row]]&gt;='Do Not Use or Delete'!$L$2, IF(Cost_Elements[[#This Row],[Row]]&lt;='Do Not Use or Delete'!$M$2,AH245*AI245,0),0)+IF(Cost_Elements[[#This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5" s="64"/>
      <c r="AN245" s="65"/>
      <c r="AO245" s="125">
        <f t="shared" si="20"/>
        <v>0</v>
      </c>
      <c r="AP245" s="78">
        <f t="shared" ca="1" si="21"/>
        <v>0</v>
      </c>
      <c r="AQ245" s="68">
        <f ca="1">ROW(Cost_Elements[[#This Row],[Amount | Total]])</f>
        <v>245</v>
      </c>
    </row>
    <row r="246" spans="1:43">
      <c r="A246" s="240" t="s">
        <v>165</v>
      </c>
      <c r="B246" s="275"/>
      <c r="C246" s="277"/>
      <c r="D246" s="318"/>
      <c r="E246" s="318"/>
      <c r="F246" s="318"/>
      <c r="G246" s="318"/>
      <c r="H246" s="121" t="str">
        <f ca="1">IFERROR(INDEX(Labor_Categories[Minimum Direct Labor Rates],MATCH(Cost_Elements[[#This Row],[Government Labor Category]],Labor_Categories[Labor Categories],0)),"")</f>
        <v/>
      </c>
      <c r="I246" s="79"/>
      <c r="J246" s="74"/>
      <c r="K246" s="75">
        <f ca="1">IFERROR(IF(Cost_Elements[[#This Row],[Row]]&gt;='Do Not Use or Delete'!$L$2, IF(Cost_Elements[[#This Row],[Row]]&lt;='Do Not Use or Delete'!$M$2,I246*J246,0),0)+IF(Cost_Elements[[#This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6" s="63"/>
      <c r="M246" s="63"/>
      <c r="N246" s="79"/>
      <c r="O246" s="74"/>
      <c r="P246" s="75">
        <f ca="1">IFERROR(IF(Cost_Elements[[#This Row],[Row]]&gt;='Do Not Use or Delete'!$L$2, IF(Cost_Elements[[#This Row],[Row]]&lt;='Do Not Use or Delete'!$M$2,N246*O246,0),0)+IF(Cost_Elements[[#This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6" s="63"/>
      <c r="R246" s="63"/>
      <c r="S246" s="79"/>
      <c r="T246" s="74"/>
      <c r="U246" s="75">
        <f ca="1">IFERROR(IF(Cost_Elements[[#This Row],[Row]]&gt;='Do Not Use or Delete'!$L$2, IF(Cost_Elements[[#This Row],[Row]]&lt;='Do Not Use or Delete'!$M$2,S246*T246,0),0)+IF(Cost_Elements[[#This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6" s="63"/>
      <c r="W246" s="63"/>
      <c r="X246" s="79"/>
      <c r="Y246" s="74"/>
      <c r="Z246" s="75">
        <f ca="1">IFERROR(IF(Cost_Elements[[#This Row],[Row]]&gt;='Do Not Use or Delete'!$L$2, IF(Cost_Elements[[#This Row],[Row]]&lt;='Do Not Use or Delete'!$M$2,X246*Y246,0),0)+IF(Cost_Elements[[#This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6" s="63"/>
      <c r="AB246" s="63"/>
      <c r="AC246" s="79"/>
      <c r="AD246" s="74"/>
      <c r="AE246" s="75">
        <f ca="1">IFERROR(IF(Cost_Elements[[#This Row],[Row]]&gt;='Do Not Use or Delete'!$L$2, IF(Cost_Elements[[#This Row],[Row]]&lt;='Do Not Use or Delete'!$M$2,AC246*AD246,0),0)+IF(Cost_Elements[[#This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6" s="64"/>
      <c r="AG246" s="65"/>
      <c r="AH246" s="79"/>
      <c r="AI246" s="74"/>
      <c r="AJ246" s="458"/>
      <c r="AK246" s="458"/>
      <c r="AL246" s="75">
        <f ca="1">IFERROR(IF(Cost_Elements[[#This Row],[Row]]&gt;='Do Not Use or Delete'!$L$2, IF(Cost_Elements[[#This Row],[Row]]&lt;='Do Not Use or Delete'!$M$2,AH246*AI246,0),0)+IF(Cost_Elements[[#This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6" s="64"/>
      <c r="AN246" s="65"/>
      <c r="AO246" s="125">
        <f t="shared" si="20"/>
        <v>0</v>
      </c>
      <c r="AP246" s="78">
        <f t="shared" ca="1" si="21"/>
        <v>0</v>
      </c>
      <c r="AQ246" s="68">
        <f ca="1">ROW(Cost_Elements[[#This Row],[Amount | Total]])</f>
        <v>246</v>
      </c>
    </row>
    <row r="247" spans="1:43">
      <c r="A247" s="240" t="s">
        <v>165</v>
      </c>
      <c r="B247" s="275"/>
      <c r="C247" s="277"/>
      <c r="D247" s="318"/>
      <c r="E247" s="318"/>
      <c r="F247" s="318"/>
      <c r="G247" s="318"/>
      <c r="H247" s="121" t="str">
        <f ca="1">IFERROR(INDEX(Labor_Categories[Minimum Direct Labor Rates],MATCH(Cost_Elements[[#This Row],[Government Labor Category]],Labor_Categories[Labor Categories],0)),"")</f>
        <v/>
      </c>
      <c r="I247" s="79"/>
      <c r="J247" s="74"/>
      <c r="K247" s="75">
        <f ca="1">IFERROR(IF(Cost_Elements[[#This Row],[Row]]&gt;='Do Not Use or Delete'!$L$2, IF(Cost_Elements[[#This Row],[Row]]&lt;='Do Not Use or Delete'!$M$2,I247*J247,0),0)+IF(Cost_Elements[[#This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7" s="63"/>
      <c r="M247" s="63"/>
      <c r="N247" s="79"/>
      <c r="O247" s="74"/>
      <c r="P247" s="75">
        <f ca="1">IFERROR(IF(Cost_Elements[[#This Row],[Row]]&gt;='Do Not Use or Delete'!$L$2, IF(Cost_Elements[[#This Row],[Row]]&lt;='Do Not Use or Delete'!$M$2,N247*O247,0),0)+IF(Cost_Elements[[#This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7" s="63"/>
      <c r="R247" s="63"/>
      <c r="S247" s="79"/>
      <c r="T247" s="74"/>
      <c r="U247" s="75">
        <f ca="1">IFERROR(IF(Cost_Elements[[#This Row],[Row]]&gt;='Do Not Use or Delete'!$L$2, IF(Cost_Elements[[#This Row],[Row]]&lt;='Do Not Use or Delete'!$M$2,S247*T247,0),0)+IF(Cost_Elements[[#This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7" s="63"/>
      <c r="W247" s="63"/>
      <c r="X247" s="79"/>
      <c r="Y247" s="74"/>
      <c r="Z247" s="75">
        <f ca="1">IFERROR(IF(Cost_Elements[[#This Row],[Row]]&gt;='Do Not Use or Delete'!$L$2, IF(Cost_Elements[[#This Row],[Row]]&lt;='Do Not Use or Delete'!$M$2,X247*Y247,0),0)+IF(Cost_Elements[[#This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7" s="63"/>
      <c r="AB247" s="63"/>
      <c r="AC247" s="79"/>
      <c r="AD247" s="74"/>
      <c r="AE247" s="75">
        <f ca="1">IFERROR(IF(Cost_Elements[[#This Row],[Row]]&gt;='Do Not Use or Delete'!$L$2, IF(Cost_Elements[[#This Row],[Row]]&lt;='Do Not Use or Delete'!$M$2,AC247*AD247,0),0)+IF(Cost_Elements[[#This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7" s="64"/>
      <c r="AG247" s="65"/>
      <c r="AH247" s="79"/>
      <c r="AI247" s="74"/>
      <c r="AJ247" s="458"/>
      <c r="AK247" s="458"/>
      <c r="AL247" s="75">
        <f ca="1">IFERROR(IF(Cost_Elements[[#This Row],[Row]]&gt;='Do Not Use or Delete'!$L$2, IF(Cost_Elements[[#This Row],[Row]]&lt;='Do Not Use or Delete'!$M$2,AH247*AI247,0),0)+IF(Cost_Elements[[#This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7" s="64"/>
      <c r="AN247" s="65"/>
      <c r="AO247" s="125">
        <f t="shared" si="20"/>
        <v>0</v>
      </c>
      <c r="AP247" s="78">
        <f t="shared" ca="1" si="21"/>
        <v>0</v>
      </c>
      <c r="AQ247" s="68">
        <f ca="1">ROW(Cost_Elements[[#This Row],[Amount | Total]])</f>
        <v>247</v>
      </c>
    </row>
    <row r="248" spans="1:43">
      <c r="A248" s="240" t="s">
        <v>165</v>
      </c>
      <c r="B248" s="275"/>
      <c r="C248" s="277"/>
      <c r="D248" s="318"/>
      <c r="E248" s="318"/>
      <c r="F248" s="318"/>
      <c r="G248" s="318"/>
      <c r="H248" s="121" t="str">
        <f ca="1">IFERROR(INDEX(Labor_Categories[Minimum Direct Labor Rates],MATCH(Cost_Elements[[#This Row],[Government Labor Category]],Labor_Categories[Labor Categories],0)),"")</f>
        <v/>
      </c>
      <c r="I248" s="79"/>
      <c r="J248" s="74"/>
      <c r="K248" s="75">
        <f ca="1">IFERROR(IF(Cost_Elements[[#This Row],[Row]]&gt;='Do Not Use or Delete'!$L$2, IF(Cost_Elements[[#This Row],[Row]]&lt;='Do Not Use or Delete'!$M$2,I248*J248,0),0)+IF(Cost_Elements[[#This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8" s="63"/>
      <c r="M248" s="63"/>
      <c r="N248" s="79"/>
      <c r="O248" s="74"/>
      <c r="P248" s="75">
        <f ca="1">IFERROR(IF(Cost_Elements[[#This Row],[Row]]&gt;='Do Not Use or Delete'!$L$2, IF(Cost_Elements[[#This Row],[Row]]&lt;='Do Not Use or Delete'!$M$2,N248*O248,0),0)+IF(Cost_Elements[[#This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8" s="63"/>
      <c r="R248" s="63"/>
      <c r="S248" s="79"/>
      <c r="T248" s="74"/>
      <c r="U248" s="75">
        <f ca="1">IFERROR(IF(Cost_Elements[[#This Row],[Row]]&gt;='Do Not Use or Delete'!$L$2, IF(Cost_Elements[[#This Row],[Row]]&lt;='Do Not Use or Delete'!$M$2,S248*T248,0),0)+IF(Cost_Elements[[#This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8" s="63"/>
      <c r="W248" s="63"/>
      <c r="X248" s="79"/>
      <c r="Y248" s="74"/>
      <c r="Z248" s="75">
        <f ca="1">IFERROR(IF(Cost_Elements[[#This Row],[Row]]&gt;='Do Not Use or Delete'!$L$2, IF(Cost_Elements[[#This Row],[Row]]&lt;='Do Not Use or Delete'!$M$2,X248*Y248,0),0)+IF(Cost_Elements[[#This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8" s="63"/>
      <c r="AB248" s="63"/>
      <c r="AC248" s="79"/>
      <c r="AD248" s="74"/>
      <c r="AE248" s="75">
        <f ca="1">IFERROR(IF(Cost_Elements[[#This Row],[Row]]&gt;='Do Not Use or Delete'!$L$2, IF(Cost_Elements[[#This Row],[Row]]&lt;='Do Not Use or Delete'!$M$2,AC248*AD248,0),0)+IF(Cost_Elements[[#This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8" s="64"/>
      <c r="AG248" s="65"/>
      <c r="AH248" s="79"/>
      <c r="AI248" s="74"/>
      <c r="AJ248" s="458"/>
      <c r="AK248" s="458"/>
      <c r="AL248" s="75">
        <f ca="1">IFERROR(IF(Cost_Elements[[#This Row],[Row]]&gt;='Do Not Use or Delete'!$L$2, IF(Cost_Elements[[#This Row],[Row]]&lt;='Do Not Use or Delete'!$M$2,AH248*AI248,0),0)+IF(Cost_Elements[[#This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8" s="64"/>
      <c r="AN248" s="65"/>
      <c r="AO248" s="125">
        <f t="shared" si="20"/>
        <v>0</v>
      </c>
      <c r="AP248" s="78">
        <f t="shared" ca="1" si="21"/>
        <v>0</v>
      </c>
      <c r="AQ248" s="68">
        <f ca="1">ROW(Cost_Elements[[#This Row],[Amount | Total]])</f>
        <v>248</v>
      </c>
    </row>
    <row r="249" spans="1:43">
      <c r="A249" s="240" t="s">
        <v>165</v>
      </c>
      <c r="B249" s="275"/>
      <c r="C249" s="277"/>
      <c r="D249" s="318"/>
      <c r="E249" s="318"/>
      <c r="F249" s="318"/>
      <c r="G249" s="318"/>
      <c r="H249" s="121" t="str">
        <f ca="1">IFERROR(INDEX(Labor_Categories[Minimum Direct Labor Rates],MATCH(Cost_Elements[[#This Row],[Government Labor Category]],Labor_Categories[Labor Categories],0)),"")</f>
        <v/>
      </c>
      <c r="I249" s="79"/>
      <c r="J249" s="74"/>
      <c r="K249" s="75">
        <f ca="1">IFERROR(IF(Cost_Elements[[#This Row],[Row]]&gt;='Do Not Use or Delete'!$L$2, IF(Cost_Elements[[#This Row],[Row]]&lt;='Do Not Use or Delete'!$M$2,I249*J249,0),0)+IF(Cost_Elements[[#This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9" s="63"/>
      <c r="M249" s="63"/>
      <c r="N249" s="79"/>
      <c r="O249" s="74"/>
      <c r="P249" s="75">
        <f ca="1">IFERROR(IF(Cost_Elements[[#This Row],[Row]]&gt;='Do Not Use or Delete'!$L$2, IF(Cost_Elements[[#This Row],[Row]]&lt;='Do Not Use or Delete'!$M$2,N249*O249,0),0)+IF(Cost_Elements[[#This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9" s="63"/>
      <c r="R249" s="63"/>
      <c r="S249" s="79"/>
      <c r="T249" s="74"/>
      <c r="U249" s="75">
        <f ca="1">IFERROR(IF(Cost_Elements[[#This Row],[Row]]&gt;='Do Not Use or Delete'!$L$2, IF(Cost_Elements[[#This Row],[Row]]&lt;='Do Not Use or Delete'!$M$2,S249*T249,0),0)+IF(Cost_Elements[[#This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9" s="63"/>
      <c r="W249" s="63"/>
      <c r="X249" s="79"/>
      <c r="Y249" s="74"/>
      <c r="Z249" s="75">
        <f ca="1">IFERROR(IF(Cost_Elements[[#This Row],[Row]]&gt;='Do Not Use or Delete'!$L$2, IF(Cost_Elements[[#This Row],[Row]]&lt;='Do Not Use or Delete'!$M$2,X249*Y249,0),0)+IF(Cost_Elements[[#This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9" s="63"/>
      <c r="AB249" s="63"/>
      <c r="AC249" s="79"/>
      <c r="AD249" s="74"/>
      <c r="AE249" s="75">
        <f ca="1">IFERROR(IF(Cost_Elements[[#This Row],[Row]]&gt;='Do Not Use or Delete'!$L$2, IF(Cost_Elements[[#This Row],[Row]]&lt;='Do Not Use or Delete'!$M$2,AC249*AD249,0),0)+IF(Cost_Elements[[#This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9" s="64"/>
      <c r="AG249" s="65"/>
      <c r="AH249" s="79"/>
      <c r="AI249" s="74"/>
      <c r="AJ249" s="458"/>
      <c r="AK249" s="458"/>
      <c r="AL249" s="75">
        <f ca="1">IFERROR(IF(Cost_Elements[[#This Row],[Row]]&gt;='Do Not Use or Delete'!$L$2, IF(Cost_Elements[[#This Row],[Row]]&lt;='Do Not Use or Delete'!$M$2,AH249*AI249,0),0)+IF(Cost_Elements[[#This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9" s="64"/>
      <c r="AN249" s="65"/>
      <c r="AO249" s="125">
        <f t="shared" si="20"/>
        <v>0</v>
      </c>
      <c r="AP249" s="78">
        <f t="shared" ca="1" si="21"/>
        <v>0</v>
      </c>
      <c r="AQ249" s="68">
        <f ca="1">ROW(Cost_Elements[[#This Row],[Amount | Total]])</f>
        <v>249</v>
      </c>
    </row>
    <row r="250" spans="1:43">
      <c r="A250" s="240" t="s">
        <v>165</v>
      </c>
      <c r="B250" s="275"/>
      <c r="C250" s="277"/>
      <c r="D250" s="318"/>
      <c r="E250" s="318"/>
      <c r="F250" s="318"/>
      <c r="G250" s="318"/>
      <c r="H250" s="121" t="str">
        <f ca="1">IFERROR(INDEX(Labor_Categories[Minimum Direct Labor Rates],MATCH(Cost_Elements[[#This Row],[Government Labor Category]],Labor_Categories[Labor Categories],0)),"")</f>
        <v/>
      </c>
      <c r="I250" s="79"/>
      <c r="J250" s="74"/>
      <c r="K250" s="75">
        <f ca="1">IFERROR(IF(Cost_Elements[[#This Row],[Row]]&gt;='Do Not Use or Delete'!$L$2, IF(Cost_Elements[[#This Row],[Row]]&lt;='Do Not Use or Delete'!$M$2,I250*J250,0),0)+IF(Cost_Elements[[#This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0" s="63"/>
      <c r="M250" s="63"/>
      <c r="N250" s="79"/>
      <c r="O250" s="74"/>
      <c r="P250" s="75">
        <f ca="1">IFERROR(IF(Cost_Elements[[#This Row],[Row]]&gt;='Do Not Use or Delete'!$L$2, IF(Cost_Elements[[#This Row],[Row]]&lt;='Do Not Use or Delete'!$M$2,N250*O250,0),0)+IF(Cost_Elements[[#This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0" s="63"/>
      <c r="R250" s="63"/>
      <c r="S250" s="79"/>
      <c r="T250" s="74"/>
      <c r="U250" s="75">
        <f ca="1">IFERROR(IF(Cost_Elements[[#This Row],[Row]]&gt;='Do Not Use or Delete'!$L$2, IF(Cost_Elements[[#This Row],[Row]]&lt;='Do Not Use or Delete'!$M$2,S250*T250,0),0)+IF(Cost_Elements[[#This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0" s="63"/>
      <c r="W250" s="63"/>
      <c r="X250" s="79"/>
      <c r="Y250" s="74"/>
      <c r="Z250" s="75">
        <f ca="1">IFERROR(IF(Cost_Elements[[#This Row],[Row]]&gt;='Do Not Use or Delete'!$L$2, IF(Cost_Elements[[#This Row],[Row]]&lt;='Do Not Use or Delete'!$M$2,X250*Y250,0),0)+IF(Cost_Elements[[#This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0" s="63"/>
      <c r="AB250" s="63"/>
      <c r="AC250" s="79"/>
      <c r="AD250" s="74"/>
      <c r="AE250" s="75">
        <f ca="1">IFERROR(IF(Cost_Elements[[#This Row],[Row]]&gt;='Do Not Use or Delete'!$L$2, IF(Cost_Elements[[#This Row],[Row]]&lt;='Do Not Use or Delete'!$M$2,AC250*AD250,0),0)+IF(Cost_Elements[[#This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0" s="64"/>
      <c r="AG250" s="65"/>
      <c r="AH250" s="79"/>
      <c r="AI250" s="74"/>
      <c r="AJ250" s="458"/>
      <c r="AK250" s="458"/>
      <c r="AL250" s="75">
        <f ca="1">IFERROR(IF(Cost_Elements[[#This Row],[Row]]&gt;='Do Not Use or Delete'!$L$2, IF(Cost_Elements[[#This Row],[Row]]&lt;='Do Not Use or Delete'!$M$2,AH250*AI250,0),0)+IF(Cost_Elements[[#This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0" s="64"/>
      <c r="AN250" s="65"/>
      <c r="AO250" s="125">
        <f t="shared" si="20"/>
        <v>0</v>
      </c>
      <c r="AP250" s="78">
        <f t="shared" ca="1" si="21"/>
        <v>0</v>
      </c>
      <c r="AQ250" s="68">
        <f ca="1">ROW(Cost_Elements[[#This Row],[Amount | Total]])</f>
        <v>250</v>
      </c>
    </row>
    <row r="251" spans="1:43">
      <c r="A251" s="240" t="s">
        <v>165</v>
      </c>
      <c r="B251" s="275"/>
      <c r="C251" s="277"/>
      <c r="D251" s="318"/>
      <c r="E251" s="318"/>
      <c r="F251" s="318"/>
      <c r="G251" s="318"/>
      <c r="H251" s="121" t="str">
        <f ca="1">IFERROR(INDEX(Labor_Categories[Minimum Direct Labor Rates],MATCH(Cost_Elements[[#This Row],[Government Labor Category]],Labor_Categories[Labor Categories],0)),"")</f>
        <v/>
      </c>
      <c r="I251" s="79"/>
      <c r="J251" s="74"/>
      <c r="K251" s="75">
        <f ca="1">IFERROR(IF(Cost_Elements[[#This Row],[Row]]&gt;='Do Not Use or Delete'!$L$2, IF(Cost_Elements[[#This Row],[Row]]&lt;='Do Not Use or Delete'!$M$2,I251*J251,0),0)+IF(Cost_Elements[[#This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1" s="63"/>
      <c r="M251" s="63"/>
      <c r="N251" s="79"/>
      <c r="O251" s="74"/>
      <c r="P251" s="75">
        <f ca="1">IFERROR(IF(Cost_Elements[[#This Row],[Row]]&gt;='Do Not Use or Delete'!$L$2, IF(Cost_Elements[[#This Row],[Row]]&lt;='Do Not Use or Delete'!$M$2,N251*O251,0),0)+IF(Cost_Elements[[#This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1" s="63"/>
      <c r="R251" s="63"/>
      <c r="S251" s="79"/>
      <c r="T251" s="74"/>
      <c r="U251" s="75">
        <f ca="1">IFERROR(IF(Cost_Elements[[#This Row],[Row]]&gt;='Do Not Use or Delete'!$L$2, IF(Cost_Elements[[#This Row],[Row]]&lt;='Do Not Use or Delete'!$M$2,S251*T251,0),0)+IF(Cost_Elements[[#This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1" s="63"/>
      <c r="W251" s="63"/>
      <c r="X251" s="79"/>
      <c r="Y251" s="74"/>
      <c r="Z251" s="75">
        <f ca="1">IFERROR(IF(Cost_Elements[[#This Row],[Row]]&gt;='Do Not Use or Delete'!$L$2, IF(Cost_Elements[[#This Row],[Row]]&lt;='Do Not Use or Delete'!$M$2,X251*Y251,0),0)+IF(Cost_Elements[[#This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1" s="63"/>
      <c r="AB251" s="63"/>
      <c r="AC251" s="79"/>
      <c r="AD251" s="74"/>
      <c r="AE251" s="75">
        <f ca="1">IFERROR(IF(Cost_Elements[[#This Row],[Row]]&gt;='Do Not Use or Delete'!$L$2, IF(Cost_Elements[[#This Row],[Row]]&lt;='Do Not Use or Delete'!$M$2,AC251*AD251,0),0)+IF(Cost_Elements[[#This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1" s="64"/>
      <c r="AG251" s="65"/>
      <c r="AH251" s="79"/>
      <c r="AI251" s="74"/>
      <c r="AJ251" s="458"/>
      <c r="AK251" s="458"/>
      <c r="AL251" s="75">
        <f ca="1">IFERROR(IF(Cost_Elements[[#This Row],[Row]]&gt;='Do Not Use or Delete'!$L$2, IF(Cost_Elements[[#This Row],[Row]]&lt;='Do Not Use or Delete'!$M$2,AH251*AI251,0),0)+IF(Cost_Elements[[#This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1" s="64"/>
      <c r="AN251" s="65"/>
      <c r="AO251" s="125">
        <f t="shared" si="20"/>
        <v>0</v>
      </c>
      <c r="AP251" s="78">
        <f t="shared" ca="1" si="21"/>
        <v>0</v>
      </c>
      <c r="AQ251" s="68">
        <f ca="1">ROW(Cost_Elements[[#This Row],[Amount | Total]])</f>
        <v>251</v>
      </c>
    </row>
    <row r="252" spans="1:43">
      <c r="A252" s="240" t="s">
        <v>165</v>
      </c>
      <c r="B252" s="275"/>
      <c r="C252" s="277"/>
      <c r="D252" s="318"/>
      <c r="E252" s="318"/>
      <c r="F252" s="318"/>
      <c r="G252" s="318"/>
      <c r="H252" s="121" t="str">
        <f ca="1">IFERROR(INDEX(Labor_Categories[Minimum Direct Labor Rates],MATCH(Cost_Elements[[#This Row],[Government Labor Category]],Labor_Categories[Labor Categories],0)),"")</f>
        <v/>
      </c>
      <c r="I252" s="79"/>
      <c r="J252" s="74"/>
      <c r="K252" s="75">
        <f ca="1">IFERROR(IF(Cost_Elements[[#This Row],[Row]]&gt;='Do Not Use or Delete'!$L$2, IF(Cost_Elements[[#This Row],[Row]]&lt;='Do Not Use or Delete'!$M$2,I252*J252,0),0)+IF(Cost_Elements[[#This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2" s="63"/>
      <c r="M252" s="63"/>
      <c r="N252" s="79"/>
      <c r="O252" s="74"/>
      <c r="P252" s="75">
        <f ca="1">IFERROR(IF(Cost_Elements[[#This Row],[Row]]&gt;='Do Not Use or Delete'!$L$2, IF(Cost_Elements[[#This Row],[Row]]&lt;='Do Not Use or Delete'!$M$2,N252*O252,0),0)+IF(Cost_Elements[[#This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2" s="63"/>
      <c r="R252" s="63"/>
      <c r="S252" s="79"/>
      <c r="T252" s="74"/>
      <c r="U252" s="75">
        <f ca="1">IFERROR(IF(Cost_Elements[[#This Row],[Row]]&gt;='Do Not Use or Delete'!$L$2, IF(Cost_Elements[[#This Row],[Row]]&lt;='Do Not Use or Delete'!$M$2,S252*T252,0),0)+IF(Cost_Elements[[#This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2" s="63"/>
      <c r="W252" s="63"/>
      <c r="X252" s="79"/>
      <c r="Y252" s="74"/>
      <c r="Z252" s="75">
        <f ca="1">IFERROR(IF(Cost_Elements[[#This Row],[Row]]&gt;='Do Not Use or Delete'!$L$2, IF(Cost_Elements[[#This Row],[Row]]&lt;='Do Not Use or Delete'!$M$2,X252*Y252,0),0)+IF(Cost_Elements[[#This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2" s="63"/>
      <c r="AB252" s="63"/>
      <c r="AC252" s="79"/>
      <c r="AD252" s="74"/>
      <c r="AE252" s="75">
        <f ca="1">IFERROR(IF(Cost_Elements[[#This Row],[Row]]&gt;='Do Not Use or Delete'!$L$2, IF(Cost_Elements[[#This Row],[Row]]&lt;='Do Not Use or Delete'!$M$2,AC252*AD252,0),0)+IF(Cost_Elements[[#This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2" s="64"/>
      <c r="AG252" s="65"/>
      <c r="AH252" s="79"/>
      <c r="AI252" s="74"/>
      <c r="AJ252" s="458"/>
      <c r="AK252" s="458"/>
      <c r="AL252" s="75">
        <f ca="1">IFERROR(IF(Cost_Elements[[#This Row],[Row]]&gt;='Do Not Use or Delete'!$L$2, IF(Cost_Elements[[#This Row],[Row]]&lt;='Do Not Use or Delete'!$M$2,AH252*AI252,0),0)+IF(Cost_Elements[[#This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2" s="64"/>
      <c r="AN252" s="65"/>
      <c r="AO252" s="125">
        <f t="shared" si="20"/>
        <v>0</v>
      </c>
      <c r="AP252" s="78">
        <f t="shared" ca="1" si="21"/>
        <v>0</v>
      </c>
      <c r="AQ252" s="68">
        <f ca="1">ROW(Cost_Elements[[#This Row],[Amount | Total]])</f>
        <v>252</v>
      </c>
    </row>
    <row r="253" spans="1:43">
      <c r="A253" s="240" t="s">
        <v>165</v>
      </c>
      <c r="B253" s="275"/>
      <c r="C253" s="277"/>
      <c r="D253" s="318"/>
      <c r="E253" s="318"/>
      <c r="F253" s="318"/>
      <c r="G253" s="318"/>
      <c r="H253" s="121" t="str">
        <f ca="1">IFERROR(INDEX(Labor_Categories[Minimum Direct Labor Rates],MATCH(Cost_Elements[[#This Row],[Government Labor Category]],Labor_Categories[Labor Categories],0)),"")</f>
        <v/>
      </c>
      <c r="I253" s="79"/>
      <c r="J253" s="74"/>
      <c r="K253" s="75">
        <f ca="1">IFERROR(IF(Cost_Elements[[#This Row],[Row]]&gt;='Do Not Use or Delete'!$L$2, IF(Cost_Elements[[#This Row],[Row]]&lt;='Do Not Use or Delete'!$M$2,I253*J253,0),0)+IF(Cost_Elements[[#This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3" s="63"/>
      <c r="M253" s="63"/>
      <c r="N253" s="79"/>
      <c r="O253" s="74"/>
      <c r="P253" s="75">
        <f ca="1">IFERROR(IF(Cost_Elements[[#This Row],[Row]]&gt;='Do Not Use or Delete'!$L$2, IF(Cost_Elements[[#This Row],[Row]]&lt;='Do Not Use or Delete'!$M$2,N253*O253,0),0)+IF(Cost_Elements[[#This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3" s="63"/>
      <c r="R253" s="63"/>
      <c r="S253" s="79"/>
      <c r="T253" s="74"/>
      <c r="U253" s="75">
        <f ca="1">IFERROR(IF(Cost_Elements[[#This Row],[Row]]&gt;='Do Not Use or Delete'!$L$2, IF(Cost_Elements[[#This Row],[Row]]&lt;='Do Not Use or Delete'!$M$2,S253*T253,0),0)+IF(Cost_Elements[[#This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3" s="63"/>
      <c r="W253" s="63"/>
      <c r="X253" s="79"/>
      <c r="Y253" s="74"/>
      <c r="Z253" s="75">
        <f ca="1">IFERROR(IF(Cost_Elements[[#This Row],[Row]]&gt;='Do Not Use or Delete'!$L$2, IF(Cost_Elements[[#This Row],[Row]]&lt;='Do Not Use or Delete'!$M$2,X253*Y253,0),0)+IF(Cost_Elements[[#This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3" s="63"/>
      <c r="AB253" s="63"/>
      <c r="AC253" s="79"/>
      <c r="AD253" s="74"/>
      <c r="AE253" s="75">
        <f ca="1">IFERROR(IF(Cost_Elements[[#This Row],[Row]]&gt;='Do Not Use or Delete'!$L$2, IF(Cost_Elements[[#This Row],[Row]]&lt;='Do Not Use or Delete'!$M$2,AC253*AD253,0),0)+IF(Cost_Elements[[#This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3" s="64"/>
      <c r="AG253" s="65"/>
      <c r="AH253" s="79"/>
      <c r="AI253" s="74"/>
      <c r="AJ253" s="458"/>
      <c r="AK253" s="458"/>
      <c r="AL253" s="75">
        <f ca="1">IFERROR(IF(Cost_Elements[[#This Row],[Row]]&gt;='Do Not Use or Delete'!$L$2, IF(Cost_Elements[[#This Row],[Row]]&lt;='Do Not Use or Delete'!$M$2,AH253*AI253,0),0)+IF(Cost_Elements[[#This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3" s="64"/>
      <c r="AN253" s="65"/>
      <c r="AO253" s="125">
        <f t="shared" si="20"/>
        <v>0</v>
      </c>
      <c r="AP253" s="78">
        <f t="shared" ca="1" si="21"/>
        <v>0</v>
      </c>
      <c r="AQ253" s="68">
        <f ca="1">ROW(Cost_Elements[[#This Row],[Amount | Total]])</f>
        <v>253</v>
      </c>
    </row>
    <row r="254" spans="1:43">
      <c r="A254" s="240" t="s">
        <v>165</v>
      </c>
      <c r="B254" s="275"/>
      <c r="C254" s="277"/>
      <c r="D254" s="318"/>
      <c r="E254" s="318"/>
      <c r="F254" s="318"/>
      <c r="G254" s="318"/>
      <c r="H254" s="121" t="str">
        <f ca="1">IFERROR(INDEX(Labor_Categories[Minimum Direct Labor Rates],MATCH(Cost_Elements[[#This Row],[Government Labor Category]],Labor_Categories[Labor Categories],0)),"")</f>
        <v/>
      </c>
      <c r="I254" s="79"/>
      <c r="J254" s="74"/>
      <c r="K254" s="75">
        <f ca="1">IFERROR(IF(Cost_Elements[[#This Row],[Row]]&gt;='Do Not Use or Delete'!$L$2, IF(Cost_Elements[[#This Row],[Row]]&lt;='Do Not Use or Delete'!$M$2,I254*J254,0),0)+IF(Cost_Elements[[#This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4" s="63"/>
      <c r="M254" s="63"/>
      <c r="N254" s="79"/>
      <c r="O254" s="74"/>
      <c r="P254" s="75">
        <f ca="1">IFERROR(IF(Cost_Elements[[#This Row],[Row]]&gt;='Do Not Use or Delete'!$L$2, IF(Cost_Elements[[#This Row],[Row]]&lt;='Do Not Use or Delete'!$M$2,N254*O254,0),0)+IF(Cost_Elements[[#This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4" s="63"/>
      <c r="R254" s="63"/>
      <c r="S254" s="79"/>
      <c r="T254" s="74"/>
      <c r="U254" s="75">
        <f ca="1">IFERROR(IF(Cost_Elements[[#This Row],[Row]]&gt;='Do Not Use or Delete'!$L$2, IF(Cost_Elements[[#This Row],[Row]]&lt;='Do Not Use or Delete'!$M$2,S254*T254,0),0)+IF(Cost_Elements[[#This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4" s="63"/>
      <c r="W254" s="63"/>
      <c r="X254" s="79"/>
      <c r="Y254" s="74"/>
      <c r="Z254" s="75">
        <f ca="1">IFERROR(IF(Cost_Elements[[#This Row],[Row]]&gt;='Do Not Use or Delete'!$L$2, IF(Cost_Elements[[#This Row],[Row]]&lt;='Do Not Use or Delete'!$M$2,X254*Y254,0),0)+IF(Cost_Elements[[#This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4" s="63"/>
      <c r="AB254" s="63"/>
      <c r="AC254" s="79"/>
      <c r="AD254" s="74"/>
      <c r="AE254" s="75">
        <f ca="1">IFERROR(IF(Cost_Elements[[#This Row],[Row]]&gt;='Do Not Use or Delete'!$L$2, IF(Cost_Elements[[#This Row],[Row]]&lt;='Do Not Use or Delete'!$M$2,AC254*AD254,0),0)+IF(Cost_Elements[[#This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4" s="64"/>
      <c r="AG254" s="65"/>
      <c r="AH254" s="79"/>
      <c r="AI254" s="74"/>
      <c r="AJ254" s="458"/>
      <c r="AK254" s="458"/>
      <c r="AL254" s="75">
        <f ca="1">IFERROR(IF(Cost_Elements[[#This Row],[Row]]&gt;='Do Not Use or Delete'!$L$2, IF(Cost_Elements[[#This Row],[Row]]&lt;='Do Not Use or Delete'!$M$2,AH254*AI254,0),0)+IF(Cost_Elements[[#This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4" s="64"/>
      <c r="AN254" s="65"/>
      <c r="AO254" s="125">
        <f t="shared" si="20"/>
        <v>0</v>
      </c>
      <c r="AP254" s="78">
        <f t="shared" ca="1" si="21"/>
        <v>0</v>
      </c>
      <c r="AQ254" s="68">
        <f ca="1">ROW(Cost_Elements[[#This Row],[Amount | Total]])</f>
        <v>254</v>
      </c>
    </row>
    <row r="255" spans="1:43">
      <c r="A255" s="257"/>
      <c r="B255" s="276"/>
      <c r="C255" s="277"/>
      <c r="D255" s="318"/>
      <c r="E255" s="318"/>
      <c r="F255" s="318"/>
      <c r="G255" s="318"/>
      <c r="H255" s="121" t="str">
        <f ca="1">IFERROR(INDEX(Labor_Categories[Minimum Direct Labor Rates],MATCH(Cost_Elements[[#This Row],[Government Labor Category]],Labor_Categories[Labor Categories],0)),"")</f>
        <v/>
      </c>
      <c r="I255" s="79"/>
      <c r="J255" s="74"/>
      <c r="K255" s="75">
        <f ca="1">IFERROR(IF(Cost_Elements[[#This Row],[Row]]&gt;='Do Not Use or Delete'!$L$2, IF(Cost_Elements[[#This Row],[Row]]&lt;='Do Not Use or Delete'!$M$2,I255*J255,0),0)+IF(Cost_Elements[[#This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5" s="63"/>
      <c r="M255" s="63"/>
      <c r="N255" s="79"/>
      <c r="O255" s="74"/>
      <c r="P255" s="75">
        <f ca="1">IFERROR(IF(Cost_Elements[[#This Row],[Row]]&gt;='Do Not Use or Delete'!$L$2, IF(Cost_Elements[[#This Row],[Row]]&lt;='Do Not Use or Delete'!$M$2,N255*O255,0),0)+IF(Cost_Elements[[#This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5" s="63"/>
      <c r="R255" s="63"/>
      <c r="S255" s="79"/>
      <c r="T255" s="74"/>
      <c r="U255" s="75">
        <f ca="1">IFERROR(IF(Cost_Elements[[#This Row],[Row]]&gt;='Do Not Use or Delete'!$L$2, IF(Cost_Elements[[#This Row],[Row]]&lt;='Do Not Use or Delete'!$M$2,S255*T255,0),0)+IF(Cost_Elements[[#This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5" s="63"/>
      <c r="W255" s="63"/>
      <c r="X255" s="79"/>
      <c r="Y255" s="74"/>
      <c r="Z255" s="75">
        <f ca="1">IFERROR(IF(Cost_Elements[[#This Row],[Row]]&gt;='Do Not Use or Delete'!$L$2, IF(Cost_Elements[[#This Row],[Row]]&lt;='Do Not Use or Delete'!$M$2,X255*Y255,0),0)+IF(Cost_Elements[[#This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5" s="63"/>
      <c r="AB255" s="63"/>
      <c r="AC255" s="79"/>
      <c r="AD255" s="74"/>
      <c r="AE255" s="75">
        <f ca="1">IFERROR(IF(Cost_Elements[[#This Row],[Row]]&gt;='Do Not Use or Delete'!$L$2, IF(Cost_Elements[[#This Row],[Row]]&lt;='Do Not Use or Delete'!$M$2,AC255*AD255,0),0)+IF(Cost_Elements[[#This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5" s="64"/>
      <c r="AG255" s="65"/>
      <c r="AH255" s="79"/>
      <c r="AI255" s="74"/>
      <c r="AJ255" s="458"/>
      <c r="AK255" s="458"/>
      <c r="AL255" s="75">
        <f ca="1">IFERROR(IF(Cost_Elements[[#This Row],[Row]]&gt;='Do Not Use or Delete'!$L$2, IF(Cost_Elements[[#This Row],[Row]]&lt;='Do Not Use or Delete'!$M$2,AH255*AI255,0),0)+IF(Cost_Elements[[#This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5" s="64"/>
      <c r="AN255" s="65"/>
      <c r="AO255" s="125">
        <f t="shared" si="20"/>
        <v>0</v>
      </c>
      <c r="AP255" s="78">
        <f t="shared" ca="1" si="21"/>
        <v>0</v>
      </c>
      <c r="AQ255" s="68">
        <f ca="1">ROW(Cost_Elements[[#This Row],[Amount | Total]])</f>
        <v>255</v>
      </c>
    </row>
    <row r="256" spans="1:43">
      <c r="A256" s="239" t="s">
        <v>190</v>
      </c>
      <c r="B256" s="70"/>
      <c r="C256" s="69"/>
      <c r="D256" s="61"/>
      <c r="E256" s="61"/>
      <c r="F256" s="61"/>
      <c r="G256" s="61"/>
      <c r="H256" s="59" t="str">
        <f ca="1">IFERROR(INDEX(Labor_Categories[Minimum Direct Labor Rates],MATCH(Cost_Elements[[#This Row],[Government Labor Category]],Labor_Categories[Labor Categories],0)),"")</f>
        <v/>
      </c>
      <c r="I256" s="11"/>
      <c r="J256" s="119">
        <f ca="1">SUM(J257:J270)</f>
        <v>0</v>
      </c>
      <c r="K256" s="120">
        <f ca="1">SUM(K257:K270)</f>
        <v>0</v>
      </c>
      <c r="L256" s="248"/>
      <c r="M256" s="248"/>
      <c r="N256" s="124"/>
      <c r="O256" s="119">
        <f ca="1">SUM(O257:O270)</f>
        <v>0</v>
      </c>
      <c r="P256" s="120">
        <f ca="1">SUM(P257:P270)</f>
        <v>0</v>
      </c>
      <c r="Q256" s="248"/>
      <c r="R256" s="248"/>
      <c r="S256" s="11">
        <f ca="1">(Cost_Elements[[#This Row],[Rate | 2]]*$T$4)+Cost_Elements[[#This Row],[Rate | 2]]</f>
        <v>0</v>
      </c>
      <c r="T256" s="119">
        <f ca="1">SUM(T257:T270)</f>
        <v>0</v>
      </c>
      <c r="U256" s="120">
        <f ca="1">SUM(U257:U270)</f>
        <v>0</v>
      </c>
      <c r="V256" s="248"/>
      <c r="W256" s="248"/>
      <c r="X256" s="11">
        <f ca="1">(Cost_Elements[[#This Row],[Rate | 3]]*$Y$4)+Cost_Elements[[#This Row],[Rate | 3]]</f>
        <v>0</v>
      </c>
      <c r="Y256" s="119">
        <f ca="1">SUM(Y257:Y270)</f>
        <v>0</v>
      </c>
      <c r="Z256" s="120">
        <f ca="1">SUM(Z257:Z270)</f>
        <v>0</v>
      </c>
      <c r="AA256" s="248"/>
      <c r="AB256" s="248"/>
      <c r="AC256" s="11">
        <f ca="1">(Cost_Elements[[#This Row],[Rate | 4]]*$AD$4)+Cost_Elements[[#This Row],[Rate | 4]]</f>
        <v>0</v>
      </c>
      <c r="AD256" s="119">
        <f ca="1">SUM(AD257:AD270)</f>
        <v>0</v>
      </c>
      <c r="AE256" s="120">
        <f ca="1">SUM(AE257:AE270)</f>
        <v>0</v>
      </c>
      <c r="AF256" s="102"/>
      <c r="AG256" s="91"/>
      <c r="AH256" s="11">
        <f ca="1">(Cost_Elements[[#This Row],[Rate | 4]]*$AD$4)+Cost_Elements[[#This Row],[Rate | 4]]</f>
        <v>0</v>
      </c>
      <c r="AI256" s="119">
        <f ca="1">SUM(AI257:AI270)</f>
        <v>0</v>
      </c>
      <c r="AJ256" s="119"/>
      <c r="AK256" s="119"/>
      <c r="AL256" s="75">
        <f ca="1">SUM(AL257:AL270)</f>
        <v>0</v>
      </c>
      <c r="AM256" s="102"/>
      <c r="AN256" s="91"/>
      <c r="AO256" s="119">
        <f>SUM(AO257:AO270)</f>
        <v>0</v>
      </c>
      <c r="AP256" s="87">
        <f ca="1">SUM(AP257:AP270)</f>
        <v>0</v>
      </c>
      <c r="AQ256" s="68">
        <f ca="1">ROW(Cost_Elements[[#This Row],[Amount | Total]])</f>
        <v>256</v>
      </c>
    </row>
    <row r="257" spans="1:43">
      <c r="A257" s="240" t="s">
        <v>165</v>
      </c>
      <c r="B257" s="275"/>
      <c r="C257" s="277"/>
      <c r="D257" s="318"/>
      <c r="E257" s="318"/>
      <c r="F257" s="318"/>
      <c r="G257" s="318"/>
      <c r="H257" s="121" t="str">
        <f ca="1">IFERROR(INDEX(Labor_Categories[Minimum Direct Labor Rates],MATCH(Cost_Elements[[#This Row],[Government Labor Category]],Labor_Categories[Labor Categories],0)),"")</f>
        <v/>
      </c>
      <c r="I257" s="73"/>
      <c r="J257" s="74"/>
      <c r="K257" s="75">
        <f ca="1">IFERROR(IF(Cost_Elements[[#This Row],[Row]]&gt;='Do Not Use or Delete'!$L$2, IF(Cost_Elements[[#This Row],[Row]]&lt;='Do Not Use or Delete'!$M$2,I257*J257,0),0)+IF(Cost_Elements[[#This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7" s="63"/>
      <c r="M257" s="63"/>
      <c r="N257" s="73"/>
      <c r="O257" s="74"/>
      <c r="P257" s="75">
        <f ca="1">IFERROR(IF(Cost_Elements[[#This Row],[Row]]&gt;='Do Not Use or Delete'!$L$2, IF(Cost_Elements[[#This Row],[Row]]&lt;='Do Not Use or Delete'!$M$2,N257*O257,0),0)+IF(Cost_Elements[[#This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7" s="63"/>
      <c r="R257" s="63"/>
      <c r="S257" s="79"/>
      <c r="T257" s="74"/>
      <c r="U257" s="75">
        <f ca="1">IFERROR(IF(Cost_Elements[[#This Row],[Row]]&gt;='Do Not Use or Delete'!$L$2, IF(Cost_Elements[[#This Row],[Row]]&lt;='Do Not Use or Delete'!$M$2,S257*T257,0),0)+IF(Cost_Elements[[#This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7" s="63"/>
      <c r="W257" s="63"/>
      <c r="X257" s="79"/>
      <c r="Y257" s="74"/>
      <c r="Z257" s="75">
        <f ca="1">IFERROR(IF(Cost_Elements[[#This Row],[Row]]&gt;='Do Not Use or Delete'!$L$2, IF(Cost_Elements[[#This Row],[Row]]&lt;='Do Not Use or Delete'!$M$2,X257*Y257,0),0)+IF(Cost_Elements[[#This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7" s="63"/>
      <c r="AB257" s="63"/>
      <c r="AC257" s="79"/>
      <c r="AD257" s="74"/>
      <c r="AE257" s="75">
        <f ca="1">IFERROR(IF(Cost_Elements[[#This Row],[Row]]&gt;='Do Not Use or Delete'!$L$2, IF(Cost_Elements[[#This Row],[Row]]&lt;='Do Not Use or Delete'!$M$2,AC257*AD257,0),0)+IF(Cost_Elements[[#This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7" s="64"/>
      <c r="AG257" s="65"/>
      <c r="AH257" s="79"/>
      <c r="AI257" s="74"/>
      <c r="AJ257" s="458"/>
      <c r="AK257" s="458"/>
      <c r="AL257" s="75">
        <f ca="1">IFERROR(IF(Cost_Elements[[#This Row],[Row]]&gt;='Do Not Use or Delete'!$L$2, IF(Cost_Elements[[#This Row],[Row]]&lt;='Do Not Use or Delete'!$M$2,AH257*AI257,0),0)+IF(Cost_Elements[[#This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7" s="64"/>
      <c r="AN257" s="65"/>
      <c r="AO257" s="125">
        <f>J257+T257+AD257+O257+Y257+AI257</f>
        <v>0</v>
      </c>
      <c r="AP257" s="78">
        <f ca="1">K257+U257+AE257+P257+Z257+AL257</f>
        <v>0</v>
      </c>
      <c r="AQ257" s="68">
        <f ca="1">ROW(Cost_Elements[[#This Row],[Amount | Total]])</f>
        <v>257</v>
      </c>
    </row>
    <row r="258" spans="1:43">
      <c r="A258" s="240" t="s">
        <v>165</v>
      </c>
      <c r="B258" s="275"/>
      <c r="C258" s="277"/>
      <c r="D258" s="318"/>
      <c r="E258" s="318"/>
      <c r="F258" s="318"/>
      <c r="G258" s="318"/>
      <c r="H258" s="121" t="str">
        <f ca="1">IFERROR(INDEX(Labor_Categories[Minimum Direct Labor Rates],MATCH(Cost_Elements[[#This Row],[Government Labor Category]],Labor_Categories[Labor Categories],0)),"")</f>
        <v/>
      </c>
      <c r="I258" s="73"/>
      <c r="J258" s="74"/>
      <c r="K258" s="75">
        <f ca="1">IFERROR(IF(Cost_Elements[[#This Row],[Row]]&gt;='Do Not Use or Delete'!$L$2, IF(Cost_Elements[[#This Row],[Row]]&lt;='Do Not Use or Delete'!$M$2,I258*J258,0),0)+IF(Cost_Elements[[#This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8" s="63"/>
      <c r="M258" s="63"/>
      <c r="N258" s="73"/>
      <c r="O258" s="74"/>
      <c r="P258" s="75">
        <f ca="1">IFERROR(IF(Cost_Elements[[#This Row],[Row]]&gt;='Do Not Use or Delete'!$L$2, IF(Cost_Elements[[#This Row],[Row]]&lt;='Do Not Use or Delete'!$M$2,N258*O258,0),0)+IF(Cost_Elements[[#This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8" s="63"/>
      <c r="R258" s="63"/>
      <c r="S258" s="79"/>
      <c r="T258" s="74"/>
      <c r="U258" s="75">
        <f ca="1">IFERROR(IF(Cost_Elements[[#This Row],[Row]]&gt;='Do Not Use or Delete'!$L$2, IF(Cost_Elements[[#This Row],[Row]]&lt;='Do Not Use or Delete'!$M$2,S258*T258,0),0)+IF(Cost_Elements[[#This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8" s="63"/>
      <c r="W258" s="63"/>
      <c r="X258" s="79"/>
      <c r="Y258" s="74"/>
      <c r="Z258" s="75">
        <f ca="1">IFERROR(IF(Cost_Elements[[#This Row],[Row]]&gt;='Do Not Use or Delete'!$L$2, IF(Cost_Elements[[#This Row],[Row]]&lt;='Do Not Use or Delete'!$M$2,X258*Y258,0),0)+IF(Cost_Elements[[#This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8" s="63"/>
      <c r="AB258" s="63"/>
      <c r="AC258" s="79"/>
      <c r="AD258" s="74"/>
      <c r="AE258" s="75">
        <f ca="1">IFERROR(IF(Cost_Elements[[#This Row],[Row]]&gt;='Do Not Use or Delete'!$L$2, IF(Cost_Elements[[#This Row],[Row]]&lt;='Do Not Use or Delete'!$M$2,AC258*AD258,0),0)+IF(Cost_Elements[[#This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8" s="64"/>
      <c r="AG258" s="65"/>
      <c r="AH258" s="79"/>
      <c r="AI258" s="74"/>
      <c r="AJ258" s="458"/>
      <c r="AK258" s="458"/>
      <c r="AL258" s="75">
        <f ca="1">IFERROR(IF(Cost_Elements[[#This Row],[Row]]&gt;='Do Not Use or Delete'!$L$2, IF(Cost_Elements[[#This Row],[Row]]&lt;='Do Not Use or Delete'!$M$2,AH258*AI258,0),0)+IF(Cost_Elements[[#This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8" s="64"/>
      <c r="AN258" s="65"/>
      <c r="AO258" s="125">
        <f t="shared" ref="AO258:AO270" si="22">J258+T258+AD258+O258+Y258+AI258</f>
        <v>0</v>
      </c>
      <c r="AP258" s="78">
        <f t="shared" ref="AP258:AP270" ca="1" si="23">K258+U258+AE258+P258+Z258+AL258</f>
        <v>0</v>
      </c>
      <c r="AQ258" s="68">
        <f ca="1">ROW(Cost_Elements[[#This Row],[Amount | Total]])</f>
        <v>258</v>
      </c>
    </row>
    <row r="259" spans="1:43">
      <c r="A259" s="240" t="s">
        <v>165</v>
      </c>
      <c r="B259" s="275"/>
      <c r="C259" s="277"/>
      <c r="D259" s="318"/>
      <c r="E259" s="318"/>
      <c r="F259" s="318"/>
      <c r="G259" s="318"/>
      <c r="H259" s="121" t="str">
        <f ca="1">IFERROR(INDEX(Labor_Categories[Minimum Direct Labor Rates],MATCH(Cost_Elements[[#This Row],[Government Labor Category]],Labor_Categories[Labor Categories],0)),"")</f>
        <v/>
      </c>
      <c r="I259" s="73"/>
      <c r="J259" s="74"/>
      <c r="K259" s="75">
        <f ca="1">IFERROR(IF(Cost_Elements[[#This Row],[Row]]&gt;='Do Not Use or Delete'!$L$2, IF(Cost_Elements[[#This Row],[Row]]&lt;='Do Not Use or Delete'!$M$2,I259*J259,0),0)+IF(Cost_Elements[[#This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9" s="63"/>
      <c r="M259" s="63"/>
      <c r="N259" s="73"/>
      <c r="O259" s="74"/>
      <c r="P259" s="75">
        <f ca="1">IFERROR(IF(Cost_Elements[[#This Row],[Row]]&gt;='Do Not Use or Delete'!$L$2, IF(Cost_Elements[[#This Row],[Row]]&lt;='Do Not Use or Delete'!$M$2,N259*O259,0),0)+IF(Cost_Elements[[#This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9" s="63"/>
      <c r="R259" s="63"/>
      <c r="S259" s="79"/>
      <c r="T259" s="74"/>
      <c r="U259" s="75">
        <f ca="1">IFERROR(IF(Cost_Elements[[#This Row],[Row]]&gt;='Do Not Use or Delete'!$L$2, IF(Cost_Elements[[#This Row],[Row]]&lt;='Do Not Use or Delete'!$M$2,S259*T259,0),0)+IF(Cost_Elements[[#This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9" s="63"/>
      <c r="W259" s="63"/>
      <c r="X259" s="79"/>
      <c r="Y259" s="74"/>
      <c r="Z259" s="75">
        <f ca="1">IFERROR(IF(Cost_Elements[[#This Row],[Row]]&gt;='Do Not Use or Delete'!$L$2, IF(Cost_Elements[[#This Row],[Row]]&lt;='Do Not Use or Delete'!$M$2,X259*Y259,0),0)+IF(Cost_Elements[[#This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9" s="63"/>
      <c r="AB259" s="63"/>
      <c r="AC259" s="79"/>
      <c r="AD259" s="74"/>
      <c r="AE259" s="75">
        <f ca="1">IFERROR(IF(Cost_Elements[[#This Row],[Row]]&gt;='Do Not Use or Delete'!$L$2, IF(Cost_Elements[[#This Row],[Row]]&lt;='Do Not Use or Delete'!$M$2,AC259*AD259,0),0)+IF(Cost_Elements[[#This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9" s="64"/>
      <c r="AG259" s="65"/>
      <c r="AH259" s="79"/>
      <c r="AI259" s="74"/>
      <c r="AJ259" s="458"/>
      <c r="AK259" s="458"/>
      <c r="AL259" s="75">
        <f ca="1">IFERROR(IF(Cost_Elements[[#This Row],[Row]]&gt;='Do Not Use or Delete'!$L$2, IF(Cost_Elements[[#This Row],[Row]]&lt;='Do Not Use or Delete'!$M$2,AH259*AI259,0),0)+IF(Cost_Elements[[#This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9" s="64"/>
      <c r="AN259" s="65"/>
      <c r="AO259" s="125">
        <f t="shared" si="22"/>
        <v>0</v>
      </c>
      <c r="AP259" s="78">
        <f t="shared" ca="1" si="23"/>
        <v>0</v>
      </c>
      <c r="AQ259" s="68">
        <f ca="1">ROW(Cost_Elements[[#This Row],[Amount | Total]])</f>
        <v>259</v>
      </c>
    </row>
    <row r="260" spans="1:43">
      <c r="A260" s="240" t="s">
        <v>165</v>
      </c>
      <c r="B260" s="275"/>
      <c r="C260" s="277"/>
      <c r="D260" s="318"/>
      <c r="E260" s="318"/>
      <c r="F260" s="318"/>
      <c r="G260" s="318"/>
      <c r="H260" s="121" t="str">
        <f ca="1">IFERROR(INDEX(Labor_Categories[Minimum Direct Labor Rates],MATCH(Cost_Elements[[#This Row],[Government Labor Category]],Labor_Categories[Labor Categories],0)),"")</f>
        <v/>
      </c>
      <c r="I260" s="79"/>
      <c r="J260" s="74"/>
      <c r="K260" s="75">
        <f ca="1">IFERROR(IF(Cost_Elements[[#This Row],[Row]]&gt;='Do Not Use or Delete'!$L$2, IF(Cost_Elements[[#This Row],[Row]]&lt;='Do Not Use or Delete'!$M$2,I260*J260,0),0)+IF(Cost_Elements[[#This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0" s="63"/>
      <c r="M260" s="63"/>
      <c r="N260" s="79"/>
      <c r="O260" s="74"/>
      <c r="P260" s="75">
        <f ca="1">IFERROR(IF(Cost_Elements[[#This Row],[Row]]&gt;='Do Not Use or Delete'!$L$2, IF(Cost_Elements[[#This Row],[Row]]&lt;='Do Not Use or Delete'!$M$2,N260*O260,0),0)+IF(Cost_Elements[[#This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0" s="63"/>
      <c r="R260" s="63"/>
      <c r="S260" s="79"/>
      <c r="T260" s="74"/>
      <c r="U260" s="75">
        <f ca="1">IFERROR(IF(Cost_Elements[[#This Row],[Row]]&gt;='Do Not Use or Delete'!$L$2, IF(Cost_Elements[[#This Row],[Row]]&lt;='Do Not Use or Delete'!$M$2,S260*T260,0),0)+IF(Cost_Elements[[#This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0" s="63"/>
      <c r="W260" s="63"/>
      <c r="X260" s="79"/>
      <c r="Y260" s="74"/>
      <c r="Z260" s="75">
        <f ca="1">IFERROR(IF(Cost_Elements[[#This Row],[Row]]&gt;='Do Not Use or Delete'!$L$2, IF(Cost_Elements[[#This Row],[Row]]&lt;='Do Not Use or Delete'!$M$2,X260*Y260,0),0)+IF(Cost_Elements[[#This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0" s="63"/>
      <c r="AB260" s="63"/>
      <c r="AC260" s="79"/>
      <c r="AD260" s="74"/>
      <c r="AE260" s="75">
        <f ca="1">IFERROR(IF(Cost_Elements[[#This Row],[Row]]&gt;='Do Not Use or Delete'!$L$2, IF(Cost_Elements[[#This Row],[Row]]&lt;='Do Not Use or Delete'!$M$2,AC260*AD260,0),0)+IF(Cost_Elements[[#This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0" s="64"/>
      <c r="AG260" s="65"/>
      <c r="AH260" s="79"/>
      <c r="AI260" s="74"/>
      <c r="AJ260" s="458"/>
      <c r="AK260" s="458"/>
      <c r="AL260" s="75">
        <f ca="1">IFERROR(IF(Cost_Elements[[#This Row],[Row]]&gt;='Do Not Use or Delete'!$L$2, IF(Cost_Elements[[#This Row],[Row]]&lt;='Do Not Use or Delete'!$M$2,AH260*AI260,0),0)+IF(Cost_Elements[[#This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0" s="64"/>
      <c r="AN260" s="65"/>
      <c r="AO260" s="125">
        <f t="shared" si="22"/>
        <v>0</v>
      </c>
      <c r="AP260" s="78">
        <f t="shared" ca="1" si="23"/>
        <v>0</v>
      </c>
      <c r="AQ260" s="68">
        <f ca="1">ROW(Cost_Elements[[#This Row],[Amount | Total]])</f>
        <v>260</v>
      </c>
    </row>
    <row r="261" spans="1:43">
      <c r="A261" s="240" t="s">
        <v>165</v>
      </c>
      <c r="B261" s="275"/>
      <c r="C261" s="277"/>
      <c r="D261" s="318"/>
      <c r="E261" s="318"/>
      <c r="F261" s="318"/>
      <c r="G261" s="318"/>
      <c r="H261" s="121" t="str">
        <f ca="1">IFERROR(INDEX(Labor_Categories[Minimum Direct Labor Rates],MATCH(Cost_Elements[[#This Row],[Government Labor Category]],Labor_Categories[Labor Categories],0)),"")</f>
        <v/>
      </c>
      <c r="I261" s="79"/>
      <c r="J261" s="74"/>
      <c r="K261" s="75">
        <f ca="1">IFERROR(IF(Cost_Elements[[#This Row],[Row]]&gt;='Do Not Use or Delete'!$L$2, IF(Cost_Elements[[#This Row],[Row]]&lt;='Do Not Use or Delete'!$M$2,I261*J261,0),0)+IF(Cost_Elements[[#This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1" s="63"/>
      <c r="M261" s="63"/>
      <c r="N261" s="79"/>
      <c r="O261" s="74"/>
      <c r="P261" s="75">
        <f ca="1">IFERROR(IF(Cost_Elements[[#This Row],[Row]]&gt;='Do Not Use or Delete'!$L$2, IF(Cost_Elements[[#This Row],[Row]]&lt;='Do Not Use or Delete'!$M$2,N261*O261,0),0)+IF(Cost_Elements[[#This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1" s="63"/>
      <c r="R261" s="63"/>
      <c r="S261" s="79"/>
      <c r="T261" s="74"/>
      <c r="U261" s="75">
        <f ca="1">IFERROR(IF(Cost_Elements[[#This Row],[Row]]&gt;='Do Not Use or Delete'!$L$2, IF(Cost_Elements[[#This Row],[Row]]&lt;='Do Not Use or Delete'!$M$2,S261*T261,0),0)+IF(Cost_Elements[[#This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1" s="63"/>
      <c r="W261" s="63"/>
      <c r="X261" s="79"/>
      <c r="Y261" s="74"/>
      <c r="Z261" s="75">
        <f ca="1">IFERROR(IF(Cost_Elements[[#This Row],[Row]]&gt;='Do Not Use or Delete'!$L$2, IF(Cost_Elements[[#This Row],[Row]]&lt;='Do Not Use or Delete'!$M$2,X261*Y261,0),0)+IF(Cost_Elements[[#This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1" s="63"/>
      <c r="AB261" s="63"/>
      <c r="AC261" s="79"/>
      <c r="AD261" s="74"/>
      <c r="AE261" s="75">
        <f ca="1">IFERROR(IF(Cost_Elements[[#This Row],[Row]]&gt;='Do Not Use or Delete'!$L$2, IF(Cost_Elements[[#This Row],[Row]]&lt;='Do Not Use or Delete'!$M$2,AC261*AD261,0),0)+IF(Cost_Elements[[#This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1" s="64"/>
      <c r="AG261" s="65"/>
      <c r="AH261" s="79"/>
      <c r="AI261" s="74"/>
      <c r="AJ261" s="458"/>
      <c r="AK261" s="458"/>
      <c r="AL261" s="75">
        <f ca="1">IFERROR(IF(Cost_Elements[[#This Row],[Row]]&gt;='Do Not Use or Delete'!$L$2, IF(Cost_Elements[[#This Row],[Row]]&lt;='Do Not Use or Delete'!$M$2,AH261*AI261,0),0)+IF(Cost_Elements[[#This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1" s="64"/>
      <c r="AN261" s="65"/>
      <c r="AO261" s="125">
        <f t="shared" si="22"/>
        <v>0</v>
      </c>
      <c r="AP261" s="78">
        <f t="shared" ca="1" si="23"/>
        <v>0</v>
      </c>
      <c r="AQ261" s="68">
        <f ca="1">ROW(Cost_Elements[[#This Row],[Amount | Total]])</f>
        <v>261</v>
      </c>
    </row>
    <row r="262" spans="1:43">
      <c r="A262" s="240" t="s">
        <v>165</v>
      </c>
      <c r="B262" s="275"/>
      <c r="C262" s="277"/>
      <c r="D262" s="318"/>
      <c r="E262" s="318"/>
      <c r="F262" s="318"/>
      <c r="G262" s="318"/>
      <c r="H262" s="121" t="str">
        <f ca="1">IFERROR(INDEX(Labor_Categories[Minimum Direct Labor Rates],MATCH(Cost_Elements[[#This Row],[Government Labor Category]],Labor_Categories[Labor Categories],0)),"")</f>
        <v/>
      </c>
      <c r="I262" s="79"/>
      <c r="J262" s="74"/>
      <c r="K262" s="75">
        <f ca="1">IFERROR(IF(Cost_Elements[[#This Row],[Row]]&gt;='Do Not Use or Delete'!$L$2, IF(Cost_Elements[[#This Row],[Row]]&lt;='Do Not Use or Delete'!$M$2,I262*J262,0),0)+IF(Cost_Elements[[#This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2" s="63"/>
      <c r="M262" s="63"/>
      <c r="N262" s="79"/>
      <c r="O262" s="74"/>
      <c r="P262" s="75">
        <f ca="1">IFERROR(IF(Cost_Elements[[#This Row],[Row]]&gt;='Do Not Use or Delete'!$L$2, IF(Cost_Elements[[#This Row],[Row]]&lt;='Do Not Use or Delete'!$M$2,N262*O262,0),0)+IF(Cost_Elements[[#This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2" s="63"/>
      <c r="R262" s="63"/>
      <c r="S262" s="79"/>
      <c r="T262" s="74"/>
      <c r="U262" s="75">
        <f ca="1">IFERROR(IF(Cost_Elements[[#This Row],[Row]]&gt;='Do Not Use or Delete'!$L$2, IF(Cost_Elements[[#This Row],[Row]]&lt;='Do Not Use or Delete'!$M$2,S262*T262,0),0)+IF(Cost_Elements[[#This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2" s="63"/>
      <c r="W262" s="63"/>
      <c r="X262" s="79"/>
      <c r="Y262" s="74"/>
      <c r="Z262" s="75">
        <f ca="1">IFERROR(IF(Cost_Elements[[#This Row],[Row]]&gt;='Do Not Use or Delete'!$L$2, IF(Cost_Elements[[#This Row],[Row]]&lt;='Do Not Use or Delete'!$M$2,X262*Y262,0),0)+IF(Cost_Elements[[#This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2" s="63"/>
      <c r="AB262" s="63"/>
      <c r="AC262" s="79"/>
      <c r="AD262" s="74"/>
      <c r="AE262" s="75">
        <f ca="1">IFERROR(IF(Cost_Elements[[#This Row],[Row]]&gt;='Do Not Use or Delete'!$L$2, IF(Cost_Elements[[#This Row],[Row]]&lt;='Do Not Use or Delete'!$M$2,AC262*AD262,0),0)+IF(Cost_Elements[[#This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2" s="64"/>
      <c r="AG262" s="65"/>
      <c r="AH262" s="79"/>
      <c r="AI262" s="74"/>
      <c r="AJ262" s="458"/>
      <c r="AK262" s="458"/>
      <c r="AL262" s="75">
        <f ca="1">IFERROR(IF(Cost_Elements[[#This Row],[Row]]&gt;='Do Not Use or Delete'!$L$2, IF(Cost_Elements[[#This Row],[Row]]&lt;='Do Not Use or Delete'!$M$2,AH262*AI262,0),0)+IF(Cost_Elements[[#This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2" s="64"/>
      <c r="AN262" s="65"/>
      <c r="AO262" s="125">
        <f t="shared" si="22"/>
        <v>0</v>
      </c>
      <c r="AP262" s="78">
        <f t="shared" ca="1" si="23"/>
        <v>0</v>
      </c>
      <c r="AQ262" s="68">
        <f ca="1">ROW(Cost_Elements[[#This Row],[Amount | Total]])</f>
        <v>262</v>
      </c>
    </row>
    <row r="263" spans="1:43">
      <c r="A263" s="240" t="s">
        <v>165</v>
      </c>
      <c r="B263" s="275"/>
      <c r="C263" s="277"/>
      <c r="D263" s="318"/>
      <c r="E263" s="318"/>
      <c r="F263" s="318"/>
      <c r="G263" s="318"/>
      <c r="H263" s="121" t="str">
        <f ca="1">IFERROR(INDEX(Labor_Categories[Minimum Direct Labor Rates],MATCH(Cost_Elements[[#This Row],[Government Labor Category]],Labor_Categories[Labor Categories],0)),"")</f>
        <v/>
      </c>
      <c r="I263" s="79"/>
      <c r="J263" s="74"/>
      <c r="K263" s="75">
        <f ca="1">IFERROR(IF(Cost_Elements[[#This Row],[Row]]&gt;='Do Not Use or Delete'!$L$2, IF(Cost_Elements[[#This Row],[Row]]&lt;='Do Not Use or Delete'!$M$2,I263*J263,0),0)+IF(Cost_Elements[[#This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3" s="63"/>
      <c r="M263" s="63"/>
      <c r="N263" s="79"/>
      <c r="O263" s="74"/>
      <c r="P263" s="75">
        <f ca="1">IFERROR(IF(Cost_Elements[[#This Row],[Row]]&gt;='Do Not Use or Delete'!$L$2, IF(Cost_Elements[[#This Row],[Row]]&lt;='Do Not Use or Delete'!$M$2,N263*O263,0),0)+IF(Cost_Elements[[#This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3" s="63"/>
      <c r="R263" s="63"/>
      <c r="S263" s="79"/>
      <c r="T263" s="74"/>
      <c r="U263" s="75">
        <f ca="1">IFERROR(IF(Cost_Elements[[#This Row],[Row]]&gt;='Do Not Use or Delete'!$L$2, IF(Cost_Elements[[#This Row],[Row]]&lt;='Do Not Use or Delete'!$M$2,S263*T263,0),0)+IF(Cost_Elements[[#This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3" s="63"/>
      <c r="W263" s="63"/>
      <c r="X263" s="79"/>
      <c r="Y263" s="74"/>
      <c r="Z263" s="75">
        <f ca="1">IFERROR(IF(Cost_Elements[[#This Row],[Row]]&gt;='Do Not Use or Delete'!$L$2, IF(Cost_Elements[[#This Row],[Row]]&lt;='Do Not Use or Delete'!$M$2,X263*Y263,0),0)+IF(Cost_Elements[[#This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3" s="63"/>
      <c r="AB263" s="63"/>
      <c r="AC263" s="79"/>
      <c r="AD263" s="74"/>
      <c r="AE263" s="75">
        <f ca="1">IFERROR(IF(Cost_Elements[[#This Row],[Row]]&gt;='Do Not Use or Delete'!$L$2, IF(Cost_Elements[[#This Row],[Row]]&lt;='Do Not Use or Delete'!$M$2,AC263*AD263,0),0)+IF(Cost_Elements[[#This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3" s="64"/>
      <c r="AG263" s="65"/>
      <c r="AH263" s="79"/>
      <c r="AI263" s="74"/>
      <c r="AJ263" s="458"/>
      <c r="AK263" s="458"/>
      <c r="AL263" s="75">
        <f ca="1">IFERROR(IF(Cost_Elements[[#This Row],[Row]]&gt;='Do Not Use or Delete'!$L$2, IF(Cost_Elements[[#This Row],[Row]]&lt;='Do Not Use or Delete'!$M$2,AH263*AI263,0),0)+IF(Cost_Elements[[#This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3" s="64"/>
      <c r="AN263" s="65"/>
      <c r="AO263" s="125">
        <f t="shared" si="22"/>
        <v>0</v>
      </c>
      <c r="AP263" s="78">
        <f t="shared" ca="1" si="23"/>
        <v>0</v>
      </c>
      <c r="AQ263" s="68">
        <f ca="1">ROW(Cost_Elements[[#This Row],[Amount | Total]])</f>
        <v>263</v>
      </c>
    </row>
    <row r="264" spans="1:43">
      <c r="A264" s="240" t="s">
        <v>165</v>
      </c>
      <c r="B264" s="275"/>
      <c r="C264" s="277"/>
      <c r="D264" s="318"/>
      <c r="E264" s="318"/>
      <c r="F264" s="318"/>
      <c r="G264" s="318"/>
      <c r="H264" s="121" t="str">
        <f ca="1">IFERROR(INDEX(Labor_Categories[Minimum Direct Labor Rates],MATCH(Cost_Elements[[#This Row],[Government Labor Category]],Labor_Categories[Labor Categories],0)),"")</f>
        <v/>
      </c>
      <c r="I264" s="79"/>
      <c r="J264" s="74"/>
      <c r="K264" s="75">
        <f ca="1">IFERROR(IF(Cost_Elements[[#This Row],[Row]]&gt;='Do Not Use or Delete'!$L$2, IF(Cost_Elements[[#This Row],[Row]]&lt;='Do Not Use or Delete'!$M$2,I264*J264,0),0)+IF(Cost_Elements[[#This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4" s="63"/>
      <c r="M264" s="63"/>
      <c r="N264" s="79"/>
      <c r="O264" s="74"/>
      <c r="P264" s="75">
        <f ca="1">IFERROR(IF(Cost_Elements[[#This Row],[Row]]&gt;='Do Not Use or Delete'!$L$2, IF(Cost_Elements[[#This Row],[Row]]&lt;='Do Not Use or Delete'!$M$2,N264*O264,0),0)+IF(Cost_Elements[[#This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4" s="63"/>
      <c r="R264" s="63"/>
      <c r="S264" s="79"/>
      <c r="T264" s="74"/>
      <c r="U264" s="75">
        <f ca="1">IFERROR(IF(Cost_Elements[[#This Row],[Row]]&gt;='Do Not Use or Delete'!$L$2, IF(Cost_Elements[[#This Row],[Row]]&lt;='Do Not Use or Delete'!$M$2,S264*T264,0),0)+IF(Cost_Elements[[#This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4" s="63"/>
      <c r="W264" s="63"/>
      <c r="X264" s="79"/>
      <c r="Y264" s="74"/>
      <c r="Z264" s="75">
        <f ca="1">IFERROR(IF(Cost_Elements[[#This Row],[Row]]&gt;='Do Not Use or Delete'!$L$2, IF(Cost_Elements[[#This Row],[Row]]&lt;='Do Not Use or Delete'!$M$2,X264*Y264,0),0)+IF(Cost_Elements[[#This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4" s="63"/>
      <c r="AB264" s="63"/>
      <c r="AC264" s="79"/>
      <c r="AD264" s="74"/>
      <c r="AE264" s="75">
        <f ca="1">IFERROR(IF(Cost_Elements[[#This Row],[Row]]&gt;='Do Not Use or Delete'!$L$2, IF(Cost_Elements[[#This Row],[Row]]&lt;='Do Not Use or Delete'!$M$2,AC264*AD264,0),0)+IF(Cost_Elements[[#This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4" s="64"/>
      <c r="AG264" s="65"/>
      <c r="AH264" s="79"/>
      <c r="AI264" s="74"/>
      <c r="AJ264" s="458"/>
      <c r="AK264" s="458"/>
      <c r="AL264" s="75">
        <f ca="1">IFERROR(IF(Cost_Elements[[#This Row],[Row]]&gt;='Do Not Use or Delete'!$L$2, IF(Cost_Elements[[#This Row],[Row]]&lt;='Do Not Use or Delete'!$M$2,AH264*AI264,0),0)+IF(Cost_Elements[[#This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4" s="64"/>
      <c r="AN264" s="65"/>
      <c r="AO264" s="125">
        <f t="shared" si="22"/>
        <v>0</v>
      </c>
      <c r="AP264" s="78">
        <f t="shared" ca="1" si="23"/>
        <v>0</v>
      </c>
      <c r="AQ264" s="68">
        <f ca="1">ROW(Cost_Elements[[#This Row],[Amount | Total]])</f>
        <v>264</v>
      </c>
    </row>
    <row r="265" spans="1:43">
      <c r="A265" s="240" t="s">
        <v>165</v>
      </c>
      <c r="B265" s="275"/>
      <c r="C265" s="277"/>
      <c r="D265" s="318"/>
      <c r="E265" s="318"/>
      <c r="F265" s="318"/>
      <c r="G265" s="318"/>
      <c r="H265" s="121" t="str">
        <f ca="1">IFERROR(INDEX(Labor_Categories[Minimum Direct Labor Rates],MATCH(Cost_Elements[[#This Row],[Government Labor Category]],Labor_Categories[Labor Categories],0)),"")</f>
        <v/>
      </c>
      <c r="I265" s="79"/>
      <c r="J265" s="74"/>
      <c r="K265" s="75">
        <f ca="1">IFERROR(IF(Cost_Elements[[#This Row],[Row]]&gt;='Do Not Use or Delete'!$L$2, IF(Cost_Elements[[#This Row],[Row]]&lt;='Do Not Use or Delete'!$M$2,I265*J265,0),0)+IF(Cost_Elements[[#This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5" s="63"/>
      <c r="M265" s="63"/>
      <c r="N265" s="79"/>
      <c r="O265" s="74"/>
      <c r="P265" s="75">
        <f ca="1">IFERROR(IF(Cost_Elements[[#This Row],[Row]]&gt;='Do Not Use or Delete'!$L$2, IF(Cost_Elements[[#This Row],[Row]]&lt;='Do Not Use or Delete'!$M$2,N265*O265,0),0)+IF(Cost_Elements[[#This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5" s="63"/>
      <c r="R265" s="63"/>
      <c r="S265" s="79"/>
      <c r="T265" s="74"/>
      <c r="U265" s="75">
        <f ca="1">IFERROR(IF(Cost_Elements[[#This Row],[Row]]&gt;='Do Not Use or Delete'!$L$2, IF(Cost_Elements[[#This Row],[Row]]&lt;='Do Not Use or Delete'!$M$2,S265*T265,0),0)+IF(Cost_Elements[[#This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5" s="63"/>
      <c r="W265" s="63"/>
      <c r="X265" s="79"/>
      <c r="Y265" s="74"/>
      <c r="Z265" s="75">
        <f ca="1">IFERROR(IF(Cost_Elements[[#This Row],[Row]]&gt;='Do Not Use or Delete'!$L$2, IF(Cost_Elements[[#This Row],[Row]]&lt;='Do Not Use or Delete'!$M$2,X265*Y265,0),0)+IF(Cost_Elements[[#This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5" s="63"/>
      <c r="AB265" s="63"/>
      <c r="AC265" s="79"/>
      <c r="AD265" s="74"/>
      <c r="AE265" s="75">
        <f ca="1">IFERROR(IF(Cost_Elements[[#This Row],[Row]]&gt;='Do Not Use or Delete'!$L$2, IF(Cost_Elements[[#This Row],[Row]]&lt;='Do Not Use or Delete'!$M$2,AC265*AD265,0),0)+IF(Cost_Elements[[#This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5" s="64"/>
      <c r="AG265" s="65"/>
      <c r="AH265" s="79"/>
      <c r="AI265" s="74"/>
      <c r="AJ265" s="458"/>
      <c r="AK265" s="458"/>
      <c r="AL265" s="75">
        <f ca="1">IFERROR(IF(Cost_Elements[[#This Row],[Row]]&gt;='Do Not Use or Delete'!$L$2, IF(Cost_Elements[[#This Row],[Row]]&lt;='Do Not Use or Delete'!$M$2,AH265*AI265,0),0)+IF(Cost_Elements[[#This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5" s="64"/>
      <c r="AN265" s="65"/>
      <c r="AO265" s="125">
        <f t="shared" si="22"/>
        <v>0</v>
      </c>
      <c r="AP265" s="78">
        <f t="shared" ca="1" si="23"/>
        <v>0</v>
      </c>
      <c r="AQ265" s="68">
        <f ca="1">ROW(Cost_Elements[[#This Row],[Amount | Total]])</f>
        <v>265</v>
      </c>
    </row>
    <row r="266" spans="1:43">
      <c r="A266" s="240" t="s">
        <v>165</v>
      </c>
      <c r="B266" s="275"/>
      <c r="C266" s="277"/>
      <c r="D266" s="318"/>
      <c r="E266" s="318"/>
      <c r="F266" s="318"/>
      <c r="G266" s="318"/>
      <c r="H266" s="121" t="str">
        <f ca="1">IFERROR(INDEX(Labor_Categories[Minimum Direct Labor Rates],MATCH(Cost_Elements[[#This Row],[Government Labor Category]],Labor_Categories[Labor Categories],0)),"")</f>
        <v/>
      </c>
      <c r="I266" s="79"/>
      <c r="J266" s="74"/>
      <c r="K266" s="75">
        <f ca="1">IFERROR(IF(Cost_Elements[[#This Row],[Row]]&gt;='Do Not Use or Delete'!$L$2, IF(Cost_Elements[[#This Row],[Row]]&lt;='Do Not Use or Delete'!$M$2,I266*J266,0),0)+IF(Cost_Elements[[#This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6" s="63"/>
      <c r="M266" s="63"/>
      <c r="N266" s="79"/>
      <c r="O266" s="74"/>
      <c r="P266" s="75">
        <f ca="1">IFERROR(IF(Cost_Elements[[#This Row],[Row]]&gt;='Do Not Use or Delete'!$L$2, IF(Cost_Elements[[#This Row],[Row]]&lt;='Do Not Use or Delete'!$M$2,N266*O266,0),0)+IF(Cost_Elements[[#This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6" s="63"/>
      <c r="R266" s="63"/>
      <c r="S266" s="79"/>
      <c r="T266" s="74"/>
      <c r="U266" s="75">
        <f ca="1">IFERROR(IF(Cost_Elements[[#This Row],[Row]]&gt;='Do Not Use or Delete'!$L$2, IF(Cost_Elements[[#This Row],[Row]]&lt;='Do Not Use or Delete'!$M$2,S266*T266,0),0)+IF(Cost_Elements[[#This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6" s="63"/>
      <c r="W266" s="63"/>
      <c r="X266" s="79"/>
      <c r="Y266" s="74"/>
      <c r="Z266" s="75">
        <f ca="1">IFERROR(IF(Cost_Elements[[#This Row],[Row]]&gt;='Do Not Use or Delete'!$L$2, IF(Cost_Elements[[#This Row],[Row]]&lt;='Do Not Use or Delete'!$M$2,X266*Y266,0),0)+IF(Cost_Elements[[#This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6" s="63"/>
      <c r="AB266" s="63"/>
      <c r="AC266" s="79"/>
      <c r="AD266" s="74"/>
      <c r="AE266" s="75">
        <f ca="1">IFERROR(IF(Cost_Elements[[#This Row],[Row]]&gt;='Do Not Use or Delete'!$L$2, IF(Cost_Elements[[#This Row],[Row]]&lt;='Do Not Use or Delete'!$M$2,AC266*AD266,0),0)+IF(Cost_Elements[[#This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6" s="64"/>
      <c r="AG266" s="65"/>
      <c r="AH266" s="79"/>
      <c r="AI266" s="74"/>
      <c r="AJ266" s="458"/>
      <c r="AK266" s="458"/>
      <c r="AL266" s="75">
        <f ca="1">IFERROR(IF(Cost_Elements[[#This Row],[Row]]&gt;='Do Not Use or Delete'!$L$2, IF(Cost_Elements[[#This Row],[Row]]&lt;='Do Not Use or Delete'!$M$2,AH266*AI266,0),0)+IF(Cost_Elements[[#This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6" s="64"/>
      <c r="AN266" s="65"/>
      <c r="AO266" s="125">
        <f t="shared" si="22"/>
        <v>0</v>
      </c>
      <c r="AP266" s="78">
        <f t="shared" ca="1" si="23"/>
        <v>0</v>
      </c>
      <c r="AQ266" s="68">
        <f ca="1">ROW(Cost_Elements[[#This Row],[Amount | Total]])</f>
        <v>266</v>
      </c>
    </row>
    <row r="267" spans="1:43">
      <c r="A267" s="240" t="s">
        <v>165</v>
      </c>
      <c r="B267" s="275"/>
      <c r="C267" s="277"/>
      <c r="D267" s="318"/>
      <c r="E267" s="318"/>
      <c r="F267" s="318"/>
      <c r="G267" s="318"/>
      <c r="H267" s="121" t="str">
        <f ca="1">IFERROR(INDEX(Labor_Categories[Minimum Direct Labor Rates],MATCH(Cost_Elements[[#This Row],[Government Labor Category]],Labor_Categories[Labor Categories],0)),"")</f>
        <v/>
      </c>
      <c r="I267" s="79"/>
      <c r="J267" s="74"/>
      <c r="K267" s="75">
        <f ca="1">IFERROR(IF(Cost_Elements[[#This Row],[Row]]&gt;='Do Not Use or Delete'!$L$2, IF(Cost_Elements[[#This Row],[Row]]&lt;='Do Not Use or Delete'!$M$2,I267*J267,0),0)+IF(Cost_Elements[[#This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7" s="63"/>
      <c r="M267" s="63"/>
      <c r="N267" s="79"/>
      <c r="O267" s="74"/>
      <c r="P267" s="75">
        <f ca="1">IFERROR(IF(Cost_Elements[[#This Row],[Row]]&gt;='Do Not Use or Delete'!$L$2, IF(Cost_Elements[[#This Row],[Row]]&lt;='Do Not Use or Delete'!$M$2,N267*O267,0),0)+IF(Cost_Elements[[#This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7" s="63"/>
      <c r="R267" s="63"/>
      <c r="S267" s="79"/>
      <c r="T267" s="74"/>
      <c r="U267" s="75">
        <f ca="1">IFERROR(IF(Cost_Elements[[#This Row],[Row]]&gt;='Do Not Use or Delete'!$L$2, IF(Cost_Elements[[#This Row],[Row]]&lt;='Do Not Use or Delete'!$M$2,S267*T267,0),0)+IF(Cost_Elements[[#This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7" s="63"/>
      <c r="W267" s="63"/>
      <c r="X267" s="79"/>
      <c r="Y267" s="74"/>
      <c r="Z267" s="75">
        <f ca="1">IFERROR(IF(Cost_Elements[[#This Row],[Row]]&gt;='Do Not Use or Delete'!$L$2, IF(Cost_Elements[[#This Row],[Row]]&lt;='Do Not Use or Delete'!$M$2,X267*Y267,0),0)+IF(Cost_Elements[[#This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7" s="63"/>
      <c r="AB267" s="63"/>
      <c r="AC267" s="79"/>
      <c r="AD267" s="74"/>
      <c r="AE267" s="75">
        <f ca="1">IFERROR(IF(Cost_Elements[[#This Row],[Row]]&gt;='Do Not Use or Delete'!$L$2, IF(Cost_Elements[[#This Row],[Row]]&lt;='Do Not Use or Delete'!$M$2,AC267*AD267,0),0)+IF(Cost_Elements[[#This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7" s="64"/>
      <c r="AG267" s="65"/>
      <c r="AH267" s="79"/>
      <c r="AI267" s="74"/>
      <c r="AJ267" s="458"/>
      <c r="AK267" s="458"/>
      <c r="AL267" s="75">
        <f ca="1">IFERROR(IF(Cost_Elements[[#This Row],[Row]]&gt;='Do Not Use or Delete'!$L$2, IF(Cost_Elements[[#This Row],[Row]]&lt;='Do Not Use or Delete'!$M$2,AH267*AI267,0),0)+IF(Cost_Elements[[#This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7" s="64"/>
      <c r="AN267" s="65"/>
      <c r="AO267" s="125">
        <f t="shared" si="22"/>
        <v>0</v>
      </c>
      <c r="AP267" s="78">
        <f t="shared" ca="1" si="23"/>
        <v>0</v>
      </c>
      <c r="AQ267" s="68">
        <f ca="1">ROW(Cost_Elements[[#This Row],[Amount | Total]])</f>
        <v>267</v>
      </c>
    </row>
    <row r="268" spans="1:43">
      <c r="A268" s="240" t="s">
        <v>165</v>
      </c>
      <c r="B268" s="275"/>
      <c r="C268" s="277"/>
      <c r="D268" s="318"/>
      <c r="E268" s="318"/>
      <c r="F268" s="318"/>
      <c r="G268" s="318"/>
      <c r="H268" s="121" t="str">
        <f ca="1">IFERROR(INDEX(Labor_Categories[Minimum Direct Labor Rates],MATCH(Cost_Elements[[#This Row],[Government Labor Category]],Labor_Categories[Labor Categories],0)),"")</f>
        <v/>
      </c>
      <c r="I268" s="79"/>
      <c r="J268" s="74"/>
      <c r="K268" s="75">
        <f ca="1">IFERROR(IF(Cost_Elements[[#This Row],[Row]]&gt;='Do Not Use or Delete'!$L$2, IF(Cost_Elements[[#This Row],[Row]]&lt;='Do Not Use or Delete'!$M$2,I268*J268,0),0)+IF(Cost_Elements[[#This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8" s="63"/>
      <c r="M268" s="63"/>
      <c r="N268" s="79"/>
      <c r="O268" s="74"/>
      <c r="P268" s="75">
        <f ca="1">IFERROR(IF(Cost_Elements[[#This Row],[Row]]&gt;='Do Not Use or Delete'!$L$2, IF(Cost_Elements[[#This Row],[Row]]&lt;='Do Not Use or Delete'!$M$2,N268*O268,0),0)+IF(Cost_Elements[[#This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8" s="63"/>
      <c r="R268" s="63"/>
      <c r="S268" s="79"/>
      <c r="T268" s="74"/>
      <c r="U268" s="75">
        <f ca="1">IFERROR(IF(Cost_Elements[[#This Row],[Row]]&gt;='Do Not Use or Delete'!$L$2, IF(Cost_Elements[[#This Row],[Row]]&lt;='Do Not Use or Delete'!$M$2,S268*T268,0),0)+IF(Cost_Elements[[#This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8" s="63"/>
      <c r="W268" s="63"/>
      <c r="X268" s="79"/>
      <c r="Y268" s="74"/>
      <c r="Z268" s="75">
        <f ca="1">IFERROR(IF(Cost_Elements[[#This Row],[Row]]&gt;='Do Not Use or Delete'!$L$2, IF(Cost_Elements[[#This Row],[Row]]&lt;='Do Not Use or Delete'!$M$2,X268*Y268,0),0)+IF(Cost_Elements[[#This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8" s="63"/>
      <c r="AB268" s="63"/>
      <c r="AC268" s="79"/>
      <c r="AD268" s="74"/>
      <c r="AE268" s="75">
        <f ca="1">IFERROR(IF(Cost_Elements[[#This Row],[Row]]&gt;='Do Not Use or Delete'!$L$2, IF(Cost_Elements[[#This Row],[Row]]&lt;='Do Not Use or Delete'!$M$2,AC268*AD268,0),0)+IF(Cost_Elements[[#This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8" s="64"/>
      <c r="AG268" s="65"/>
      <c r="AH268" s="79"/>
      <c r="AI268" s="74"/>
      <c r="AJ268" s="458"/>
      <c r="AK268" s="458"/>
      <c r="AL268" s="75">
        <f ca="1">IFERROR(IF(Cost_Elements[[#This Row],[Row]]&gt;='Do Not Use or Delete'!$L$2, IF(Cost_Elements[[#This Row],[Row]]&lt;='Do Not Use or Delete'!$M$2,AH268*AI268,0),0)+IF(Cost_Elements[[#This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8" s="64"/>
      <c r="AN268" s="65"/>
      <c r="AO268" s="125">
        <f t="shared" si="22"/>
        <v>0</v>
      </c>
      <c r="AP268" s="78">
        <f t="shared" ca="1" si="23"/>
        <v>0</v>
      </c>
      <c r="AQ268" s="68">
        <f ca="1">ROW(Cost_Elements[[#This Row],[Amount | Total]])</f>
        <v>268</v>
      </c>
    </row>
    <row r="269" spans="1:43">
      <c r="A269" s="240" t="s">
        <v>165</v>
      </c>
      <c r="B269" s="275"/>
      <c r="C269" s="277"/>
      <c r="D269" s="318"/>
      <c r="E269" s="318"/>
      <c r="F269" s="318"/>
      <c r="G269" s="318"/>
      <c r="H269" s="121" t="str">
        <f ca="1">IFERROR(INDEX(Labor_Categories[Minimum Direct Labor Rates],MATCH(Cost_Elements[[#This Row],[Government Labor Category]],Labor_Categories[Labor Categories],0)),"")</f>
        <v/>
      </c>
      <c r="I269" s="79"/>
      <c r="J269" s="74"/>
      <c r="K269" s="75">
        <f ca="1">IFERROR(IF(Cost_Elements[[#This Row],[Row]]&gt;='Do Not Use or Delete'!$L$2, IF(Cost_Elements[[#This Row],[Row]]&lt;='Do Not Use or Delete'!$M$2,I269*J269,0),0)+IF(Cost_Elements[[#This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9" s="63"/>
      <c r="M269" s="63"/>
      <c r="N269" s="79"/>
      <c r="O269" s="74"/>
      <c r="P269" s="75">
        <f ca="1">IFERROR(IF(Cost_Elements[[#This Row],[Row]]&gt;='Do Not Use or Delete'!$L$2, IF(Cost_Elements[[#This Row],[Row]]&lt;='Do Not Use or Delete'!$M$2,N269*O269,0),0)+IF(Cost_Elements[[#This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9" s="63"/>
      <c r="R269" s="63"/>
      <c r="S269" s="79"/>
      <c r="T269" s="74"/>
      <c r="U269" s="75">
        <f ca="1">IFERROR(IF(Cost_Elements[[#This Row],[Row]]&gt;='Do Not Use or Delete'!$L$2, IF(Cost_Elements[[#This Row],[Row]]&lt;='Do Not Use or Delete'!$M$2,S269*T269,0),0)+IF(Cost_Elements[[#This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9" s="63"/>
      <c r="W269" s="63"/>
      <c r="X269" s="79"/>
      <c r="Y269" s="74"/>
      <c r="Z269" s="75">
        <f ca="1">IFERROR(IF(Cost_Elements[[#This Row],[Row]]&gt;='Do Not Use or Delete'!$L$2, IF(Cost_Elements[[#This Row],[Row]]&lt;='Do Not Use or Delete'!$M$2,X269*Y269,0),0)+IF(Cost_Elements[[#This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9" s="63"/>
      <c r="AB269" s="63"/>
      <c r="AC269" s="79"/>
      <c r="AD269" s="74"/>
      <c r="AE269" s="75">
        <f ca="1">IFERROR(IF(Cost_Elements[[#This Row],[Row]]&gt;='Do Not Use or Delete'!$L$2, IF(Cost_Elements[[#This Row],[Row]]&lt;='Do Not Use or Delete'!$M$2,AC269*AD269,0),0)+IF(Cost_Elements[[#This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9" s="64"/>
      <c r="AG269" s="65"/>
      <c r="AH269" s="79"/>
      <c r="AI269" s="74"/>
      <c r="AJ269" s="458"/>
      <c r="AK269" s="458"/>
      <c r="AL269" s="75">
        <f ca="1">IFERROR(IF(Cost_Elements[[#This Row],[Row]]&gt;='Do Not Use or Delete'!$L$2, IF(Cost_Elements[[#This Row],[Row]]&lt;='Do Not Use or Delete'!$M$2,AH269*AI269,0),0)+IF(Cost_Elements[[#This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9" s="64"/>
      <c r="AN269" s="65"/>
      <c r="AO269" s="125">
        <f t="shared" si="22"/>
        <v>0</v>
      </c>
      <c r="AP269" s="78">
        <f t="shared" ca="1" si="23"/>
        <v>0</v>
      </c>
      <c r="AQ269" s="68">
        <f ca="1">ROW(Cost_Elements[[#This Row],[Amount | Total]])</f>
        <v>269</v>
      </c>
    </row>
    <row r="270" spans="1:43">
      <c r="A270" s="240"/>
      <c r="B270" s="276"/>
      <c r="C270" s="277"/>
      <c r="D270" s="318"/>
      <c r="E270" s="318"/>
      <c r="F270" s="318"/>
      <c r="G270" s="318"/>
      <c r="H270" s="121" t="str">
        <f ca="1">IFERROR(INDEX(Labor_Categories[Minimum Direct Labor Rates],MATCH(Cost_Elements[[#This Row],[Government Labor Category]],Labor_Categories[Labor Categories],0)),"")</f>
        <v/>
      </c>
      <c r="I270" s="79"/>
      <c r="J270" s="74"/>
      <c r="K270" s="75">
        <f ca="1">IFERROR(IF(Cost_Elements[[#This Row],[Row]]&gt;='Do Not Use or Delete'!$L$2, IF(Cost_Elements[[#This Row],[Row]]&lt;='Do Not Use or Delete'!$M$2,I270*J270,0),0)+IF(Cost_Elements[[#This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0" s="63"/>
      <c r="M270" s="63"/>
      <c r="N270" s="79"/>
      <c r="O270" s="74"/>
      <c r="P270" s="75">
        <f ca="1">IFERROR(IF(Cost_Elements[[#This Row],[Row]]&gt;='Do Not Use or Delete'!$L$2, IF(Cost_Elements[[#This Row],[Row]]&lt;='Do Not Use or Delete'!$M$2,N270*O270,0),0)+IF(Cost_Elements[[#This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0" s="63"/>
      <c r="R270" s="63"/>
      <c r="S270" s="79"/>
      <c r="T270" s="74"/>
      <c r="U270" s="75">
        <f ca="1">IFERROR(IF(Cost_Elements[[#This Row],[Row]]&gt;='Do Not Use or Delete'!$L$2, IF(Cost_Elements[[#This Row],[Row]]&lt;='Do Not Use or Delete'!$M$2,S270*T270,0),0)+IF(Cost_Elements[[#This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0" s="63"/>
      <c r="W270" s="63"/>
      <c r="X270" s="79"/>
      <c r="Y270" s="74"/>
      <c r="Z270" s="75">
        <f ca="1">IFERROR(IF(Cost_Elements[[#This Row],[Row]]&gt;='Do Not Use or Delete'!$L$2, IF(Cost_Elements[[#This Row],[Row]]&lt;='Do Not Use or Delete'!$M$2,X270*Y270,0),0)+IF(Cost_Elements[[#This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0" s="63"/>
      <c r="AB270" s="63"/>
      <c r="AC270" s="79"/>
      <c r="AD270" s="74"/>
      <c r="AE270" s="75">
        <f ca="1">IFERROR(IF(Cost_Elements[[#This Row],[Row]]&gt;='Do Not Use or Delete'!$L$2, IF(Cost_Elements[[#This Row],[Row]]&lt;='Do Not Use or Delete'!$M$2,AC270*AD270,0),0)+IF(Cost_Elements[[#This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0" s="64"/>
      <c r="AG270" s="65"/>
      <c r="AH270" s="79"/>
      <c r="AI270" s="74"/>
      <c r="AJ270" s="458"/>
      <c r="AK270" s="458"/>
      <c r="AL270" s="75">
        <f ca="1">IFERROR(IF(Cost_Elements[[#This Row],[Row]]&gt;='Do Not Use or Delete'!$L$2, IF(Cost_Elements[[#This Row],[Row]]&lt;='Do Not Use or Delete'!$M$2,AH270*AI270,0),0)+IF(Cost_Elements[[#This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0" s="64"/>
      <c r="AN270" s="65"/>
      <c r="AO270" s="125">
        <f t="shared" si="22"/>
        <v>0</v>
      </c>
      <c r="AP270" s="78">
        <f t="shared" ca="1" si="23"/>
        <v>0</v>
      </c>
      <c r="AQ270" s="68">
        <f ca="1">ROW(Cost_Elements[[#This Row],[Amount | Total]])</f>
        <v>270</v>
      </c>
    </row>
    <row r="271" spans="1:43">
      <c r="A271" s="239"/>
      <c r="B271" s="69"/>
      <c r="C271" s="69"/>
      <c r="D271" s="61"/>
      <c r="E271" s="61"/>
      <c r="F271" s="61"/>
      <c r="G271" s="61"/>
      <c r="H271" s="59" t="str">
        <f ca="1">IFERROR(INDEX(Labor_Categories[Minimum Direct Labor Rates],MATCH(Cost_Elements[[#This Row],[Government Labor Category]],Labor_Categories[Labor Categories],0)),"")</f>
        <v/>
      </c>
      <c r="I271" s="11"/>
      <c r="J271" s="69"/>
      <c r="K271" s="94"/>
      <c r="L271" s="248"/>
      <c r="M271" s="248"/>
      <c r="N271" s="11">
        <f ca="1">(Cost_Elements[[#This Row],[Rate | 1]]*$O$4)+Cost_Elements[[#This Row],[Rate | 1]]</f>
        <v>0</v>
      </c>
      <c r="O271" s="69">
        <f ca="1">(Cost_Elements[[#This Row],[Rate | 1]]*$O$4)+Cost_Elements[[#This Row],[Rate | 1]]</f>
        <v>0</v>
      </c>
      <c r="P271" s="94"/>
      <c r="Q271" s="248"/>
      <c r="R271" s="248"/>
      <c r="S271" s="11">
        <f ca="1">(Cost_Elements[[#This Row],[Rate | 2]]*$T$4)+Cost_Elements[[#This Row],[Rate | 2]]</f>
        <v>0</v>
      </c>
      <c r="T271" s="69">
        <f ca="1">(Cost_Elements[[#This Row],[Rate | 2]]*$T$4)+Cost_Elements[[#This Row],[Rate | 2]]</f>
        <v>0</v>
      </c>
      <c r="U271" s="94"/>
      <c r="V271" s="248"/>
      <c r="W271" s="248"/>
      <c r="X271" s="11">
        <f ca="1">(Cost_Elements[[#This Row],[Rate | 3]]*$Y$4)+Cost_Elements[[#This Row],[Rate | 3]]</f>
        <v>0</v>
      </c>
      <c r="Y271" s="69">
        <f ca="1">(Cost_Elements[[#This Row],[Rate | 3]]*$Y$4)+Cost_Elements[[#This Row],[Rate | 3]]</f>
        <v>0</v>
      </c>
      <c r="Z271" s="94"/>
      <c r="AA271" s="248"/>
      <c r="AB271" s="248"/>
      <c r="AC271" s="11">
        <f ca="1">(Cost_Elements[[#This Row],[Rate | 4]]*$AD$4)+Cost_Elements[[#This Row],[Rate | 4]]</f>
        <v>0</v>
      </c>
      <c r="AD271" s="69">
        <f ca="1">(Cost_Elements[[#This Row],[Rate | 4]]*$AD$4)+Cost_Elements[[#This Row],[Rate | 4]]</f>
        <v>0</v>
      </c>
      <c r="AE271" s="94"/>
      <c r="AF271" s="102"/>
      <c r="AG271" s="249"/>
      <c r="AH271" s="11">
        <f ca="1">(Cost_Elements[[#This Row],[Rate | 4]]*$AD$4)+Cost_Elements[[#This Row],[Rate | 4]]</f>
        <v>0</v>
      </c>
      <c r="AI271" s="69">
        <f ca="1">(Cost_Elements[[#This Row],[Rate | 4]]*$AD$4)+Cost_Elements[[#This Row],[Rate | 4]]</f>
        <v>0</v>
      </c>
      <c r="AJ271" s="172"/>
      <c r="AK271" s="172"/>
      <c r="AL271" s="94"/>
      <c r="AM271" s="102"/>
      <c r="AN271" s="249"/>
      <c r="AO271" s="246"/>
      <c r="AP271" s="95"/>
      <c r="AQ271" s="68">
        <f ca="1">ROW(Cost_Elements[[#This Row],[Amount | Total]])</f>
        <v>271</v>
      </c>
    </row>
    <row r="272" spans="1:43">
      <c r="A272" s="239" t="s">
        <v>191</v>
      </c>
      <c r="B272" s="69"/>
      <c r="C272" s="69"/>
      <c r="D272" s="61"/>
      <c r="E272" s="61"/>
      <c r="F272" s="61"/>
      <c r="G272" s="61"/>
      <c r="H272" s="59" t="str">
        <f ca="1">IFERROR(INDEX(Labor_Categories[Minimum Direct Labor Rates],MATCH(Cost_Elements[[#This Row],[Government Labor Category]],Labor_Categories[Labor Categories],0)),"")</f>
        <v/>
      </c>
      <c r="I272" s="11"/>
      <c r="J272" s="126">
        <f ca="1">J256+J241+J226+J211+J196+J181+J166+J151+J136</f>
        <v>0</v>
      </c>
      <c r="K272" s="127">
        <f ca="1">K256+K241+K226+K211+K196+K181+K166+K151+K136</f>
        <v>0</v>
      </c>
      <c r="L272" s="248"/>
      <c r="M272" s="248"/>
      <c r="N272" s="11"/>
      <c r="O272" s="126">
        <f ca="1">O256+O241+O226+O211+O196+O181+O166+O151+O136</f>
        <v>0</v>
      </c>
      <c r="P272" s="127">
        <f ca="1">P256+P241+P226+P211+P196+P181+P166+P151+P136</f>
        <v>0</v>
      </c>
      <c r="Q272" s="248"/>
      <c r="R272" s="248"/>
      <c r="S272" s="11"/>
      <c r="T272" s="126">
        <f ca="1">T256+T241+T226+T211+T196+T181+T166+T151+T136</f>
        <v>0</v>
      </c>
      <c r="U272" s="127">
        <f ca="1">U256+U241+U226+U211+U196+U181+U166+U151+U136</f>
        <v>0</v>
      </c>
      <c r="V272" s="248"/>
      <c r="W272" s="248"/>
      <c r="X272" s="11"/>
      <c r="Y272" s="126">
        <f ca="1">Y256+Y241+Y226+Y211+Y196+Y181+Y166+Y151+Y136</f>
        <v>0</v>
      </c>
      <c r="Z272" s="127">
        <f ca="1">Z256+Z241+Z226+Z211+Z196+Z181+Z166+Z151+Z136</f>
        <v>0</v>
      </c>
      <c r="AA272" s="248"/>
      <c r="AB272" s="248"/>
      <c r="AC272" s="11"/>
      <c r="AD272" s="126">
        <f ca="1">AD256+AD241+AD226+AD211+AD196+AD181+AD166+AD151+AD136</f>
        <v>0</v>
      </c>
      <c r="AE272" s="127">
        <f ca="1">AE256+AE241+AE226+AE211+AE196+AE181+AE166+AE151+AE136</f>
        <v>0</v>
      </c>
      <c r="AF272" s="102"/>
      <c r="AG272" s="249"/>
      <c r="AH272" s="11"/>
      <c r="AI272" s="126">
        <f ca="1">AI256+AI241+AI226+AI211+AI196+AI181+AI166+AI151+AI136</f>
        <v>0</v>
      </c>
      <c r="AJ272" s="126"/>
      <c r="AK272" s="126"/>
      <c r="AL272" s="127">
        <f ca="1">AL256+AL241+AL226+AL211+AL196+AL181+AL166+AL151+AL136</f>
        <v>0</v>
      </c>
      <c r="AM272" s="102"/>
      <c r="AN272" s="249"/>
      <c r="AO272" s="263">
        <f ca="1">J272+AD272+Y272+T272+O272+AI272</f>
        <v>0</v>
      </c>
      <c r="AP272" s="104">
        <f ca="1">AP256+AP241+AP226+AP211+AP196+AP181+AP166+AP151+AP136</f>
        <v>0</v>
      </c>
      <c r="AQ272" s="68">
        <f ca="1">ROW(Cost_Elements[[#This Row],[Amount | Total]])</f>
        <v>272</v>
      </c>
    </row>
    <row r="273" spans="1:43">
      <c r="A273" s="264" t="s">
        <v>192</v>
      </c>
      <c r="B273" s="69"/>
      <c r="C273" s="69"/>
      <c r="D273" s="61"/>
      <c r="E273" s="61"/>
      <c r="F273" s="61"/>
      <c r="G273" s="61"/>
      <c r="H273" s="88"/>
      <c r="I273" s="11"/>
      <c r="J273" s="69"/>
      <c r="K273" s="94"/>
      <c r="L273" s="248"/>
      <c r="M273" s="248"/>
      <c r="N273" s="88"/>
      <c r="O273" s="69"/>
      <c r="P273" s="94"/>
      <c r="Q273" s="248"/>
      <c r="R273" s="248"/>
      <c r="S273" s="11"/>
      <c r="T273" s="69"/>
      <c r="U273" s="94"/>
      <c r="V273" s="248"/>
      <c r="W273" s="248"/>
      <c r="X273" s="11"/>
      <c r="Y273" s="69"/>
      <c r="Z273" s="94"/>
      <c r="AA273" s="248"/>
      <c r="AB273" s="248"/>
      <c r="AC273" s="11"/>
      <c r="AD273" s="69"/>
      <c r="AE273" s="94"/>
      <c r="AF273" s="102"/>
      <c r="AG273" s="249"/>
      <c r="AH273" s="11"/>
      <c r="AI273" s="69"/>
      <c r="AJ273" s="172"/>
      <c r="AK273" s="172"/>
      <c r="AL273" s="94"/>
      <c r="AM273" s="102"/>
      <c r="AN273" s="249"/>
      <c r="AO273" s="246"/>
      <c r="AP273" s="95"/>
      <c r="AQ273" s="68">
        <f ca="1">ROW(Cost_Elements[[#This Row],[Amount | Total]])</f>
        <v>273</v>
      </c>
    </row>
    <row r="274" spans="1:43">
      <c r="A274" s="239" t="s">
        <v>193</v>
      </c>
      <c r="B274" s="69" t="s">
        <v>102</v>
      </c>
      <c r="C274" s="69"/>
      <c r="D274" s="61"/>
      <c r="E274" s="61"/>
      <c r="F274" s="61"/>
      <c r="G274" s="61"/>
      <c r="H274" s="59" t="str">
        <f ca="1">IFERROR(INDEX(Labor_Categories[Minimum Direct Labor Rates],MATCH(Cost_Elements[[#This Row],[Government Labor Category]],Labor_Categories[Labor Categories],0)),"")</f>
        <v/>
      </c>
      <c r="I274" s="98">
        <f ca="1">'Indirect Rates and Fee'!D22</f>
        <v>0</v>
      </c>
      <c r="J274" s="99">
        <f ca="1">+K272</f>
        <v>0</v>
      </c>
      <c r="K274" s="100">
        <f ca="1">IFERROR(IF(Cost_Elements[[#This Row],[Row]]&gt;='Do Not Use or Delete'!$L$2, IF(Cost_Elements[[#This Row],[Row]]&lt;='Do Not Use or Delete'!$M$2,I274*J274,0),0)+IF(Cost_Elements[[#This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4" s="248"/>
      <c r="M274" s="248"/>
      <c r="N274" s="98">
        <f ca="1">'Indirect Rates and Fee'!E22</f>
        <v>0</v>
      </c>
      <c r="O274" s="99">
        <f ca="1">+P272</f>
        <v>0</v>
      </c>
      <c r="P274" s="100">
        <f ca="1">IFERROR(IF(Cost_Elements[[#This Row],[Row]]&gt;='Do Not Use or Delete'!$L$2, IF(Cost_Elements[[#This Row],[Row]]&lt;='Do Not Use or Delete'!$M$2,N274*O274,0),0)+IF(Cost_Elements[[#This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4" s="248"/>
      <c r="R274" s="248"/>
      <c r="S274" s="98">
        <f ca="1">'Indirect Rates and Fee'!F22</f>
        <v>0</v>
      </c>
      <c r="T274" s="99">
        <f ca="1">+U272</f>
        <v>0</v>
      </c>
      <c r="U274" s="100">
        <f ca="1">IFERROR(IF(Cost_Elements[[#This Row],[Row]]&gt;='Do Not Use or Delete'!$L$2, IF(Cost_Elements[[#This Row],[Row]]&lt;='Do Not Use or Delete'!$M$2,S274*T274,0),0)+IF(Cost_Elements[[#This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4" s="248"/>
      <c r="W274" s="248"/>
      <c r="X274" s="98">
        <f ca="1">'Indirect Rates and Fee'!G22</f>
        <v>0</v>
      </c>
      <c r="Y274" s="99">
        <f ca="1">+Z272</f>
        <v>0</v>
      </c>
      <c r="Z274" s="100">
        <f ca="1">IFERROR(IF(Cost_Elements[[#This Row],[Row]]&gt;='Do Not Use or Delete'!$L$2, IF(Cost_Elements[[#This Row],[Row]]&lt;='Do Not Use or Delete'!$M$2,X274*Y274,0),0)+IF(Cost_Elements[[#This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4" s="248"/>
      <c r="AB274" s="248"/>
      <c r="AC274" s="98">
        <f ca="1">'Indirect Rates and Fee'!H22</f>
        <v>0</v>
      </c>
      <c r="AD274" s="99">
        <f ca="1">+AE272</f>
        <v>0</v>
      </c>
      <c r="AE274" s="100">
        <f ca="1">IFERROR(IF(Cost_Elements[[#This Row],[Row]]&gt;='Do Not Use or Delete'!$L$2, IF(Cost_Elements[[#This Row],[Row]]&lt;='Do Not Use or Delete'!$M$2,AC274*AD274,0),0)+IF(Cost_Elements[[#This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4" s="102"/>
      <c r="AG274" s="249"/>
      <c r="AH274" s="98">
        <f ca="1">'Indirect Rates and Fee'!I22</f>
        <v>0</v>
      </c>
      <c r="AI274" s="99">
        <f ca="1">+AL272</f>
        <v>0</v>
      </c>
      <c r="AJ274" s="464"/>
      <c r="AK274" s="464"/>
      <c r="AL274" s="100">
        <f ca="1">IFERROR(IF(Cost_Elements[[#This Row],[Row]]&gt;='Do Not Use or Delete'!$L$2, IF(Cost_Elements[[#This Row],[Row]]&lt;='Do Not Use or Delete'!$M$2,AH274*AI274,0),0)+IF(Cost_Elements[[#This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4" s="102"/>
      <c r="AN274" s="249"/>
      <c r="AO274" s="246"/>
      <c r="AP274" s="101">
        <f ca="1">K274+U274+AE274+P274+Z274+AL274</f>
        <v>0</v>
      </c>
      <c r="AQ274" s="68">
        <f ca="1">ROW(Cost_Elements[[#This Row],[Amount | Total]])</f>
        <v>274</v>
      </c>
    </row>
    <row r="275" spans="1:43">
      <c r="A275" s="239" t="s">
        <v>193</v>
      </c>
      <c r="B275" s="69" t="s">
        <v>194</v>
      </c>
      <c r="C275" s="69"/>
      <c r="D275" s="61"/>
      <c r="E275" s="61"/>
      <c r="F275" s="61"/>
      <c r="G275" s="61"/>
      <c r="H275" s="59" t="str">
        <f ca="1">IFERROR(INDEX(Labor_Categories[Minimum Direct Labor Rates],MATCH(Cost_Elements[[#This Row],[Government Labor Category]],Labor_Categories[Labor Categories],0)),"")</f>
        <v/>
      </c>
      <c r="I275" s="98">
        <f ca="1">'Indirect Rates and Fee'!D23</f>
        <v>0</v>
      </c>
      <c r="J275" s="99">
        <f ca="1">+K272</f>
        <v>0</v>
      </c>
      <c r="K275" s="100">
        <f ca="1">IFERROR(IF(Cost_Elements[[#This Row],[Row]]&gt;='Do Not Use or Delete'!$L$2, IF(Cost_Elements[[#This Row],[Row]]&lt;='Do Not Use or Delete'!$M$2,I275*J275,0),0)+IF(Cost_Elements[[#This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5" s="248"/>
      <c r="M275" s="248"/>
      <c r="N275" s="98">
        <f ca="1">'Indirect Rates and Fee'!E23</f>
        <v>0</v>
      </c>
      <c r="O275" s="99">
        <f ca="1">+P272</f>
        <v>0</v>
      </c>
      <c r="P275" s="100">
        <f ca="1">IFERROR(IF(Cost_Elements[[#This Row],[Row]]&gt;='Do Not Use or Delete'!$L$2, IF(Cost_Elements[[#This Row],[Row]]&lt;='Do Not Use or Delete'!$M$2,N275*O275,0),0)+IF(Cost_Elements[[#This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5" s="248"/>
      <c r="R275" s="248"/>
      <c r="S275" s="98">
        <f ca="1">'Indirect Rates and Fee'!F23</f>
        <v>0</v>
      </c>
      <c r="T275" s="99">
        <f ca="1">+U272</f>
        <v>0</v>
      </c>
      <c r="U275" s="100">
        <f ca="1">IFERROR(IF(Cost_Elements[[#This Row],[Row]]&gt;='Do Not Use or Delete'!$L$2, IF(Cost_Elements[[#This Row],[Row]]&lt;='Do Not Use or Delete'!$M$2,S275*T275,0),0)+IF(Cost_Elements[[#This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5" s="248"/>
      <c r="W275" s="248"/>
      <c r="X275" s="98">
        <f ca="1">'Indirect Rates and Fee'!G23</f>
        <v>0</v>
      </c>
      <c r="Y275" s="99">
        <f ca="1">+Z272</f>
        <v>0</v>
      </c>
      <c r="Z275" s="100">
        <f ca="1">IFERROR(IF(Cost_Elements[[#This Row],[Row]]&gt;='Do Not Use or Delete'!$L$2, IF(Cost_Elements[[#This Row],[Row]]&lt;='Do Not Use or Delete'!$M$2,X275*Y275,0),0)+IF(Cost_Elements[[#This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5" s="248"/>
      <c r="AB275" s="248"/>
      <c r="AC275" s="98">
        <f ca="1">'Indirect Rates and Fee'!H23</f>
        <v>0</v>
      </c>
      <c r="AD275" s="99">
        <f ca="1">+AE272</f>
        <v>0</v>
      </c>
      <c r="AE275" s="100">
        <f ca="1">IFERROR(IF(Cost_Elements[[#This Row],[Row]]&gt;='Do Not Use or Delete'!$L$2, IF(Cost_Elements[[#This Row],[Row]]&lt;='Do Not Use or Delete'!$M$2,AC275*AD275,0),0)+IF(Cost_Elements[[#This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5" s="102"/>
      <c r="AG275" s="249"/>
      <c r="AH275" s="98">
        <f ca="1">'Indirect Rates and Fee'!I23</f>
        <v>0</v>
      </c>
      <c r="AI275" s="99">
        <f ca="1">+AL272</f>
        <v>0</v>
      </c>
      <c r="AJ275" s="464"/>
      <c r="AK275" s="464"/>
      <c r="AL275" s="100">
        <f ca="1">IFERROR(IF(Cost_Elements[[#This Row],[Row]]&gt;='Do Not Use or Delete'!$L$2, IF(Cost_Elements[[#This Row],[Row]]&lt;='Do Not Use or Delete'!$M$2,AH275*AI275,0),0)+IF(Cost_Elements[[#This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5" s="102"/>
      <c r="AN275" s="249"/>
      <c r="AO275" s="246"/>
      <c r="AP275" s="101">
        <f ca="1">K275+U275+AE275+P275+Z275+AL275</f>
        <v>0</v>
      </c>
      <c r="AQ275" s="68">
        <f ca="1">ROW(Cost_Elements[[#This Row],[Amount | Total]])</f>
        <v>275</v>
      </c>
    </row>
    <row r="276" spans="1:43">
      <c r="A276" s="239" t="s">
        <v>98</v>
      </c>
      <c r="B276" s="69" t="s">
        <v>98</v>
      </c>
      <c r="C276" s="69"/>
      <c r="D276" s="61"/>
      <c r="E276" s="61"/>
      <c r="F276" s="61"/>
      <c r="G276" s="61"/>
      <c r="H276" s="59" t="str">
        <f ca="1">IFERROR(INDEX(Labor_Categories[Minimum Direct Labor Rates],MATCH(Cost_Elements[[#This Row],[Government Labor Category]],Labor_Categories[Labor Categories],0)),"")</f>
        <v/>
      </c>
      <c r="I276" s="98">
        <f ca="1">'Indirect Rates and Fee'!D17</f>
        <v>0</v>
      </c>
      <c r="J276" s="99">
        <f ca="1">SUM(K274:K275)</f>
        <v>0</v>
      </c>
      <c r="K276" s="100">
        <f ca="1">IFERROR(IF(Cost_Elements[[#This Row],[Row]]&gt;='Do Not Use or Delete'!$L$2, IF(Cost_Elements[[#This Row],[Row]]&lt;='Do Not Use or Delete'!$M$2,I276*J276,0),0)+IF(Cost_Elements[[#This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6" s="248"/>
      <c r="M276" s="248"/>
      <c r="N276" s="98">
        <f ca="1">'Indirect Rates and Fee'!E17</f>
        <v>0</v>
      </c>
      <c r="O276" s="99">
        <f ca="1">+P274+P275</f>
        <v>0</v>
      </c>
      <c r="P276" s="100">
        <f ca="1">IFERROR(IF(Cost_Elements[[#This Row],[Row]]&gt;='Do Not Use or Delete'!$L$2, IF(Cost_Elements[[#This Row],[Row]]&lt;='Do Not Use or Delete'!$M$2,N276*O276,0),0)+IF(Cost_Elements[[#This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6" s="248"/>
      <c r="R276" s="248"/>
      <c r="S276" s="98">
        <f ca="1">'Indirect Rates and Fee'!F17</f>
        <v>0</v>
      </c>
      <c r="T276" s="99">
        <f ca="1">+U274+U275</f>
        <v>0</v>
      </c>
      <c r="U276" s="100">
        <f ca="1">IFERROR(IF(Cost_Elements[[#This Row],[Row]]&gt;='Do Not Use or Delete'!$L$2, IF(Cost_Elements[[#This Row],[Row]]&lt;='Do Not Use or Delete'!$M$2,S276*T276,0),0)+IF(Cost_Elements[[#This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6" s="248"/>
      <c r="W276" s="248"/>
      <c r="X276" s="98">
        <f ca="1">'Indirect Rates and Fee'!G17</f>
        <v>0</v>
      </c>
      <c r="Y276" s="99">
        <f ca="1">+Z274+Z275</f>
        <v>0</v>
      </c>
      <c r="Z276" s="100">
        <f ca="1">IFERROR(IF(Cost_Elements[[#This Row],[Row]]&gt;='Do Not Use or Delete'!$L$2, IF(Cost_Elements[[#This Row],[Row]]&lt;='Do Not Use or Delete'!$M$2,X276*Y276,0),0)+IF(Cost_Elements[[#This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6" s="248"/>
      <c r="AB276" s="248"/>
      <c r="AC276" s="98">
        <f ca="1">'Indirect Rates and Fee'!H17</f>
        <v>0</v>
      </c>
      <c r="AD276" s="99">
        <f ca="1">SUM(AE274:AE275)</f>
        <v>0</v>
      </c>
      <c r="AE276" s="100">
        <f ca="1">IFERROR(IF(Cost_Elements[[#This Row],[Row]]&gt;='Do Not Use or Delete'!$L$2, IF(Cost_Elements[[#This Row],[Row]]&lt;='Do Not Use or Delete'!$M$2,AC276*AD276,0),0)+IF(Cost_Elements[[#This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6" s="102"/>
      <c r="AG276" s="249"/>
      <c r="AH276" s="98">
        <f ca="1">'Indirect Rates and Fee'!I17</f>
        <v>0</v>
      </c>
      <c r="AI276" s="99">
        <f ca="1">SUM(AL274:AL275)</f>
        <v>0</v>
      </c>
      <c r="AJ276" s="464"/>
      <c r="AK276" s="464"/>
      <c r="AL276" s="100">
        <f ca="1">IFERROR(IF(Cost_Elements[[#This Row],[Row]]&gt;='Do Not Use or Delete'!$L$2, IF(Cost_Elements[[#This Row],[Row]]&lt;='Do Not Use or Delete'!$M$2,AH276*AI276,0),0)+IF(Cost_Elements[[#This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6" s="102"/>
      <c r="AN276" s="249"/>
      <c r="AO276" s="246"/>
      <c r="AP276" s="101">
        <f ca="1">K276+U276+AE276+P276+Z276+AL276</f>
        <v>0</v>
      </c>
      <c r="AQ276" s="68">
        <f ca="1">ROW(Cost_Elements[[#This Row],[Amount | Total]])</f>
        <v>276</v>
      </c>
    </row>
    <row r="277" spans="1:43">
      <c r="A277" s="239" t="s">
        <v>195</v>
      </c>
      <c r="B277" s="69"/>
      <c r="C277" s="69"/>
      <c r="D277" s="61"/>
      <c r="E277" s="61"/>
      <c r="F277" s="61"/>
      <c r="G277" s="61"/>
      <c r="H277" s="59" t="str">
        <f ca="1">IFERROR(INDEX(Labor_Categories[Minimum Direct Labor Rates],MATCH(Cost_Elements[[#This Row],[Government Labor Category]],Labor_Categories[Labor Categories],0)),"")</f>
        <v/>
      </c>
      <c r="I277" s="11"/>
      <c r="J277" s="69"/>
      <c r="K277" s="128"/>
      <c r="L277" s="248"/>
      <c r="M277" s="248"/>
      <c r="N277" s="11"/>
      <c r="O277" s="69"/>
      <c r="P277" s="128"/>
      <c r="Q277" s="248"/>
      <c r="R277" s="248"/>
      <c r="S277" s="11"/>
      <c r="T277" s="69"/>
      <c r="U277" s="128"/>
      <c r="V277" s="248"/>
      <c r="W277" s="248"/>
      <c r="X277" s="11"/>
      <c r="Y277" s="69"/>
      <c r="Z277" s="128"/>
      <c r="AA277" s="248"/>
      <c r="AB277" s="248"/>
      <c r="AC277" s="11"/>
      <c r="AD277" s="69"/>
      <c r="AE277" s="128"/>
      <c r="AF277" s="102"/>
      <c r="AG277" s="249"/>
      <c r="AH277" s="11"/>
      <c r="AI277" s="69"/>
      <c r="AJ277" s="252"/>
      <c r="AK277" s="252"/>
      <c r="AL277" s="128"/>
      <c r="AM277" s="102"/>
      <c r="AN277" s="249"/>
      <c r="AO277" s="246"/>
      <c r="AP277" s="95"/>
      <c r="AQ277" s="68">
        <f ca="1">ROW(Cost_Elements[[#This Row],[Amount | Total]])</f>
        <v>277</v>
      </c>
    </row>
    <row r="278" spans="1:43">
      <c r="A278" s="239" t="s">
        <v>196</v>
      </c>
      <c r="B278" s="69"/>
      <c r="C278" s="69"/>
      <c r="D278" s="61"/>
      <c r="E278" s="61"/>
      <c r="F278" s="61"/>
      <c r="G278" s="61"/>
      <c r="H278" s="59" t="str">
        <f ca="1">IFERROR(INDEX(Labor_Categories[Minimum Direct Labor Rates],MATCH(Cost_Elements[[#This Row],[Government Labor Category]],Labor_Categories[Labor Categories],0)),"")</f>
        <v/>
      </c>
      <c r="I278" s="11"/>
      <c r="J278" s="69"/>
      <c r="K278" s="100">
        <f ca="1">IFERROR(IF(Cost_Elements[[#This Row],[Row]]&gt;='Do Not Use or Delete'!$L$2, IF(Cost_Elements[[#This Row],[Row]]&lt;='Do Not Use or Delete'!$M$2,I278*J278,0),0)+IF(Cost_Elements[[#This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8" s="248"/>
      <c r="M278" s="248"/>
      <c r="N278" s="11"/>
      <c r="O278" s="69"/>
      <c r="P278" s="100">
        <f ca="1">IFERROR(IF(Cost_Elements[[#This Row],[Row]]&gt;='Do Not Use or Delete'!$L$2, IF(Cost_Elements[[#This Row],[Row]]&lt;='Do Not Use or Delete'!$M$2,N278*O278,0),0)+IF(Cost_Elements[[#This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8" s="248"/>
      <c r="R278" s="248"/>
      <c r="S278" s="11"/>
      <c r="T278" s="69"/>
      <c r="U278" s="100">
        <f ca="1">IFERROR(IF(Cost_Elements[[#This Row],[Row]]&gt;='Do Not Use or Delete'!$L$2, IF(Cost_Elements[[#This Row],[Row]]&lt;='Do Not Use or Delete'!$M$2,S278*T278,0),0)+IF(Cost_Elements[[#This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8" s="248"/>
      <c r="W278" s="248"/>
      <c r="X278" s="11"/>
      <c r="Y278" s="69"/>
      <c r="Z278" s="100">
        <f ca="1">IFERROR(IF(Cost_Elements[[#This Row],[Row]]&gt;='Do Not Use or Delete'!$L$2, IF(Cost_Elements[[#This Row],[Row]]&lt;='Do Not Use or Delete'!$M$2,X278*Y278,0),0)+IF(Cost_Elements[[#This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8" s="248"/>
      <c r="AB278" s="248"/>
      <c r="AC278" s="11"/>
      <c r="AD278" s="69"/>
      <c r="AE278" s="100">
        <f ca="1">IFERROR(IF(Cost_Elements[[#This Row],[Row]]&gt;='Do Not Use or Delete'!$L$2, IF(Cost_Elements[[#This Row],[Row]]&lt;='Do Not Use or Delete'!$M$2,AC278*AD278,0),0)+IF(Cost_Elements[[#This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8" s="102"/>
      <c r="AG278" s="249"/>
      <c r="AH278" s="11"/>
      <c r="AI278" s="69"/>
      <c r="AJ278" s="172"/>
      <c r="AK278" s="172"/>
      <c r="AL278" s="100">
        <f ca="1">IFERROR(IF(Cost_Elements[[#This Row],[Row]]&gt;='Do Not Use or Delete'!$L$2, IF(Cost_Elements[[#This Row],[Row]]&lt;='Do Not Use or Delete'!$M$2,AH278*AI278,0),0)+IF(Cost_Elements[[#This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8" s="102"/>
      <c r="AN278" s="249"/>
      <c r="AO278" s="246"/>
      <c r="AP278" s="101">
        <f ca="1">K278+U278+AE278+P278+Z278+AL278</f>
        <v>0</v>
      </c>
      <c r="AQ278" s="68">
        <f ca="1">ROW(Cost_Elements[[#This Row],[Amount | Total]])</f>
        <v>278</v>
      </c>
    </row>
    <row r="279" spans="1:43">
      <c r="A279" s="239" t="s">
        <v>197</v>
      </c>
      <c r="B279" s="69"/>
      <c r="C279" s="69"/>
      <c r="D279" s="61"/>
      <c r="E279" s="61"/>
      <c r="F279" s="61"/>
      <c r="G279" s="61"/>
      <c r="H279" s="59" t="str">
        <f ca="1">IFERROR(INDEX(Labor_Categories[Minimum Direct Labor Rates],MATCH(Cost_Elements[[#This Row],[Government Labor Category]],Labor_Categories[Labor Categories],0)),"")</f>
        <v/>
      </c>
      <c r="I279" s="11"/>
      <c r="J279" s="69"/>
      <c r="K279" s="100">
        <f ca="1">IFERROR(IF(Cost_Elements[[#This Row],[Row]]&gt;='Do Not Use or Delete'!$L$2, IF(Cost_Elements[[#This Row],[Row]]&lt;='Do Not Use or Delete'!$M$2,I279*J279,0),0)+IF(Cost_Elements[[#This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9" s="248"/>
      <c r="M279" s="248"/>
      <c r="N279" s="11"/>
      <c r="O279" s="69"/>
      <c r="P279" s="100">
        <f ca="1">IFERROR(IF(Cost_Elements[[#This Row],[Row]]&gt;='Do Not Use or Delete'!$L$2, IF(Cost_Elements[[#This Row],[Row]]&lt;='Do Not Use or Delete'!$M$2,N279*O279,0),0)+IF(Cost_Elements[[#This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9" s="248"/>
      <c r="R279" s="248"/>
      <c r="S279" s="11"/>
      <c r="T279" s="69"/>
      <c r="U279" s="100">
        <f ca="1">IFERROR(IF(Cost_Elements[[#This Row],[Row]]&gt;='Do Not Use or Delete'!$L$2, IF(Cost_Elements[[#This Row],[Row]]&lt;='Do Not Use or Delete'!$M$2,S279*T279,0),0)+IF(Cost_Elements[[#This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9" s="248"/>
      <c r="W279" s="248"/>
      <c r="X279" s="11"/>
      <c r="Y279" s="69"/>
      <c r="Z279" s="100">
        <f ca="1">IFERROR(IF(Cost_Elements[[#This Row],[Row]]&gt;='Do Not Use or Delete'!$L$2, IF(Cost_Elements[[#This Row],[Row]]&lt;='Do Not Use or Delete'!$M$2,X279*Y279,0),0)+IF(Cost_Elements[[#This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9" s="248"/>
      <c r="AB279" s="248"/>
      <c r="AC279" s="11"/>
      <c r="AD279" s="69"/>
      <c r="AE279" s="100">
        <f ca="1">IFERROR(IF(Cost_Elements[[#This Row],[Row]]&gt;='Do Not Use or Delete'!$L$2, IF(Cost_Elements[[#This Row],[Row]]&lt;='Do Not Use or Delete'!$M$2,AC279*AD279,0),0)+IF(Cost_Elements[[#This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9" s="102"/>
      <c r="AG279" s="249"/>
      <c r="AH279" s="11"/>
      <c r="AI279" s="69"/>
      <c r="AJ279" s="172"/>
      <c r="AK279" s="172"/>
      <c r="AL279" s="100">
        <f ca="1">IFERROR(IF(Cost_Elements[[#This Row],[Row]]&gt;='Do Not Use or Delete'!$L$2, IF(Cost_Elements[[#This Row],[Row]]&lt;='Do Not Use or Delete'!$M$2,AH279*AI279,0),0)+IF(Cost_Elements[[#This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9" s="102"/>
      <c r="AN279" s="249"/>
      <c r="AO279" s="246"/>
      <c r="AP279" s="101">
        <f ca="1">K279+U279+AE279+P279+Z279+AL279</f>
        <v>0</v>
      </c>
      <c r="AQ279" s="68">
        <f ca="1">ROW(Cost_Elements[[#This Row],[Amount | Total]])</f>
        <v>279</v>
      </c>
    </row>
    <row r="280" spans="1:43">
      <c r="A280" s="239"/>
      <c r="B280" s="69"/>
      <c r="C280" s="69"/>
      <c r="D280" s="61"/>
      <c r="E280" s="61"/>
      <c r="F280" s="61"/>
      <c r="G280" s="61"/>
      <c r="H280" s="59" t="str">
        <f ca="1">IFERROR(INDEX(Labor_Categories[Minimum Direct Labor Rates],MATCH(Cost_Elements[[#This Row],[Government Labor Category]],Labor_Categories[Labor Categories],0)),"")</f>
        <v/>
      </c>
      <c r="I280" s="11"/>
      <c r="J280" s="69"/>
      <c r="K280" s="94"/>
      <c r="L280" s="248"/>
      <c r="M280" s="248"/>
      <c r="N280" s="11"/>
      <c r="O280" s="69"/>
      <c r="P280" s="88"/>
      <c r="Q280" s="248"/>
      <c r="R280" s="248"/>
      <c r="S280" s="11"/>
      <c r="T280" s="69"/>
      <c r="U280" s="94"/>
      <c r="V280" s="248"/>
      <c r="W280" s="248"/>
      <c r="X280" s="11"/>
      <c r="Y280" s="69"/>
      <c r="Z280" s="94"/>
      <c r="AA280" s="248"/>
      <c r="AB280" s="248"/>
      <c r="AC280" s="11"/>
      <c r="AD280" s="69"/>
      <c r="AE280" s="94"/>
      <c r="AF280" s="102"/>
      <c r="AG280" s="249"/>
      <c r="AH280" s="11"/>
      <c r="AI280" s="69"/>
      <c r="AJ280" s="172"/>
      <c r="AK280" s="172"/>
      <c r="AL280" s="94"/>
      <c r="AM280" s="102"/>
      <c r="AN280" s="249"/>
      <c r="AO280" s="246"/>
      <c r="AP280" s="95"/>
      <c r="AQ280" s="68">
        <f ca="1">ROW(Cost_Elements[[#This Row],[Amount | Total]])</f>
        <v>280</v>
      </c>
    </row>
    <row r="281" spans="1:43">
      <c r="A281" s="265" t="s">
        <v>198</v>
      </c>
      <c r="B281" s="80"/>
      <c r="C281" s="80"/>
      <c r="D281" s="81"/>
      <c r="E281" s="81"/>
      <c r="F281" s="81"/>
      <c r="G281" s="81"/>
      <c r="H281" s="59" t="str">
        <f ca="1">IFERROR(INDEX(Labor_Categories[Minimum Direct Labor Rates],MATCH(Cost_Elements[[#This Row],[Government Labor Category]],Labor_Categories[Labor Categories],0)),"")</f>
        <v/>
      </c>
      <c r="I281" s="82"/>
      <c r="J281" s="126">
        <f ca="1">J272+J113</f>
        <v>0</v>
      </c>
      <c r="K281" s="84">
        <f ca="1">IFERROR(IF(Cost_Elements[[#This Row],[Row]]&gt;='Do Not Use or Delete'!$L$2, IF(Cost_Elements[[#This Row],[Row]]&lt;='Do Not Use or Delete'!$M$2,I281*J281,0),0)+IF(Cost_Elements[[#This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1" s="242"/>
      <c r="M281" s="242"/>
      <c r="N281" s="82"/>
      <c r="O281" s="126">
        <f ca="1">O272+O113</f>
        <v>0</v>
      </c>
      <c r="P281" s="84">
        <f ca="1">IFERROR(IF(Cost_Elements[[#This Row],[Row]]&gt;='Do Not Use or Delete'!$L$2, IF(Cost_Elements[[#This Row],[Row]]&lt;='Do Not Use or Delete'!$M$2,N281*O281,0),0)+IF(Cost_Elements[[#This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1" s="242"/>
      <c r="R281" s="242"/>
      <c r="S281" s="82"/>
      <c r="T281" s="126">
        <f ca="1">T272+T113</f>
        <v>0</v>
      </c>
      <c r="U281" s="84">
        <f ca="1">IFERROR(IF(Cost_Elements[[#This Row],[Row]]&gt;='Do Not Use or Delete'!$L$2, IF(Cost_Elements[[#This Row],[Row]]&lt;='Do Not Use or Delete'!$M$2,S281*T281,0),0)+IF(Cost_Elements[[#This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1" s="242"/>
      <c r="W281" s="242"/>
      <c r="X281" s="82"/>
      <c r="Y281" s="126">
        <f ca="1">Y272+Y113</f>
        <v>0</v>
      </c>
      <c r="Z281" s="84">
        <f ca="1">IFERROR(IF(Cost_Elements[[#This Row],[Row]]&gt;='Do Not Use or Delete'!$L$2, IF(Cost_Elements[[#This Row],[Row]]&lt;='Do Not Use or Delete'!$M$2,X281*Y281,0),0)+IF(Cost_Elements[[#This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1" s="242"/>
      <c r="AB281" s="242"/>
      <c r="AC281" s="82"/>
      <c r="AD281" s="126">
        <f ca="1">AD272+AD113</f>
        <v>0</v>
      </c>
      <c r="AE281" s="84">
        <f ca="1">IFERROR(IF(Cost_Elements[[#This Row],[Row]]&gt;='Do Not Use or Delete'!$L$2, IF(Cost_Elements[[#This Row],[Row]]&lt;='Do Not Use or Delete'!$M$2,AC281*AD281,0),0)+IF(Cost_Elements[[#This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1" s="85"/>
      <c r="AG281" s="243"/>
      <c r="AH281" s="82"/>
      <c r="AI281" s="126">
        <f ca="1">AI272+AI113</f>
        <v>0</v>
      </c>
      <c r="AJ281" s="471"/>
      <c r="AK281" s="471"/>
      <c r="AL281" s="84">
        <f ca="1">IFERROR(IF(Cost_Elements[[#This Row],[Row]]&gt;='Do Not Use or Delete'!$L$2, IF(Cost_Elements[[#This Row],[Row]]&lt;='Do Not Use or Delete'!$M$2,AH281*AI281,0),0)+IF(Cost_Elements[[#This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1" s="85"/>
      <c r="AN281" s="243"/>
      <c r="AO281" s="263">
        <f ca="1">AO272+AO113</f>
        <v>0</v>
      </c>
      <c r="AP281" s="104">
        <f ca="1">AP131+AP279</f>
        <v>0</v>
      </c>
      <c r="AQ281" s="68">
        <f ca="1">ROW(Cost_Elements[[#This Row],[Amount | Total]])</f>
        <v>281</v>
      </c>
    </row>
    <row r="282" spans="1:43">
      <c r="A282" s="252"/>
      <c r="B282" s="69"/>
      <c r="C282" s="69"/>
      <c r="D282" s="61"/>
      <c r="E282" s="61"/>
      <c r="F282" s="61"/>
      <c r="G282" s="61"/>
      <c r="H282" s="59" t="str">
        <f ca="1">IFERROR(INDEX(Labor_Categories[Minimum Direct Labor Rates],MATCH(Cost_Elements[[#This Row],[Government Labor Category]],Labor_Categories[Labor Categories],0)),"")</f>
        <v/>
      </c>
      <c r="I282" s="11"/>
      <c r="J282" s="69"/>
      <c r="K282" s="94"/>
      <c r="L282" s="248"/>
      <c r="M282" s="248"/>
      <c r="N282" s="11"/>
      <c r="O282" s="69"/>
      <c r="P282" s="94"/>
      <c r="Q282" s="248"/>
      <c r="R282" s="248"/>
      <c r="S282" s="11"/>
      <c r="T282" s="69"/>
      <c r="U282" s="94"/>
      <c r="V282" s="248"/>
      <c r="W282" s="248"/>
      <c r="X282" s="11"/>
      <c r="Y282" s="69"/>
      <c r="Z282" s="94"/>
      <c r="AA282" s="248"/>
      <c r="AB282" s="248"/>
      <c r="AC282" s="11"/>
      <c r="AD282" s="69"/>
      <c r="AE282" s="94"/>
      <c r="AF282" s="102"/>
      <c r="AG282" s="249"/>
      <c r="AH282" s="11"/>
      <c r="AI282" s="69"/>
      <c r="AJ282" s="172"/>
      <c r="AK282" s="172"/>
      <c r="AL282" s="94"/>
      <c r="AM282" s="102"/>
      <c r="AN282" s="249"/>
      <c r="AO282" s="246"/>
      <c r="AP282" s="95"/>
      <c r="AQ282" s="68">
        <f ca="1">ROW(Cost_Elements[[#This Row],[Amount | Total]])</f>
        <v>282</v>
      </c>
    </row>
    <row r="283" spans="1:43">
      <c r="A283" s="253" t="s">
        <v>104</v>
      </c>
      <c r="B283" s="69"/>
      <c r="C283" s="69"/>
      <c r="D283" s="61"/>
      <c r="E283" s="61"/>
      <c r="F283" s="61"/>
      <c r="G283" s="61"/>
      <c r="H283" s="59" t="str">
        <f ca="1">IFERROR(INDEX(Labor_Categories[Minimum Direct Labor Rates],MATCH(Cost_Elements[[#This Row],[Government Labor Category]],Labor_Categories[Labor Categories],0)),"")</f>
        <v/>
      </c>
      <c r="I283" s="11"/>
      <c r="J283" s="93" t="s">
        <v>169</v>
      </c>
      <c r="K283" s="94" t="str">
        <f ca="1">IFERROR(IF(Cost_Elements[[#This Row],[Row]]&gt;='Do Not Use or Delete'!#REF!, IF(Cost_Elements[[#This Row],[Row]]&lt;='Do Not Use or Delete'!#REF!,I283*J283,0),0)+IF(Cost_Elements[[#This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283" s="248"/>
      <c r="M283" s="248"/>
      <c r="N283" s="11"/>
      <c r="O283" s="93" t="s">
        <v>169</v>
      </c>
      <c r="P283" s="94" t="str">
        <f ca="1">IFERROR(IF(Cost_Elements[[#This Row],[Row]]&gt;='Do Not Use or Delete'!#REF!, IF(Cost_Elements[[#This Row],[Row]]&lt;='Do Not Use or Delete'!#REF!,N283*O283,0),0)+IF(Cost_Elements[[#This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283" s="248"/>
      <c r="R283" s="248"/>
      <c r="S283" s="11"/>
      <c r="T283" s="93" t="s">
        <v>169</v>
      </c>
      <c r="U283" s="94" t="str">
        <f ca="1">IFERROR(IF(Cost_Elements[[#This Row],[Row]]&gt;='Do Not Use or Delete'!#REF!, IF(Cost_Elements[[#This Row],[Row]]&lt;='Do Not Use or Delete'!#REF!,S283*T283,0),0)+IF(Cost_Elements[[#This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283" s="248"/>
      <c r="W283" s="248"/>
      <c r="X283" s="11"/>
      <c r="Y283" s="93" t="s">
        <v>169</v>
      </c>
      <c r="Z283" s="94" t="str">
        <f ca="1">IFERROR(IF(Cost_Elements[[#This Row],[Row]]&gt;='Do Not Use or Delete'!#REF!, IF(Cost_Elements[[#This Row],[Row]]&lt;='Do Not Use or Delete'!#REF!,X283*Y283,0),0)+IF(Cost_Elements[[#This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283" s="248"/>
      <c r="AB283" s="248"/>
      <c r="AC283" s="11"/>
      <c r="AD283" s="93" t="s">
        <v>169</v>
      </c>
      <c r="AE283" s="94" t="str">
        <f ca="1">IFERROR(IF(Cost_Elements[[#This Row],[Row]]&gt;='Do Not Use or Delete'!#REF!, IF(Cost_Elements[[#This Row],[Row]]&lt;='Do Not Use or Delete'!#REF!,AC283*AD283,0),0)+IF(Cost_Elements[[#This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283" s="102"/>
      <c r="AG283" s="249"/>
      <c r="AH283" s="11"/>
      <c r="AI283" s="93" t="s">
        <v>169</v>
      </c>
      <c r="AJ283" s="463"/>
      <c r="AK283" s="463"/>
      <c r="AL283" s="94" t="str">
        <f ca="1">IFERROR(IF(Cost_Elements[[#This Row],[Row]]&gt;='Do Not Use or Delete'!#REF!, IF(Cost_Elements[[#This Row],[Row]]&lt;='Do Not Use or Delete'!#REF!,AH283*AI283,0),0)+IF(Cost_Elements[[#This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M283" s="102"/>
      <c r="AN283" s="249"/>
      <c r="AO283" s="246"/>
      <c r="AP283" s="95"/>
      <c r="AQ283" s="68">
        <f ca="1">ROW(Cost_Elements[[#This Row],[Amount | Total]])</f>
        <v>283</v>
      </c>
    </row>
    <row r="284" spans="1:43">
      <c r="A284" s="239" t="s">
        <v>199</v>
      </c>
      <c r="B284" s="69"/>
      <c r="C284" s="69"/>
      <c r="D284" s="61"/>
      <c r="E284" s="61"/>
      <c r="F284" s="61"/>
      <c r="G284" s="61"/>
      <c r="H284" s="59" t="str">
        <f ca="1">IFERROR(INDEX(Labor_Categories[Minimum Direct Labor Rates],MATCH(Cost_Elements[[#This Row],[Government Labor Category]],Labor_Categories[Labor Categories],0)),"")</f>
        <v/>
      </c>
      <c r="I284" s="129">
        <f ca="1">'Indirect Rates and Fee'!D26</f>
        <v>0</v>
      </c>
      <c r="J284" s="109">
        <f ca="1">K131-K130</f>
        <v>0</v>
      </c>
      <c r="K284" s="100">
        <f ca="1">IFERROR(IF(Cost_Elements[[#This Row],[Row]]&gt;='Do Not Use or Delete'!$L$2, IF(Cost_Elements[[#This Row],[Row]]&lt;='Do Not Use or Delete'!$M$2,I284*J284,0),0)+IF(Cost_Elements[[#This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4" s="248"/>
      <c r="M284" s="248"/>
      <c r="N284" s="129">
        <f ca="1">'Indirect Rates and Fee'!E26</f>
        <v>0</v>
      </c>
      <c r="O284" s="109">
        <f ca="1">P131-P130</f>
        <v>0</v>
      </c>
      <c r="P284" s="100">
        <f ca="1">IFERROR(IF(Cost_Elements[[#This Row],[Row]]&gt;='Do Not Use or Delete'!$L$2, IF(Cost_Elements[[#This Row],[Row]]&lt;='Do Not Use or Delete'!$M$2,N284*O284,0),0)+IF(Cost_Elements[[#This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4" s="248"/>
      <c r="R284" s="248"/>
      <c r="S284" s="129">
        <f ca="1">'Indirect Rates and Fee'!F26</f>
        <v>0</v>
      </c>
      <c r="T284" s="109">
        <f ca="1">U131-U130</f>
        <v>0</v>
      </c>
      <c r="U284" s="100">
        <f ca="1">IFERROR(IF(Cost_Elements[[#This Row],[Row]]&gt;='Do Not Use or Delete'!$L$2, IF(Cost_Elements[[#This Row],[Row]]&lt;='Do Not Use or Delete'!$M$2,S284*T284,0),0)+IF(Cost_Elements[[#This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4" s="248"/>
      <c r="W284" s="248"/>
      <c r="X284" s="129">
        <f ca="1">'Indirect Rates and Fee'!G26</f>
        <v>0</v>
      </c>
      <c r="Y284" s="109">
        <f ca="1">Z131-Z130</f>
        <v>0</v>
      </c>
      <c r="Z284" s="100">
        <f ca="1">IFERROR(IF(Cost_Elements[[#This Row],[Row]]&gt;='Do Not Use or Delete'!$L$2, IF(Cost_Elements[[#This Row],[Row]]&lt;='Do Not Use or Delete'!$M$2,X284*Y284,0),0)+IF(Cost_Elements[[#This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4" s="248"/>
      <c r="AB284" s="248"/>
      <c r="AC284" s="129">
        <f ca="1">'Indirect Rates and Fee'!H26</f>
        <v>0</v>
      </c>
      <c r="AD284" s="109">
        <f ca="1">AE131-AE130</f>
        <v>0</v>
      </c>
      <c r="AE284" s="100">
        <f ca="1">IFERROR(IF(Cost_Elements[[#This Row],[Row]]&gt;='Do Not Use or Delete'!$L$2, IF(Cost_Elements[[#This Row],[Row]]&lt;='Do Not Use or Delete'!$M$2,AC284*AD284,0),0)+IF(Cost_Elements[[#This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4" s="102"/>
      <c r="AG284" s="249"/>
      <c r="AH284" s="129">
        <f ca="1">'Indirect Rates and Fee'!I26</f>
        <v>0</v>
      </c>
      <c r="AI284" s="109">
        <f ca="1">AL131-AL130</f>
        <v>0</v>
      </c>
      <c r="AJ284" s="472"/>
      <c r="AK284" s="472"/>
      <c r="AL284" s="100">
        <f ca="1">IFERROR(IF(Cost_Elements[[#This Row],[Row]]&gt;='Do Not Use or Delete'!$L$2, IF(Cost_Elements[[#This Row],[Row]]&lt;='Do Not Use or Delete'!$M$2,AH284*AI284,0),0)+IF(Cost_Elements[[#This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4" s="102"/>
      <c r="AN284" s="249"/>
      <c r="AO284" s="246"/>
      <c r="AP284" s="101">
        <f ca="1">K284+U284+AE284+P284+Z284+AL284</f>
        <v>0</v>
      </c>
      <c r="AQ284" s="68">
        <f ca="1">ROW(Cost_Elements[[#This Row],[Amount | Total]])</f>
        <v>284</v>
      </c>
    </row>
    <row r="285" spans="1:43">
      <c r="A285" s="239" t="s">
        <v>200</v>
      </c>
      <c r="B285" s="69"/>
      <c r="C285" s="69"/>
      <c r="D285" s="61"/>
      <c r="E285" s="61"/>
      <c r="F285" s="61"/>
      <c r="G285" s="61"/>
      <c r="H285" s="59" t="str">
        <f ca="1">IFERROR(INDEX(Labor_Categories[Minimum Direct Labor Rates],MATCH(Cost_Elements[[#This Row],[Government Labor Category]],Labor_Categories[Labor Categories],0)),"")</f>
        <v/>
      </c>
      <c r="I285" s="129">
        <f ca="1">'Indirect Rates and Fee'!D27</f>
        <v>0</v>
      </c>
      <c r="J285" s="109">
        <f ca="1">K279</f>
        <v>0</v>
      </c>
      <c r="K285" s="100">
        <f ca="1">IFERROR(IF(Cost_Elements[[#This Row],[Row]]&gt;='Do Not Use or Delete'!$L$2, IF(Cost_Elements[[#This Row],[Row]]&lt;='Do Not Use or Delete'!$M$2,I285*J285,0),0)+IF(Cost_Elements[[#This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5" s="248"/>
      <c r="M285" s="248"/>
      <c r="N285" s="129">
        <f ca="1">'Indirect Rates and Fee'!E27</f>
        <v>0</v>
      </c>
      <c r="O285" s="109">
        <f ca="1">P279</f>
        <v>0</v>
      </c>
      <c r="P285" s="100">
        <f ca="1">IFERROR(IF(Cost_Elements[[#This Row],[Row]]&gt;='Do Not Use or Delete'!$L$2, IF(Cost_Elements[[#This Row],[Row]]&lt;='Do Not Use or Delete'!$M$2,N285*O285,0),0)+IF(Cost_Elements[[#This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5" s="248"/>
      <c r="R285" s="248"/>
      <c r="S285" s="129">
        <f ca="1">'Indirect Rates and Fee'!F27</f>
        <v>0</v>
      </c>
      <c r="T285" s="109">
        <f ca="1">U279</f>
        <v>0</v>
      </c>
      <c r="U285" s="100">
        <f ca="1">IFERROR(IF(Cost_Elements[[#This Row],[Row]]&gt;='Do Not Use or Delete'!$L$2, IF(Cost_Elements[[#This Row],[Row]]&lt;='Do Not Use or Delete'!$M$2,S285*T285,0),0)+IF(Cost_Elements[[#This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5" s="248"/>
      <c r="W285" s="248"/>
      <c r="X285" s="129">
        <f ca="1">'Indirect Rates and Fee'!G27</f>
        <v>0</v>
      </c>
      <c r="Y285" s="109">
        <f ca="1">Z279</f>
        <v>0</v>
      </c>
      <c r="Z285" s="100">
        <f ca="1">IFERROR(IF(Cost_Elements[[#This Row],[Row]]&gt;='Do Not Use or Delete'!$L$2, IF(Cost_Elements[[#This Row],[Row]]&lt;='Do Not Use or Delete'!$M$2,X285*Y285,0),0)+IF(Cost_Elements[[#This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5" s="248"/>
      <c r="AB285" s="248"/>
      <c r="AC285" s="129">
        <f ca="1">'Indirect Rates and Fee'!H27</f>
        <v>0</v>
      </c>
      <c r="AD285" s="109">
        <f ca="1">AE279</f>
        <v>0</v>
      </c>
      <c r="AE285" s="100">
        <f ca="1">IFERROR(IF(Cost_Elements[[#This Row],[Row]]&gt;='Do Not Use or Delete'!$L$2, IF(Cost_Elements[[#This Row],[Row]]&lt;='Do Not Use or Delete'!$M$2,AC285*AD285,0),0)+IF(Cost_Elements[[#This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5" s="102"/>
      <c r="AG285" s="249"/>
      <c r="AH285" s="129">
        <f ca="1">'Indirect Rates and Fee'!I27</f>
        <v>0</v>
      </c>
      <c r="AI285" s="109">
        <f ca="1">AL279</f>
        <v>0</v>
      </c>
      <c r="AJ285" s="472"/>
      <c r="AK285" s="472"/>
      <c r="AL285" s="100">
        <f ca="1">IFERROR(IF(Cost_Elements[[#This Row],[Row]]&gt;='Do Not Use or Delete'!$L$2, IF(Cost_Elements[[#This Row],[Row]]&lt;='Do Not Use or Delete'!$M$2,AH285*AI285,0),0)+IF(Cost_Elements[[#This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5" s="102"/>
      <c r="AN285" s="249"/>
      <c r="AO285" s="246"/>
      <c r="AP285" s="101">
        <f ca="1">K285+U285+AE285+P285+Z285+AL285</f>
        <v>0</v>
      </c>
      <c r="AQ285" s="68">
        <f ca="1">ROW(Cost_Elements[[#This Row],[Amount | Total]])</f>
        <v>285</v>
      </c>
    </row>
    <row r="286" spans="1:43">
      <c r="A286" s="239" t="s">
        <v>201</v>
      </c>
      <c r="B286" s="69"/>
      <c r="C286" s="69"/>
      <c r="D286" s="61"/>
      <c r="E286" s="61"/>
      <c r="F286" s="61"/>
      <c r="G286" s="61"/>
      <c r="H286" s="59" t="str">
        <f ca="1">IFERROR(INDEX(Labor_Categories[Minimum Direct Labor Rates],MATCH(Cost_Elements[[#This Row],[Government Labor Category]],Labor_Categories[Labor Categories],0)),"")</f>
        <v/>
      </c>
      <c r="I286" s="11"/>
      <c r="J286" s="69"/>
      <c r="K286" s="100">
        <f ca="1">SUM(K284:K285)</f>
        <v>0</v>
      </c>
      <c r="L286" s="248"/>
      <c r="M286" s="248"/>
      <c r="N286" s="11"/>
      <c r="O286" s="69"/>
      <c r="P286" s="100">
        <f ca="1">SUM(P284:P285)</f>
        <v>0</v>
      </c>
      <c r="Q286" s="248"/>
      <c r="R286" s="248"/>
      <c r="S286" s="11"/>
      <c r="T286" s="69"/>
      <c r="U286" s="100">
        <f ca="1">SUM(U284:U285)</f>
        <v>0</v>
      </c>
      <c r="V286" s="248"/>
      <c r="W286" s="248"/>
      <c r="X286" s="11"/>
      <c r="Y286" s="69"/>
      <c r="Z286" s="100">
        <f ca="1">SUM(Z284:Z285)</f>
        <v>0</v>
      </c>
      <c r="AA286" s="248"/>
      <c r="AB286" s="248"/>
      <c r="AC286" s="11"/>
      <c r="AD286" s="69"/>
      <c r="AE286" s="100">
        <f ca="1">SUM(AE284:AE285)</f>
        <v>0</v>
      </c>
      <c r="AF286" s="102"/>
      <c r="AG286" s="249"/>
      <c r="AH286" s="11"/>
      <c r="AI286" s="69"/>
      <c r="AJ286" s="172"/>
      <c r="AK286" s="172"/>
      <c r="AL286" s="100">
        <f ca="1">SUM(AL284:AL285)</f>
        <v>0</v>
      </c>
      <c r="AM286" s="102"/>
      <c r="AN286" s="249"/>
      <c r="AO286" s="246"/>
      <c r="AP286" s="101">
        <f ca="1">SUM(AP284:AP285)</f>
        <v>0</v>
      </c>
      <c r="AQ286" s="68">
        <f ca="1">ROW(Cost_Elements[[#This Row],[Amount | Total]])</f>
        <v>286</v>
      </c>
    </row>
    <row r="287" spans="1:43">
      <c r="A287" s="239" t="s">
        <v>202</v>
      </c>
      <c r="B287" s="69"/>
      <c r="C287" s="69"/>
      <c r="D287" s="61"/>
      <c r="E287" s="61"/>
      <c r="F287" s="61"/>
      <c r="G287" s="61"/>
      <c r="H287" s="59" t="str">
        <f ca="1">IFERROR(INDEX(Labor_Categories[Minimum Direct Labor Rates],MATCH(Cost_Elements[[#This Row],[Government Labor Category]],Labor_Categories[Labor Categories],0)),"")</f>
        <v/>
      </c>
      <c r="I287" s="11"/>
      <c r="J287" s="69"/>
      <c r="K287" s="358" t="e">
        <f ca="1">J281*B324</f>
        <v>#DIV/0!</v>
      </c>
      <c r="L287" s="248"/>
      <c r="M287" s="248"/>
      <c r="N287" s="11"/>
      <c r="O287" s="69"/>
      <c r="P287" s="358" t="e">
        <f ca="1">O281*B324</f>
        <v>#DIV/0!</v>
      </c>
      <c r="Q287" s="248"/>
      <c r="R287" s="248"/>
      <c r="S287" s="11"/>
      <c r="T287" s="69"/>
      <c r="U287" s="358" t="e">
        <f ca="1">T281*B324</f>
        <v>#DIV/0!</v>
      </c>
      <c r="V287" s="248"/>
      <c r="W287" s="248"/>
      <c r="X287" s="11"/>
      <c r="Y287" s="69"/>
      <c r="Z287" s="358" t="e">
        <f ca="1">Y281*B324</f>
        <v>#DIV/0!</v>
      </c>
      <c r="AA287" s="248"/>
      <c r="AB287" s="248"/>
      <c r="AC287" s="11"/>
      <c r="AD287" s="69"/>
      <c r="AE287" s="358" t="e">
        <f ca="1">AD281*B324</f>
        <v>#DIV/0!</v>
      </c>
      <c r="AF287" s="102"/>
      <c r="AG287" s="249"/>
      <c r="AH287" s="11"/>
      <c r="AI287" s="69"/>
      <c r="AJ287" s="172"/>
      <c r="AK287" s="172"/>
      <c r="AL287" s="358" t="e">
        <f ca="1">AI281*B324</f>
        <v>#DIV/0!</v>
      </c>
      <c r="AM287" s="102"/>
      <c r="AN287" s="249"/>
      <c r="AO287" s="246"/>
      <c r="AP287" s="382" t="e">
        <f ca="1">Cost_Elements[[#This Row],[Amount | 1]]+Cost_Elements[[#This Row],[Amount | 2]]+Cost_Elements[[#This Row],[Amount | 3]]+Cost_Elements[[#This Row],[Amount | 4]]+Cost_Elements[[#This Row],[Amount | 5]]+Cost_Elements[[#This Row],[Amount | 6]]</f>
        <v>#DIV/0!</v>
      </c>
      <c r="AQ287" s="68">
        <f ca="1">ROW(Cost_Elements[[#This Row],[Amount | Total]])</f>
        <v>287</v>
      </c>
    </row>
    <row r="288" spans="1:43">
      <c r="A288" s="265" t="s">
        <v>203</v>
      </c>
      <c r="B288" s="80"/>
      <c r="C288" s="80"/>
      <c r="D288" s="81"/>
      <c r="E288" s="81"/>
      <c r="F288" s="81"/>
      <c r="G288" s="81"/>
      <c r="H288" s="59" t="str">
        <f ca="1">IFERROR(INDEX(Labor_Categories[Minimum Direct Labor Rates],MATCH(Cost_Elements[[#This Row],[Government Labor Category]],Labor_Categories[Labor Categories],0)),"")</f>
        <v/>
      </c>
      <c r="I288" s="82"/>
      <c r="J288" s="80"/>
      <c r="K288" s="84">
        <f ca="1">IFERROR(IF(Cost_Elements[[#This Row],[Row]]&gt;='Do Not Use or Delete'!$L$2, IF(Cost_Elements[[#This Row],[Row]]&lt;='Do Not Use or Delete'!$M$2,I288*J288,0),0)+IF(Cost_Elements[[#This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8" s="242"/>
      <c r="M288" s="242"/>
      <c r="N288" s="82"/>
      <c r="O288" s="80"/>
      <c r="P288" s="84">
        <f ca="1">IFERROR(IF(Cost_Elements[[#This Row],[Row]]&gt;='Do Not Use or Delete'!$L$2, IF(Cost_Elements[[#This Row],[Row]]&lt;='Do Not Use or Delete'!$M$2,N288*O288,0),0)+IF(Cost_Elements[[#This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8" s="242"/>
      <c r="R288" s="242"/>
      <c r="S288" s="82"/>
      <c r="T288" s="80"/>
      <c r="U288" s="84">
        <f ca="1">IFERROR(IF(Cost_Elements[[#This Row],[Row]]&gt;='Do Not Use or Delete'!$L$2, IF(Cost_Elements[[#This Row],[Row]]&lt;='Do Not Use or Delete'!$M$2,S288*T288,0),0)+IF(Cost_Elements[[#This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8" s="242"/>
      <c r="W288" s="242"/>
      <c r="X288" s="82"/>
      <c r="Y288" s="80"/>
      <c r="Z288" s="84">
        <f ca="1">IFERROR(IF(Cost_Elements[[#This Row],[Row]]&gt;='Do Not Use or Delete'!$L$2, IF(Cost_Elements[[#This Row],[Row]]&lt;='Do Not Use or Delete'!$M$2,X288*Y288,0),0)+IF(Cost_Elements[[#This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8" s="242"/>
      <c r="AB288" s="242"/>
      <c r="AC288" s="82"/>
      <c r="AD288" s="80"/>
      <c r="AE288" s="84">
        <f ca="1">IFERROR(IF(Cost_Elements[[#This Row],[Row]]&gt;='Do Not Use or Delete'!$L$2, IF(Cost_Elements[[#This Row],[Row]]&lt;='Do Not Use or Delete'!$M$2,AC288*AD288,0),0)+IF(Cost_Elements[[#This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8" s="85"/>
      <c r="AG288" s="243"/>
      <c r="AH288" s="82"/>
      <c r="AI288" s="80"/>
      <c r="AJ288" s="470"/>
      <c r="AK288" s="470"/>
      <c r="AL288" s="84">
        <f ca="1">IFERROR(IF(Cost_Elements[[#This Row],[Row]]&gt;='Do Not Use or Delete'!$L$2, IF(Cost_Elements[[#This Row],[Row]]&lt;='Do Not Use or Delete'!$M$2,AH288*AI288,0),0)+IF(Cost_Elements[[#This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8" s="85"/>
      <c r="AN288" s="243"/>
      <c r="AO288" s="255"/>
      <c r="AP288" s="104">
        <f ca="1">K288+P288+U288+Z288+AE288+AL288</f>
        <v>0</v>
      </c>
      <c r="AQ288" s="68">
        <f ca="1">ROW(Cost_Elements[[#This Row],[Amount | Total]])</f>
        <v>288</v>
      </c>
    </row>
    <row r="289" spans="1:50">
      <c r="A289" s="265" t="s">
        <v>204</v>
      </c>
      <c r="B289" s="369"/>
      <c r="C289" s="369"/>
      <c r="D289" s="297"/>
      <c r="E289" s="297"/>
      <c r="F289" s="297"/>
      <c r="G289" s="297"/>
      <c r="H289" s="370" t="str">
        <f ca="1">IFERROR(INDEX(Labor_Categories[Minimum Direct Labor Rates],MATCH(Cost_Elements[[#This Row],[Government Labor Category]],Labor_Categories[Labor Categories],0)),"")</f>
        <v/>
      </c>
      <c r="I289" s="82"/>
      <c r="J289" s="80"/>
      <c r="K289" s="381" t="e">
        <f ca="1">K287+K281</f>
        <v>#DIV/0!</v>
      </c>
      <c r="L289" s="242"/>
      <c r="M289" s="242"/>
      <c r="N289" s="371"/>
      <c r="O289" s="80"/>
      <c r="P289" s="381" t="e">
        <f ca="1">P287+P281</f>
        <v>#DIV/0!</v>
      </c>
      <c r="Q289" s="242"/>
      <c r="R289" s="242"/>
      <c r="S289" s="371"/>
      <c r="T289" s="80"/>
      <c r="U289" s="381" t="e">
        <f ca="1">U287+U281</f>
        <v>#DIV/0!</v>
      </c>
      <c r="V289" s="242"/>
      <c r="W289" s="242"/>
      <c r="X289" s="371"/>
      <c r="Y289" s="80"/>
      <c r="Z289" s="381" t="e">
        <f ca="1">Z287+Z281</f>
        <v>#DIV/0!</v>
      </c>
      <c r="AA289" s="242"/>
      <c r="AB289" s="242"/>
      <c r="AC289" s="371"/>
      <c r="AD289" s="80"/>
      <c r="AE289" s="381" t="e">
        <f ca="1">AE287+AE281</f>
        <v>#DIV/0!</v>
      </c>
      <c r="AF289" s="85"/>
      <c r="AG289" s="243"/>
      <c r="AH289" s="371"/>
      <c r="AI289" s="369"/>
      <c r="AJ289" s="473"/>
      <c r="AK289" s="473"/>
      <c r="AL289" s="383" t="e">
        <f ca="1">AL287+AL281</f>
        <v>#DIV/0!</v>
      </c>
      <c r="AM289" s="85"/>
      <c r="AN289" s="243"/>
      <c r="AO289" s="384"/>
      <c r="AP289" s="385" t="e">
        <f ca="1">Cost_Elements[[#This Row],[Amount | 6]]+Cost_Elements[[#This Row],[Amount | 5]]+Cost_Elements[[#This Row],[Amount | 4]]+Cost_Elements[[#This Row],[Amount | 3]]+Cost_Elements[[#This Row],[Amount | 2]]+Cost_Elements[[#This Row],[Amount | 1]]</f>
        <v>#DIV/0!</v>
      </c>
      <c r="AQ289" s="372">
        <f ca="1">ROW(Cost_Elements[[#This Row],[Amount | Total]])</f>
        <v>289</v>
      </c>
    </row>
    <row r="290" spans="1:50">
      <c r="A290" s="239"/>
      <c r="B290" s="69"/>
      <c r="C290" s="69"/>
      <c r="D290" s="61"/>
      <c r="E290" s="61"/>
      <c r="F290" s="61"/>
      <c r="G290" s="61"/>
      <c r="H290" s="59" t="str">
        <f ca="1">IFERROR(INDEX(Labor_Categories[Minimum Direct Labor Rates],MATCH(Cost_Elements[[#This Row],[Government Labor Category]],Labor_Categories[Labor Categories],0)),"")</f>
        <v/>
      </c>
      <c r="I290" s="11"/>
      <c r="J290" s="69"/>
      <c r="K290" s="94"/>
      <c r="L290" s="248"/>
      <c r="M290" s="248"/>
      <c r="N290" s="11"/>
      <c r="O290" s="69"/>
      <c r="P290" s="94"/>
      <c r="Q290" s="248"/>
      <c r="R290" s="248"/>
      <c r="S290" s="11"/>
      <c r="T290" s="69"/>
      <c r="U290" s="94"/>
      <c r="V290" s="248"/>
      <c r="W290" s="248"/>
      <c r="X290" s="11"/>
      <c r="Y290" s="69"/>
      <c r="Z290" s="94"/>
      <c r="AA290" s="248"/>
      <c r="AB290" s="248"/>
      <c r="AC290" s="11"/>
      <c r="AD290" s="69"/>
      <c r="AE290" s="94"/>
      <c r="AF290" s="102"/>
      <c r="AG290" s="249"/>
      <c r="AH290" s="11"/>
      <c r="AI290" s="69"/>
      <c r="AJ290" s="172"/>
      <c r="AK290" s="172"/>
      <c r="AL290" s="94"/>
      <c r="AM290" s="102"/>
      <c r="AN290" s="249"/>
      <c r="AO290" s="246"/>
      <c r="AP290" s="95"/>
      <c r="AQ290" s="68">
        <f ca="1">ROW(Cost_Elements[[#This Row],[Amount | Total]])</f>
        <v>290</v>
      </c>
    </row>
    <row r="291" spans="1:50">
      <c r="A291" s="265" t="s">
        <v>205</v>
      </c>
      <c r="B291" s="69"/>
      <c r="C291" s="69"/>
      <c r="D291" s="61"/>
      <c r="E291" s="61"/>
      <c r="F291" s="61"/>
      <c r="G291" s="61"/>
      <c r="H291" s="59" t="str">
        <f ca="1">IFERROR(INDEX(Labor_Categories[Minimum Direct Labor Rates],MATCH(Cost_Elements[[#This Row],[Government Labor Category]],Labor_Categories[Labor Categories],0)),"")</f>
        <v/>
      </c>
      <c r="I291" s="11"/>
      <c r="J291" s="69"/>
      <c r="K291" s="94"/>
      <c r="L291" s="248"/>
      <c r="M291" s="248"/>
      <c r="N291" s="11"/>
      <c r="O291" s="69"/>
      <c r="P291" s="94"/>
      <c r="Q291" s="248"/>
      <c r="R291" s="248"/>
      <c r="S291" s="11"/>
      <c r="T291" s="69"/>
      <c r="U291" s="94"/>
      <c r="V291" s="248"/>
      <c r="W291" s="248"/>
      <c r="X291" s="11"/>
      <c r="Y291" s="69"/>
      <c r="Z291" s="94"/>
      <c r="AA291" s="248"/>
      <c r="AB291" s="248"/>
      <c r="AC291" s="11"/>
      <c r="AD291" s="69"/>
      <c r="AE291" s="94"/>
      <c r="AF291" s="102"/>
      <c r="AG291" s="249"/>
      <c r="AH291" s="11"/>
      <c r="AI291" s="69"/>
      <c r="AJ291" s="172"/>
      <c r="AK291" s="172"/>
      <c r="AL291" s="94"/>
      <c r="AM291" s="102"/>
      <c r="AN291" s="249"/>
      <c r="AO291" s="246"/>
      <c r="AP291" s="95"/>
      <c r="AQ291" s="68">
        <f ca="1">ROW(Cost_Elements[[#This Row],[Amount | Total]])</f>
        <v>291</v>
      </c>
    </row>
    <row r="292" spans="1:50">
      <c r="A292" s="239" t="s">
        <v>206</v>
      </c>
      <c r="B292" s="69"/>
      <c r="C292" s="69"/>
      <c r="D292" s="61"/>
      <c r="E292" s="61"/>
      <c r="F292" s="61"/>
      <c r="G292" s="61"/>
      <c r="H292" s="59" t="str">
        <f ca="1">IFERROR(INDEX(Labor_Categories[Minimum Direct Labor Rates],MATCH(Cost_Elements[[#This Row],[Government Labor Category]],Labor_Categories[Labor Categories],0)),"")</f>
        <v/>
      </c>
      <c r="I292" s="11"/>
      <c r="J292" s="69"/>
      <c r="K292" s="84">
        <f ca="1">SUM(K293:K295)</f>
        <v>0</v>
      </c>
      <c r="L292" s="242"/>
      <c r="M292" s="242"/>
      <c r="N292" s="82"/>
      <c r="O292" s="80"/>
      <c r="P292" s="84">
        <f ca="1">SUM(P293:P295)</f>
        <v>0</v>
      </c>
      <c r="Q292" s="242"/>
      <c r="R292" s="242"/>
      <c r="S292" s="82"/>
      <c r="T292" s="80"/>
      <c r="U292" s="84">
        <f ca="1">SUM(U293:U295)</f>
        <v>0</v>
      </c>
      <c r="V292" s="242"/>
      <c r="W292" s="242"/>
      <c r="X292" s="82"/>
      <c r="Y292" s="80"/>
      <c r="Z292" s="84">
        <f ca="1">SUM(Z293:Z295)</f>
        <v>0</v>
      </c>
      <c r="AA292" s="242"/>
      <c r="AB292" s="242"/>
      <c r="AC292" s="82"/>
      <c r="AD292" s="80"/>
      <c r="AE292" s="84">
        <f ca="1">SUM(AE293:AE295)</f>
        <v>0</v>
      </c>
      <c r="AF292" s="85"/>
      <c r="AG292" s="243"/>
      <c r="AH292" s="82"/>
      <c r="AI292" s="80"/>
      <c r="AJ292" s="470"/>
      <c r="AK292" s="470"/>
      <c r="AL292" s="84">
        <f ca="1">SUM(AL293:AL295)</f>
        <v>0</v>
      </c>
      <c r="AM292" s="102"/>
      <c r="AN292" s="249"/>
      <c r="AO292" s="245"/>
      <c r="AP292" s="104">
        <f ca="1">SUM(AP293:AP295)</f>
        <v>0</v>
      </c>
      <c r="AQ292" s="68">
        <f ca="1">ROW(Cost_Elements[[#This Row],[Amount | Total]])</f>
        <v>292</v>
      </c>
    </row>
    <row r="293" spans="1:50">
      <c r="A293" s="266" t="s">
        <v>207</v>
      </c>
      <c r="B293" s="69"/>
      <c r="C293" s="69"/>
      <c r="D293" s="61"/>
      <c r="E293" s="61"/>
      <c r="F293" s="61"/>
      <c r="G293" s="61"/>
      <c r="H293" s="59" t="str">
        <f ca="1">IFERROR(INDEX(Labor_Categories[Minimum Direct Labor Rates],MATCH(Cost_Elements[[#This Row],[Government Labor Category]],Labor_Categories[Labor Categories],0)),"")</f>
        <v/>
      </c>
      <c r="I293" s="11"/>
      <c r="J293" s="69"/>
      <c r="K293" s="128"/>
      <c r="L293" s="248"/>
      <c r="M293" s="248"/>
      <c r="N293" s="11"/>
      <c r="O293" s="130"/>
      <c r="P293" s="128"/>
      <c r="Q293" s="248"/>
      <c r="R293" s="248"/>
      <c r="S293" s="11"/>
      <c r="T293" s="69"/>
      <c r="U293" s="128"/>
      <c r="V293" s="248"/>
      <c r="W293" s="248"/>
      <c r="X293" s="11"/>
      <c r="Y293" s="69"/>
      <c r="Z293" s="128"/>
      <c r="AA293" s="248"/>
      <c r="AB293" s="248"/>
      <c r="AC293" s="11"/>
      <c r="AD293" s="69"/>
      <c r="AE293" s="128"/>
      <c r="AF293" s="102"/>
      <c r="AG293" s="249"/>
      <c r="AH293" s="11"/>
      <c r="AI293" s="69"/>
      <c r="AJ293" s="252"/>
      <c r="AK293" s="252"/>
      <c r="AL293" s="128"/>
      <c r="AM293" s="102"/>
      <c r="AN293" s="249"/>
      <c r="AO293" s="131"/>
      <c r="AP293" s="101">
        <f ca="1">K293+U293+AE293+P293+Z293+AL293</f>
        <v>0</v>
      </c>
      <c r="AQ293" s="68">
        <f ca="1">ROW(Cost_Elements[[#This Row],[Amount | Total]])</f>
        <v>293</v>
      </c>
    </row>
    <row r="294" spans="1:50">
      <c r="A294" s="266" t="s">
        <v>208</v>
      </c>
      <c r="B294" s="69"/>
      <c r="C294" s="69"/>
      <c r="D294" s="61"/>
      <c r="E294" s="61"/>
      <c r="F294" s="61"/>
      <c r="G294" s="61"/>
      <c r="H294" s="59" t="str">
        <f ca="1">IFERROR(INDEX(Labor_Categories[Minimum Direct Labor Rates],MATCH(Cost_Elements[[#This Row],[Government Labor Category]],Labor_Categories[Labor Categories],0)),"")</f>
        <v/>
      </c>
      <c r="I294" s="11"/>
      <c r="J294" s="69"/>
      <c r="K294" s="128"/>
      <c r="L294" s="248"/>
      <c r="M294" s="248"/>
      <c r="N294" s="11"/>
      <c r="O294" s="130"/>
      <c r="P294" s="128"/>
      <c r="Q294" s="248"/>
      <c r="R294" s="248"/>
      <c r="S294" s="11"/>
      <c r="T294" s="69"/>
      <c r="U294" s="128"/>
      <c r="V294" s="248"/>
      <c r="W294" s="248"/>
      <c r="X294" s="11"/>
      <c r="Y294" s="69"/>
      <c r="Z294" s="128"/>
      <c r="AA294" s="248"/>
      <c r="AB294" s="248"/>
      <c r="AC294" s="11"/>
      <c r="AD294" s="69"/>
      <c r="AE294" s="128"/>
      <c r="AF294" s="102"/>
      <c r="AG294" s="249"/>
      <c r="AH294" s="11"/>
      <c r="AI294" s="69"/>
      <c r="AJ294" s="252"/>
      <c r="AK294" s="252"/>
      <c r="AL294" s="128"/>
      <c r="AM294" s="102"/>
      <c r="AN294" s="249"/>
      <c r="AO294" s="131"/>
      <c r="AP294" s="101">
        <f ca="1">K294+U294+AE294+P294+Z294+AL294</f>
        <v>0</v>
      </c>
      <c r="AQ294" s="68">
        <f ca="1">ROW(Cost_Elements[[#This Row],[Amount | Total]])</f>
        <v>294</v>
      </c>
    </row>
    <row r="295" spans="1:50">
      <c r="A295" s="266" t="s">
        <v>209</v>
      </c>
      <c r="B295" s="69"/>
      <c r="C295" s="69"/>
      <c r="D295" s="61"/>
      <c r="E295" s="61"/>
      <c r="F295" s="61"/>
      <c r="G295" s="61"/>
      <c r="H295" s="59" t="str">
        <f ca="1">IFERROR(INDEX(Labor_Categories[Minimum Direct Labor Rates],MATCH(Cost_Elements[[#This Row],[Government Labor Category]],Labor_Categories[Labor Categories],0)),"")</f>
        <v/>
      </c>
      <c r="I295" s="11"/>
      <c r="J295" s="69"/>
      <c r="K295" s="128"/>
      <c r="L295" s="248"/>
      <c r="M295" s="248"/>
      <c r="N295" s="11"/>
      <c r="O295" s="130"/>
      <c r="P295" s="128"/>
      <c r="Q295" s="248"/>
      <c r="R295" s="248"/>
      <c r="S295" s="11"/>
      <c r="T295" s="69"/>
      <c r="U295" s="128"/>
      <c r="V295" s="248"/>
      <c r="W295" s="248"/>
      <c r="X295" s="11"/>
      <c r="Y295" s="69"/>
      <c r="Z295" s="128"/>
      <c r="AA295" s="248"/>
      <c r="AB295" s="248"/>
      <c r="AC295" s="11"/>
      <c r="AD295" s="69"/>
      <c r="AE295" s="128"/>
      <c r="AF295" s="102"/>
      <c r="AG295" s="249"/>
      <c r="AH295" s="11"/>
      <c r="AI295" s="69"/>
      <c r="AJ295" s="252"/>
      <c r="AK295" s="252"/>
      <c r="AL295" s="128"/>
      <c r="AM295" s="102"/>
      <c r="AN295" s="249"/>
      <c r="AO295" s="131"/>
      <c r="AP295" s="101">
        <f ca="1">K295+U295+AE295+P295+Z295+AL295</f>
        <v>0</v>
      </c>
      <c r="AQ295" s="68">
        <f ca="1">ROW(Cost_Elements[[#This Row],[Amount | Total]])</f>
        <v>295</v>
      </c>
    </row>
    <row r="296" spans="1:50">
      <c r="A296" s="239"/>
      <c r="B296" s="69"/>
      <c r="C296" s="69"/>
      <c r="D296" s="61"/>
      <c r="E296" s="61"/>
      <c r="F296" s="61"/>
      <c r="G296" s="61"/>
      <c r="H296" s="59" t="str">
        <f ca="1">IFERROR(INDEX(Labor_Categories[Minimum Direct Labor Rates],MATCH(Cost_Elements[[#This Row],[Government Labor Category]],Labor_Categories[Labor Categories],0)),"")</f>
        <v/>
      </c>
      <c r="I296" s="11"/>
      <c r="J296" s="69"/>
      <c r="K296" s="88"/>
      <c r="L296" s="248"/>
      <c r="M296" s="248"/>
      <c r="N296" s="11"/>
      <c r="O296" s="69"/>
      <c r="P296" s="88"/>
      <c r="Q296" s="248"/>
      <c r="R296" s="248"/>
      <c r="S296" s="11"/>
      <c r="T296" s="69"/>
      <c r="U296" s="88"/>
      <c r="V296" s="248"/>
      <c r="W296" s="248"/>
      <c r="X296" s="11"/>
      <c r="Y296" s="69"/>
      <c r="Z296" s="88"/>
      <c r="AA296" s="248"/>
      <c r="AB296" s="248"/>
      <c r="AC296" s="11"/>
      <c r="AD296" s="69"/>
      <c r="AE296" s="88"/>
      <c r="AF296" s="102"/>
      <c r="AG296" s="249"/>
      <c r="AH296" s="11"/>
      <c r="AI296" s="69"/>
      <c r="AJ296" s="172"/>
      <c r="AK296" s="172"/>
      <c r="AL296" s="88"/>
      <c r="AM296" s="102"/>
      <c r="AN296" s="249"/>
      <c r="AO296" s="245"/>
      <c r="AP296" s="105"/>
      <c r="AQ296" s="68">
        <f ca="1">ROW(Cost_Elements[[#This Row],[Amount | Total]])</f>
        <v>296</v>
      </c>
    </row>
    <row r="297" spans="1:50">
      <c r="A297" s="239" t="s">
        <v>210</v>
      </c>
      <c r="B297" s="69"/>
      <c r="C297" s="69"/>
      <c r="D297" s="61"/>
      <c r="E297" s="61"/>
      <c r="F297" s="61"/>
      <c r="G297" s="61"/>
      <c r="H297" s="59" t="str">
        <f ca="1">IFERROR(INDEX(Labor_Categories[Minimum Direct Labor Rates],MATCH(Cost_Elements[[#This Row],[Government Labor Category]],Labor_Categories[Labor Categories],0)),"")</f>
        <v/>
      </c>
      <c r="I297" s="11"/>
      <c r="J297" s="93" t="s">
        <v>169</v>
      </c>
      <c r="K297" s="94" t="str">
        <f ca="1">IFERROR(IF(Cost_Elements[[#This Row],[Row]]&gt;='Do Not Use or Delete'!#REF!, IF(Cost_Elements[[#This Row],[Row]]&lt;='Do Not Use or Delete'!#REF!,I297*J297,0),0)+IF(Cost_Elements[[#This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297" s="248"/>
      <c r="M297" s="248"/>
      <c r="N297" s="11"/>
      <c r="O297" s="93" t="s">
        <v>169</v>
      </c>
      <c r="P297" s="94" t="str">
        <f ca="1">IFERROR(IF(Cost_Elements[[#This Row],[Row]]&gt;='Do Not Use or Delete'!#REF!, IF(Cost_Elements[[#This Row],[Row]]&lt;='Do Not Use or Delete'!#REF!,N297*O297,0),0)+IF(Cost_Elements[[#This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297" s="248"/>
      <c r="R297" s="248"/>
      <c r="S297" s="11"/>
      <c r="T297" s="93" t="s">
        <v>169</v>
      </c>
      <c r="U297" s="94" t="str">
        <f ca="1">IFERROR(IF(Cost_Elements[[#This Row],[Row]]&gt;='Do Not Use or Delete'!#REF!, IF(Cost_Elements[[#This Row],[Row]]&lt;='Do Not Use or Delete'!#REF!,S297*T297,0),0)+IF(Cost_Elements[[#This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297" s="248"/>
      <c r="W297" s="248"/>
      <c r="X297" s="11"/>
      <c r="Y297" s="93" t="s">
        <v>169</v>
      </c>
      <c r="Z297" s="94" t="str">
        <f ca="1">IFERROR(IF(Cost_Elements[[#This Row],[Row]]&gt;='Do Not Use or Delete'!#REF!, IF(Cost_Elements[[#This Row],[Row]]&lt;='Do Not Use or Delete'!#REF!,X297*Y297,0),0)+IF(Cost_Elements[[#This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297" s="248"/>
      <c r="AB297" s="248"/>
      <c r="AC297" s="11"/>
      <c r="AD297" s="93" t="s">
        <v>169</v>
      </c>
      <c r="AE297" s="94" t="str">
        <f ca="1">IFERROR(IF(Cost_Elements[[#This Row],[Row]]&gt;='Do Not Use or Delete'!#REF!, IF(Cost_Elements[[#This Row],[Row]]&lt;='Do Not Use or Delete'!#REF!,AC297*AD297,0),0)+IF(Cost_Elements[[#This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297" s="102"/>
      <c r="AG297" s="249"/>
      <c r="AH297" s="11"/>
      <c r="AI297" s="93" t="s">
        <v>169</v>
      </c>
      <c r="AJ297" s="463"/>
      <c r="AK297" s="463"/>
      <c r="AL297" s="94" t="str">
        <f ca="1">IFERROR(IF(Cost_Elements[[#This Row],[Row]]&gt;='Do Not Use or Delete'!#REF!, IF(Cost_Elements[[#This Row],[Row]]&lt;='Do Not Use or Delete'!#REF!,AH297*AI297,0),0)+IF(Cost_Elements[[#This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M297" s="102"/>
      <c r="AN297" s="249"/>
      <c r="AO297" s="246"/>
      <c r="AP297" s="105"/>
      <c r="AQ297" s="68">
        <f ca="1">ROW(Cost_Elements[[#This Row],[Amount | Total]])</f>
        <v>297</v>
      </c>
    </row>
    <row r="298" spans="1:50">
      <c r="A298" s="266" t="s">
        <v>193</v>
      </c>
      <c r="B298" s="69" t="s">
        <v>211</v>
      </c>
      <c r="C298" s="69"/>
      <c r="D298" s="61"/>
      <c r="E298" s="61"/>
      <c r="F298" s="61"/>
      <c r="G298" s="61"/>
      <c r="H298" s="59" t="str">
        <f ca="1">IFERROR(INDEX(Labor_Categories[Minimum Direct Labor Rates],MATCH(Cost_Elements[[#This Row],[Government Labor Category]],Labor_Categories[Labor Categories],0)),"")</f>
        <v/>
      </c>
      <c r="I298" s="98">
        <f ca="1">'Indirect Rates and Fee'!D21</f>
        <v>0</v>
      </c>
      <c r="J298" s="99">
        <f ca="1">+K295</f>
        <v>0</v>
      </c>
      <c r="K298" s="100">
        <f ca="1">IFERROR(IF(Cost_Elements[[#This Row],[Row]]&gt;='Do Not Use or Delete'!$L$2, IF(Cost_Elements[[#This Row],[Row]]&lt;='Do Not Use or Delete'!$M$2,I298*J298,0),0)+IF(Cost_Elements[[#This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8" s="248"/>
      <c r="M298" s="248"/>
      <c r="N298" s="98">
        <f ca="1">'Indirect Rates and Fee'!E21</f>
        <v>0</v>
      </c>
      <c r="O298" s="99">
        <f ca="1">+P295</f>
        <v>0</v>
      </c>
      <c r="P298" s="100">
        <f ca="1">IFERROR(IF(Cost_Elements[[#This Row],[Row]]&gt;='Do Not Use or Delete'!$L$2, IF(Cost_Elements[[#This Row],[Row]]&lt;='Do Not Use or Delete'!$M$2,N298*O298,0),0)+IF(Cost_Elements[[#This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8" s="248"/>
      <c r="R298" s="248"/>
      <c r="S298" s="98">
        <f ca="1">'Indirect Rates and Fee'!F21</f>
        <v>0</v>
      </c>
      <c r="T298" s="99">
        <f ca="1">+U295</f>
        <v>0</v>
      </c>
      <c r="U298" s="100">
        <f ca="1">IFERROR(IF(Cost_Elements[[#This Row],[Row]]&gt;='Do Not Use or Delete'!$L$2, IF(Cost_Elements[[#This Row],[Row]]&lt;='Do Not Use or Delete'!$M$2,S298*T298,0),0)+IF(Cost_Elements[[#This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8" s="248"/>
      <c r="W298" s="248"/>
      <c r="X298" s="98">
        <f ca="1">'Indirect Rates and Fee'!G21</f>
        <v>0</v>
      </c>
      <c r="Y298" s="99">
        <f ca="1">+Z295</f>
        <v>0</v>
      </c>
      <c r="Z298" s="100">
        <f ca="1">IFERROR(IF(Cost_Elements[[#This Row],[Row]]&gt;='Do Not Use or Delete'!$L$2, IF(Cost_Elements[[#This Row],[Row]]&lt;='Do Not Use or Delete'!$M$2,X298*Y298,0),0)+IF(Cost_Elements[[#This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8" s="248"/>
      <c r="AB298" s="248"/>
      <c r="AC298" s="98">
        <f ca="1">'Indirect Rates and Fee'!H21</f>
        <v>0</v>
      </c>
      <c r="AD298" s="99">
        <f ca="1">+AE295</f>
        <v>0</v>
      </c>
      <c r="AE298" s="100">
        <f ca="1">IFERROR(IF(Cost_Elements[[#This Row],[Row]]&gt;='Do Not Use or Delete'!$L$2, IF(Cost_Elements[[#This Row],[Row]]&lt;='Do Not Use or Delete'!$M$2,AC298*AD298,0),0)+IF(Cost_Elements[[#This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8" s="102"/>
      <c r="AG298" s="249"/>
      <c r="AH298" s="98">
        <f ca="1">'Indirect Rates and Fee'!I21</f>
        <v>0</v>
      </c>
      <c r="AI298" s="99">
        <f ca="1">+AL295</f>
        <v>0</v>
      </c>
      <c r="AJ298" s="464"/>
      <c r="AK298" s="464"/>
      <c r="AL298" s="100">
        <f ca="1">IFERROR(IF(Cost_Elements[[#This Row],[Row]]&gt;='Do Not Use or Delete'!$L$2, IF(Cost_Elements[[#This Row],[Row]]&lt;='Do Not Use or Delete'!$M$2,AH298*AI298,0),0)+IF(Cost_Elements[[#This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98" s="102"/>
      <c r="AN298" s="249"/>
      <c r="AO298" s="246"/>
      <c r="AP298" s="101">
        <f ca="1">K298+U298+AE298+P298+Z298+AL298</f>
        <v>0</v>
      </c>
      <c r="AQ298" s="68">
        <f ca="1">ROW(Cost_Elements[[#This Row],[Amount | Total]])</f>
        <v>298</v>
      </c>
    </row>
    <row r="299" spans="1:50">
      <c r="A299" s="266" t="s">
        <v>98</v>
      </c>
      <c r="B299" s="69" t="s">
        <v>98</v>
      </c>
      <c r="C299" s="69"/>
      <c r="D299" s="61"/>
      <c r="E299" s="61"/>
      <c r="F299" s="61"/>
      <c r="G299" s="61"/>
      <c r="H299" s="59" t="str">
        <f ca="1">IFERROR(INDEX(Labor_Categories[Minimum Direct Labor Rates],MATCH(Cost_Elements[[#This Row],[Government Labor Category]],Labor_Categories[Labor Categories],0)),"")</f>
        <v/>
      </c>
      <c r="I299" s="98">
        <f ca="1">'Indirect Rates and Fee'!D18</f>
        <v>0</v>
      </c>
      <c r="J299" s="99">
        <f ca="1">K298+K295+K294+K295</f>
        <v>0</v>
      </c>
      <c r="K299" s="100">
        <f ca="1">IFERROR(IF(Cost_Elements[[#This Row],[Row]]&gt;='Do Not Use or Delete'!$L$2, IF(Cost_Elements[[#This Row],[Row]]&lt;='Do Not Use or Delete'!$M$2,I299*J299,0),0)+IF(Cost_Elements[[#This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9" s="248"/>
      <c r="M299" s="248"/>
      <c r="N299" s="98">
        <f ca="1">'Indirect Rates and Fee'!E18</f>
        <v>0</v>
      </c>
      <c r="O299" s="99">
        <f ca="1">P298+P295+P294+P293</f>
        <v>0</v>
      </c>
      <c r="P299" s="100">
        <f ca="1">IFERROR(IF(Cost_Elements[[#This Row],[Row]]&gt;='Do Not Use or Delete'!$L$2, IF(Cost_Elements[[#This Row],[Row]]&lt;='Do Not Use or Delete'!$M$2,N299*O299,0),0)+IF(Cost_Elements[[#This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9" s="248"/>
      <c r="R299" s="248"/>
      <c r="S299" s="98">
        <f ca="1">'Indirect Rates and Fee'!F18</f>
        <v>0</v>
      </c>
      <c r="T299" s="99">
        <f ca="1">U298+U295+U294+U293</f>
        <v>0</v>
      </c>
      <c r="U299" s="100">
        <f ca="1">IFERROR(IF(Cost_Elements[[#This Row],[Row]]&gt;='Do Not Use or Delete'!$L$2, IF(Cost_Elements[[#This Row],[Row]]&lt;='Do Not Use or Delete'!$M$2,S299*T299,0),0)+IF(Cost_Elements[[#This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9" s="248"/>
      <c r="W299" s="248"/>
      <c r="X299" s="98">
        <f ca="1">'Indirect Rates and Fee'!G18</f>
        <v>0</v>
      </c>
      <c r="Y299" s="99">
        <f ca="1">Z298+Z295+Z293+Z294</f>
        <v>0</v>
      </c>
      <c r="Z299" s="100">
        <f ca="1">IFERROR(IF(Cost_Elements[[#This Row],[Row]]&gt;='Do Not Use or Delete'!$L$2, IF(Cost_Elements[[#This Row],[Row]]&lt;='Do Not Use or Delete'!$M$2,X299*Y299,0),0)+IF(Cost_Elements[[#This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9" s="248"/>
      <c r="AB299" s="248"/>
      <c r="AC299" s="98">
        <f ca="1">'Indirect Rates and Fee'!H18</f>
        <v>0</v>
      </c>
      <c r="AD299" s="99">
        <f ca="1">AE298+AE295+AE294+AE295</f>
        <v>0</v>
      </c>
      <c r="AE299" s="100">
        <f ca="1">IFERROR(IF(Cost_Elements[[#This Row],[Row]]&gt;='Do Not Use or Delete'!$L$2, IF(Cost_Elements[[#This Row],[Row]]&lt;='Do Not Use or Delete'!$M$2,AC299*AD299,0),0)+IF(Cost_Elements[[#This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9" s="102"/>
      <c r="AG299" s="249"/>
      <c r="AH299" s="98">
        <f ca="1">'Indirect Rates and Fee'!I18</f>
        <v>0</v>
      </c>
      <c r="AI299" s="99">
        <f ca="1">AL298+AL295+AL294+AL293</f>
        <v>0</v>
      </c>
      <c r="AJ299" s="464"/>
      <c r="AK299" s="464"/>
      <c r="AL299" s="100">
        <f ca="1">IFERROR(IF(Cost_Elements[[#This Row],[Row]]&gt;='Do Not Use or Delete'!$L$2, IF(Cost_Elements[[#This Row],[Row]]&lt;='Do Not Use or Delete'!$M$2,AH299*AI299,0),0)+IF(Cost_Elements[[#This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99" s="102"/>
      <c r="AN299" s="249"/>
      <c r="AO299" s="246"/>
      <c r="AP299" s="101">
        <f ca="1">K299+U299+AE299+P299+Z299+AL299</f>
        <v>0</v>
      </c>
      <c r="AQ299" s="68">
        <f ca="1">ROW(Cost_Elements[[#This Row],[Amount | Total]])</f>
        <v>299</v>
      </c>
    </row>
    <row r="300" spans="1:50">
      <c r="A300" s="239" t="s">
        <v>212</v>
      </c>
      <c r="B300" s="69"/>
      <c r="C300" s="69"/>
      <c r="D300" s="61"/>
      <c r="E300" s="61"/>
      <c r="F300" s="61"/>
      <c r="G300" s="61"/>
      <c r="H300" s="59" t="str">
        <f ca="1">IFERROR(INDEX(Labor_Categories[Minimum Direct Labor Rates],MATCH(Cost_Elements[[#This Row],[Government Labor Category]],Labor_Categories[Labor Categories],0)),"")</f>
        <v/>
      </c>
      <c r="I300" s="11"/>
      <c r="J300" s="69"/>
      <c r="K300" s="84">
        <f ca="1">SUM(K292,K298,K299)</f>
        <v>0</v>
      </c>
      <c r="L300" s="242"/>
      <c r="M300" s="242"/>
      <c r="N300" s="82"/>
      <c r="O300" s="80"/>
      <c r="P300" s="84">
        <f ca="1">SUM(P292,P298,P299)</f>
        <v>0</v>
      </c>
      <c r="Q300" s="242"/>
      <c r="R300" s="242"/>
      <c r="S300" s="82"/>
      <c r="T300" s="80"/>
      <c r="U300" s="84">
        <f ca="1">SUM(U292,U298,U299)</f>
        <v>0</v>
      </c>
      <c r="V300" s="242"/>
      <c r="W300" s="242"/>
      <c r="X300" s="82"/>
      <c r="Y300" s="80"/>
      <c r="Z300" s="84">
        <f ca="1">SUM(Z292,Z298,Z299)</f>
        <v>0</v>
      </c>
      <c r="AA300" s="242"/>
      <c r="AB300" s="242"/>
      <c r="AC300" s="82"/>
      <c r="AD300" s="80"/>
      <c r="AE300" s="84">
        <f ca="1">SUM(AE292,AE298,AE299)</f>
        <v>0</v>
      </c>
      <c r="AF300" s="85"/>
      <c r="AG300" s="243"/>
      <c r="AH300" s="82"/>
      <c r="AI300" s="80"/>
      <c r="AJ300" s="470"/>
      <c r="AK300" s="470"/>
      <c r="AL300" s="84">
        <f ca="1">SUM(AL292,AL298,AL299)</f>
        <v>0</v>
      </c>
      <c r="AM300" s="102"/>
      <c r="AN300" s="249"/>
      <c r="AO300" s="246"/>
      <c r="AP300" s="104">
        <f ca="1">SUM(AP292,AP298,AP299)</f>
        <v>0</v>
      </c>
      <c r="AQ300" s="68">
        <f ca="1">ROW(Cost_Elements[[#This Row],[Amount | Total]])</f>
        <v>300</v>
      </c>
    </row>
    <row r="301" spans="1:50">
      <c r="A301" s="265"/>
      <c r="B301" s="69"/>
      <c r="C301" s="69"/>
      <c r="D301" s="61"/>
      <c r="E301" s="61"/>
      <c r="F301" s="61"/>
      <c r="G301" s="61"/>
      <c r="H301" s="59" t="str">
        <f ca="1">IFERROR(INDEX(Labor_Categories[Minimum Direct Labor Rates],MATCH(Cost_Elements[[#This Row],[Government Labor Category]],Labor_Categories[Labor Categories],0)),"")</f>
        <v/>
      </c>
      <c r="I301" s="11"/>
      <c r="J301" s="69"/>
      <c r="K301" s="88"/>
      <c r="L301" s="248"/>
      <c r="M301" s="248"/>
      <c r="N301" s="11"/>
      <c r="O301" s="69"/>
      <c r="P301" s="88"/>
      <c r="Q301" s="248"/>
      <c r="R301" s="248"/>
      <c r="S301" s="11"/>
      <c r="T301" s="69"/>
      <c r="U301" s="88"/>
      <c r="V301" s="248"/>
      <c r="W301" s="248"/>
      <c r="X301" s="11"/>
      <c r="Y301" s="69"/>
      <c r="Z301" s="88"/>
      <c r="AA301" s="248"/>
      <c r="AB301" s="248"/>
      <c r="AC301" s="11"/>
      <c r="AD301" s="69"/>
      <c r="AE301" s="88"/>
      <c r="AF301" s="102"/>
      <c r="AG301" s="249"/>
      <c r="AH301" s="11"/>
      <c r="AI301" s="69"/>
      <c r="AJ301" s="172"/>
      <c r="AK301" s="172"/>
      <c r="AL301" s="88"/>
      <c r="AM301" s="102"/>
      <c r="AN301" s="249"/>
      <c r="AO301" s="245"/>
      <c r="AP301" s="105"/>
      <c r="AQ301" s="68">
        <f ca="1">ROW(Cost_Elements[[#This Row],[Amount | Total]])</f>
        <v>301</v>
      </c>
    </row>
    <row r="302" spans="1:50">
      <c r="A302" s="363"/>
      <c r="B302" s="267"/>
      <c r="C302" s="267"/>
      <c r="D302" s="132"/>
      <c r="E302" s="132"/>
      <c r="F302" s="132"/>
      <c r="G302" s="132"/>
      <c r="H302" s="359" t="str">
        <f ca="1">IFERROR(INDEX(Labor_Categories[Minimum Direct Labor Rates],MATCH(Cost_Elements[[#This Row],[Government Labor Category]],Labor_Categories[Labor Categories],0)),"")</f>
        <v/>
      </c>
      <c r="I302" s="268"/>
      <c r="J302" s="267"/>
      <c r="K302" s="364"/>
      <c r="L302" s="269"/>
      <c r="M302" s="269"/>
      <c r="N302" s="268"/>
      <c r="O302" s="267"/>
      <c r="P302" s="364"/>
      <c r="Q302" s="269"/>
      <c r="R302" s="269"/>
      <c r="S302" s="268"/>
      <c r="T302" s="267"/>
      <c r="U302" s="364"/>
      <c r="V302" s="269"/>
      <c r="W302" s="269"/>
      <c r="X302" s="268"/>
      <c r="Y302" s="267"/>
      <c r="Z302" s="364"/>
      <c r="AA302" s="269"/>
      <c r="AB302" s="269"/>
      <c r="AC302" s="268"/>
      <c r="AD302" s="267"/>
      <c r="AE302" s="364"/>
      <c r="AF302" s="360"/>
      <c r="AG302" s="361"/>
      <c r="AH302" s="268"/>
      <c r="AI302" s="267"/>
      <c r="AJ302" s="474"/>
      <c r="AK302" s="474"/>
      <c r="AL302" s="364"/>
      <c r="AM302" s="360"/>
      <c r="AN302" s="361"/>
      <c r="AO302" s="365"/>
      <c r="AP302" s="366"/>
      <c r="AQ302" s="68">
        <f ca="1">ROW(Cost_Elements[[#This Row],[Amount | Total]])</f>
        <v>302</v>
      </c>
    </row>
    <row r="303" spans="1:50">
      <c r="A303" s="362" t="s">
        <v>213</v>
      </c>
      <c r="B303" s="69"/>
      <c r="C303" s="69"/>
      <c r="D303" s="69"/>
      <c r="E303" s="69"/>
      <c r="F303" s="69"/>
      <c r="G303" s="69"/>
      <c r="H303" s="69" t="str">
        <f ca="1">IFERROR(INDEX(Labor_Categories[Minimum Direct Labor Rates],MATCH(Cost_Elements[[#This Row],[Government Labor Category]],Labor_Categories[Labor Categories],0)),"")</f>
        <v/>
      </c>
      <c r="I303" s="69"/>
      <c r="J303" s="367">
        <f ca="1">J281</f>
        <v>0</v>
      </c>
      <c r="K303" s="99">
        <f ca="1">IFERROR(IF(Cost_Elements[[#This Row],[Row]]&gt;='Do Not Use or Delete'!$L$2, IF(Cost_Elements[[#This Row],[Row]]&lt;='Do Not Use or Delete'!$M$2,I303*J303,0),0)+IF(Cost_Elements[[#This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03" s="89"/>
      <c r="M303" s="89"/>
      <c r="N303" s="69"/>
      <c r="O303" s="367">
        <f ca="1">O281</f>
        <v>0</v>
      </c>
      <c r="P303" s="99">
        <f ca="1">IFERROR(IF(Cost_Elements[[#This Row],[Row]]&gt;='Do Not Use or Delete'!$L$2, IF(Cost_Elements[[#This Row],[Row]]&lt;='Do Not Use or Delete'!$M$2,N303*O303,0),0)+IF(Cost_Elements[[#This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03" s="89"/>
      <c r="R303" s="89"/>
      <c r="S303" s="69"/>
      <c r="T303" s="367">
        <f ca="1">T281</f>
        <v>0</v>
      </c>
      <c r="U303" s="99">
        <f ca="1">IFERROR(IF(Cost_Elements[[#This Row],[Row]]&gt;='Do Not Use or Delete'!$L$2, IF(Cost_Elements[[#This Row],[Row]]&lt;='Do Not Use or Delete'!$M$2,S303*T303,0),0)+IF(Cost_Elements[[#This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03" s="89"/>
      <c r="W303" s="89"/>
      <c r="X303" s="69"/>
      <c r="Y303" s="367">
        <f ca="1">Y281</f>
        <v>0</v>
      </c>
      <c r="Z303" s="99">
        <f ca="1">IFERROR(IF(Cost_Elements[[#This Row],[Row]]&gt;='Do Not Use or Delete'!$L$2, IF(Cost_Elements[[#This Row],[Row]]&lt;='Do Not Use or Delete'!$M$2,X303*Y303,0),0)+IF(Cost_Elements[[#This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03" s="89"/>
      <c r="AB303" s="89"/>
      <c r="AC303" s="69"/>
      <c r="AD303" s="367">
        <f ca="1">AD281</f>
        <v>0</v>
      </c>
      <c r="AE303" s="99">
        <f ca="1">IFERROR(IF(Cost_Elements[[#This Row],[Row]]&gt;='Do Not Use or Delete'!$L$2, IF(Cost_Elements[[#This Row],[Row]]&lt;='Do Not Use or Delete'!$M$2,AC303*AD303,0),0)+IF(Cost_Elements[[#This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03" s="89"/>
      <c r="AG303" s="89"/>
      <c r="AH303" s="69"/>
      <c r="AI303" s="367">
        <f ca="1">AI281</f>
        <v>0</v>
      </c>
      <c r="AJ303" s="367"/>
      <c r="AK303" s="367"/>
      <c r="AL303" s="99">
        <f ca="1">IFERROR(IF(Cost_Elements[[#This Row],[Row]]&gt;='Do Not Use or Delete'!$L$2, IF(Cost_Elements[[#This Row],[Row]]&lt;='Do Not Use or Delete'!$M$2,AH303*AI303,0),0)+IF(Cost_Elements[[#This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03" s="89"/>
      <c r="AN303" s="89"/>
      <c r="AO303" s="368">
        <f ca="1">J303+O303+T303+Y303+AD303+AI303</f>
        <v>0</v>
      </c>
      <c r="AP303" s="127">
        <f ca="1">K303+P303+U303+Z303+AE303+AL303</f>
        <v>0</v>
      </c>
      <c r="AQ303" s="386">
        <f ca="1">ROW(Cost_Elements[[#This Row],[Amount | Total]])</f>
        <v>303</v>
      </c>
    </row>
    <row r="304" spans="1:50">
      <c r="A304" s="387" t="s">
        <v>214</v>
      </c>
      <c r="B304" s="373"/>
      <c r="C304" s="373"/>
      <c r="D304" s="374"/>
      <c r="E304" s="374"/>
      <c r="F304" s="374"/>
      <c r="G304" s="374"/>
      <c r="H304" s="375" t="str">
        <f ca="1">IFERROR(INDEX(Labor_Categories[Minimum Direct Labor Rates],MATCH(Cost_Elements[[#This Row],[Government Labor Category]],Labor_Categories[Labor Categories],0)),"")</f>
        <v/>
      </c>
      <c r="I304" s="132"/>
      <c r="J304" s="132"/>
      <c r="K304" s="395" t="e">
        <f ca="1">K289+K300</f>
        <v>#DIV/0!</v>
      </c>
      <c r="L304" s="388"/>
      <c r="M304" s="389"/>
      <c r="N304" s="376"/>
      <c r="O304" s="307"/>
      <c r="P304" s="394" t="e">
        <f ca="1">P289+P300</f>
        <v>#DIV/0!</v>
      </c>
      <c r="Q304" s="389"/>
      <c r="R304" s="389"/>
      <c r="S304" s="376"/>
      <c r="T304" s="307"/>
      <c r="U304" s="394" t="e">
        <f ca="1">U289+U300</f>
        <v>#DIV/0!</v>
      </c>
      <c r="V304" s="389"/>
      <c r="W304" s="389"/>
      <c r="X304" s="376"/>
      <c r="Y304" s="307"/>
      <c r="Z304" s="394" t="e">
        <f ca="1">Z289+Z300</f>
        <v>#DIV/0!</v>
      </c>
      <c r="AA304" s="389"/>
      <c r="AB304" s="389"/>
      <c r="AC304" s="376"/>
      <c r="AD304" s="307"/>
      <c r="AE304" s="393" t="e">
        <f ca="1">AE289+AE300</f>
        <v>#DIV/0!</v>
      </c>
      <c r="AF304" s="377"/>
      <c r="AG304" s="378"/>
      <c r="AH304" s="376"/>
      <c r="AI304" s="373"/>
      <c r="AJ304" s="475"/>
      <c r="AK304" s="475"/>
      <c r="AL304" s="392" t="e">
        <f ca="1">AL289+AL300</f>
        <v>#DIV/0!</v>
      </c>
      <c r="AM304" s="360"/>
      <c r="AN304" s="361"/>
      <c r="AO304" s="379"/>
      <c r="AP304" s="391" t="e">
        <f ca="1">Cost_Elements[[#This Row],[Amount | 6]]+Cost_Elements[[#This Row],[Amount | 5]]+Cost_Elements[[#This Row],[Amount | 4]]+Cost_Elements[[#This Row],[Amount | 3]]+Cost_Elements[[#This Row],[Amount | 2]]+Cost_Elements[[#This Row],[Amount | 1]]</f>
        <v>#DIV/0!</v>
      </c>
      <c r="AQ304" s="380">
        <f ca="1">ROW(Cost_Elements[[#This Row],[Amount | Total]])</f>
        <v>304</v>
      </c>
      <c r="AR304" s="390"/>
      <c r="AS304" s="390"/>
      <c r="AT304" s="390"/>
      <c r="AU304" s="390"/>
      <c r="AV304" s="390"/>
      <c r="AW304" s="390"/>
      <c r="AX304" s="390"/>
    </row>
    <row r="305" spans="1:41">
      <c r="A305" s="133"/>
      <c r="K305" s="134"/>
      <c r="L305" s="135"/>
      <c r="O305" s="134"/>
      <c r="T305" s="134"/>
      <c r="Y305" s="134"/>
      <c r="AD305" s="134"/>
      <c r="AI305" s="134"/>
      <c r="AJ305" s="134"/>
      <c r="AK305" s="134"/>
    </row>
    <row r="306" spans="1:41">
      <c r="A306" s="27"/>
    </row>
    <row r="308" spans="1:41" ht="30.75">
      <c r="A308" s="302" t="s">
        <v>215</v>
      </c>
      <c r="B308" s="137" t="s">
        <v>216</v>
      </c>
      <c r="C308" s="479" t="s">
        <v>217</v>
      </c>
      <c r="D308" s="138"/>
      <c r="E308" s="138"/>
      <c r="F308" s="138"/>
      <c r="G308" s="138"/>
      <c r="H308" s="138"/>
    </row>
    <row r="309" spans="1:41">
      <c r="A309" s="298" t="s">
        <v>218</v>
      </c>
      <c r="B309" s="140">
        <f ca="1">AP272</f>
        <v>0</v>
      </c>
      <c r="C309" s="141"/>
      <c r="I309" s="29"/>
      <c r="K309" s="4"/>
      <c r="L309" s="31"/>
      <c r="M309" s="30"/>
      <c r="O309" s="4"/>
      <c r="P309" s="29"/>
      <c r="Q309" s="30"/>
      <c r="R309" s="30"/>
      <c r="T309" s="4"/>
      <c r="U309" s="29"/>
      <c r="V309" s="30"/>
      <c r="W309" s="30"/>
      <c r="X309" s="32"/>
      <c r="AD309" s="4"/>
      <c r="AE309" s="4"/>
      <c r="AF309" s="31"/>
      <c r="AG309" s="31"/>
      <c r="AI309" s="4"/>
      <c r="AJ309" s="4"/>
      <c r="AK309" s="4"/>
      <c r="AL309" s="4"/>
      <c r="AM309" s="31"/>
      <c r="AN309" s="31"/>
      <c r="AO309" s="4"/>
    </row>
    <row r="310" spans="1:41" ht="30.75">
      <c r="A310" s="299" t="s">
        <v>219</v>
      </c>
      <c r="B310" s="142">
        <f ca="1">+AP278</f>
        <v>0</v>
      </c>
      <c r="C310" s="270"/>
      <c r="D310" s="143"/>
      <c r="I310" s="29"/>
      <c r="K310" s="4"/>
      <c r="L310" s="31"/>
      <c r="M310" s="30"/>
      <c r="O310" s="4"/>
      <c r="P310" s="29"/>
      <c r="Q310" s="30"/>
      <c r="R310" s="30"/>
      <c r="T310" s="4"/>
      <c r="U310" s="29"/>
      <c r="V310" s="30"/>
      <c r="W310" s="30"/>
      <c r="X310" s="32"/>
      <c r="AD310" s="4"/>
      <c r="AE310" s="4"/>
      <c r="AF310" s="31"/>
      <c r="AG310" s="31"/>
      <c r="AI310" s="4"/>
      <c r="AJ310" s="4"/>
      <c r="AK310" s="4"/>
      <c r="AL310" s="4"/>
      <c r="AM310" s="31"/>
      <c r="AN310" s="31"/>
      <c r="AO310" s="4"/>
    </row>
    <row r="311" spans="1:41" ht="30.75">
      <c r="A311" s="300" t="s">
        <v>200</v>
      </c>
      <c r="B311" s="271">
        <f ca="1">AP285</f>
        <v>0</v>
      </c>
      <c r="C311" s="272"/>
      <c r="D311" s="143"/>
      <c r="I311" s="29"/>
      <c r="K311" s="4"/>
      <c r="L311" s="31"/>
      <c r="M311" s="30"/>
      <c r="O311" s="4"/>
      <c r="P311" s="29"/>
      <c r="Q311" s="30"/>
      <c r="R311" s="30"/>
      <c r="T311" s="4"/>
      <c r="U311" s="29"/>
      <c r="V311" s="30"/>
      <c r="W311" s="30"/>
      <c r="X311" s="32"/>
      <c r="AD311" s="4"/>
      <c r="AE311" s="4"/>
      <c r="AF311" s="31"/>
      <c r="AG311" s="31"/>
      <c r="AI311" s="4"/>
      <c r="AJ311" s="4"/>
      <c r="AK311" s="4"/>
      <c r="AL311" s="4"/>
      <c r="AM311" s="31"/>
      <c r="AN311" s="31"/>
      <c r="AO311" s="4"/>
    </row>
    <row r="312" spans="1:41" ht="30.75">
      <c r="A312" s="301" t="s">
        <v>220</v>
      </c>
      <c r="B312" s="144">
        <f ca="1">B310+B311</f>
        <v>0</v>
      </c>
      <c r="C312" s="145" t="e">
        <f ca="1">B312/B309</f>
        <v>#DIV/0!</v>
      </c>
      <c r="D312" s="146"/>
      <c r="E312" s="147"/>
      <c r="F312" s="147"/>
      <c r="G312" s="147"/>
      <c r="H312" s="147"/>
    </row>
    <row r="315" spans="1:41">
      <c r="A315" s="136" t="s">
        <v>221</v>
      </c>
      <c r="B315" s="137" t="s">
        <v>216</v>
      </c>
      <c r="C315" s="479" t="s">
        <v>217</v>
      </c>
      <c r="D315" s="138"/>
      <c r="E315" s="138"/>
      <c r="F315" s="138"/>
      <c r="G315" s="138"/>
      <c r="H315" s="138"/>
    </row>
    <row r="316" spans="1:41">
      <c r="A316" s="139" t="s">
        <v>222</v>
      </c>
      <c r="B316" s="140">
        <f ca="1">AP281</f>
        <v>0</v>
      </c>
      <c r="C316" s="141"/>
      <c r="E316" s="29"/>
      <c r="F316" s="29"/>
      <c r="G316" s="29"/>
      <c r="J316" s="29"/>
      <c r="K316" s="32"/>
      <c r="L316" s="33"/>
      <c r="M316" s="30"/>
      <c r="O316" s="4"/>
      <c r="T316" s="4"/>
      <c r="Y316" s="4"/>
      <c r="AD316" s="4"/>
      <c r="AE316" s="4"/>
      <c r="AF316" s="31"/>
      <c r="AG316" s="31"/>
      <c r="AI316" s="4"/>
      <c r="AJ316" s="4"/>
      <c r="AK316" s="4"/>
      <c r="AL316" s="4"/>
      <c r="AM316" s="31"/>
      <c r="AN316" s="31"/>
      <c r="AO316" s="4"/>
    </row>
    <row r="317" spans="1:41" ht="30.75">
      <c r="A317" s="301" t="s">
        <v>223</v>
      </c>
      <c r="B317" s="144">
        <f ca="1">AP286</f>
        <v>0</v>
      </c>
      <c r="C317" s="148" t="e">
        <f ca="1">B317/B316</f>
        <v>#DIV/0!</v>
      </c>
      <c r="D317" s="149"/>
      <c r="E317" s="143"/>
      <c r="F317" s="143"/>
      <c r="G317" s="143"/>
      <c r="H317" s="143"/>
    </row>
    <row r="320" spans="1:41">
      <c r="A320" s="4" t="s">
        <v>224</v>
      </c>
    </row>
    <row r="321" spans="1:18">
      <c r="A321" s="4" t="s">
        <v>225</v>
      </c>
      <c r="B321" s="20"/>
      <c r="C321" s="20"/>
    </row>
    <row r="322" spans="1:18">
      <c r="A322" s="4" t="s">
        <v>226</v>
      </c>
      <c r="B322" s="20" t="s">
        <v>227</v>
      </c>
      <c r="C322" s="20" t="s">
        <v>228</v>
      </c>
    </row>
    <row r="323" spans="1:18" ht="38.25">
      <c r="A323" s="355" t="s">
        <v>229</v>
      </c>
      <c r="B323" s="356" t="s">
        <v>230</v>
      </c>
      <c r="C323" s="355" t="s">
        <v>231</v>
      </c>
    </row>
    <row r="324" spans="1:18">
      <c r="A324" s="308" t="e">
        <f ca="1">AP286/AO303</f>
        <v>#DIV/0!</v>
      </c>
      <c r="B324" s="308" t="e">
        <f ca="1">ROUND(A324,2)</f>
        <v>#DIV/0!</v>
      </c>
      <c r="C324" s="357" t="e">
        <f ca="1">B324*AO303</f>
        <v>#DIV/0!</v>
      </c>
    </row>
    <row r="327" spans="1:18">
      <c r="A327" s="288"/>
      <c r="B327" s="288"/>
      <c r="C327" s="288"/>
      <c r="D327" s="24"/>
      <c r="E327" s="24"/>
      <c r="F327" s="24"/>
      <c r="G327" s="24"/>
      <c r="H327" s="24"/>
      <c r="I327" s="24"/>
      <c r="J327" s="24"/>
      <c r="K327" s="24"/>
      <c r="L327" s="24"/>
      <c r="M327" s="24"/>
      <c r="N327" s="24"/>
      <c r="O327" s="24"/>
      <c r="P327" s="24"/>
      <c r="Q327" s="150"/>
      <c r="R327" s="150"/>
    </row>
    <row r="328" spans="1:18">
      <c r="A328" s="289"/>
      <c r="B328" s="303"/>
      <c r="C328" s="70"/>
      <c r="E328" s="304"/>
    </row>
    <row r="329" spans="1:18">
      <c r="A329" s="11"/>
      <c r="B329" s="103"/>
      <c r="C329" s="290"/>
      <c r="D329" s="20"/>
      <c r="E329" s="304"/>
    </row>
    <row r="330" spans="1:18">
      <c r="A330" s="291"/>
      <c r="B330" s="292"/>
      <c r="C330" s="293"/>
      <c r="D330" s="20"/>
      <c r="G330" s="304"/>
    </row>
    <row r="331" spans="1:18">
      <c r="A331" s="294"/>
      <c r="B331" s="305"/>
      <c r="C331" s="70"/>
    </row>
    <row r="332" spans="1:18">
      <c r="A332" s="11"/>
      <c r="B332" s="103"/>
      <c r="C332" s="69"/>
      <c r="E332" s="304"/>
      <c r="F332" s="304"/>
    </row>
    <row r="333" spans="1:18">
      <c r="A333" s="291"/>
      <c r="B333" s="295"/>
      <c r="C333" s="293"/>
    </row>
    <row r="334" spans="1:18">
      <c r="A334" s="294"/>
      <c r="B334" s="305"/>
      <c r="C334" s="58"/>
    </row>
    <row r="335" spans="1:18">
      <c r="A335" s="11"/>
      <c r="B335" s="103"/>
      <c r="C335" s="69"/>
    </row>
    <row r="336" spans="1:18">
      <c r="A336" s="291"/>
      <c r="B336" s="295"/>
      <c r="C336" s="293"/>
    </row>
    <row r="337" spans="1:6">
      <c r="A337" s="294"/>
      <c r="B337" s="305"/>
      <c r="C337" s="58"/>
    </row>
    <row r="338" spans="1:6">
      <c r="A338" s="11"/>
      <c r="B338" s="103"/>
      <c r="C338" s="69"/>
      <c r="F338" s="304"/>
    </row>
    <row r="339" spans="1:6">
      <c r="A339" s="291"/>
      <c r="B339" s="295"/>
      <c r="C339" s="293"/>
      <c r="F339" s="304"/>
    </row>
    <row r="340" spans="1:6">
      <c r="A340" s="294"/>
      <c r="B340" s="305"/>
      <c r="C340" s="58"/>
    </row>
    <row r="341" spans="1:6">
      <c r="A341" s="11"/>
      <c r="B341" s="103"/>
      <c r="C341" s="69"/>
    </row>
    <row r="342" spans="1:6">
      <c r="A342" s="291"/>
      <c r="B342" s="295"/>
      <c r="C342" s="293"/>
    </row>
    <row r="343" spans="1:6">
      <c r="A343" s="311"/>
      <c r="B343" s="307"/>
      <c r="C343" s="132"/>
    </row>
    <row r="344" spans="1:6">
      <c r="A344" s="306"/>
      <c r="B344" s="296"/>
      <c r="C344" s="267"/>
    </row>
    <row r="345" spans="1:6">
      <c r="A345" s="310"/>
      <c r="B345" s="295"/>
      <c r="C345" s="293"/>
    </row>
    <row r="346" spans="1:6">
      <c r="A346" s="81"/>
      <c r="B346" s="308"/>
      <c r="C346" s="309"/>
    </row>
    <row r="347" spans="1:6">
      <c r="A347" s="80"/>
      <c r="B347" s="329"/>
      <c r="C347" s="69"/>
    </row>
    <row r="348" spans="1:6">
      <c r="B348" s="304"/>
    </row>
    <row r="349" spans="1:6">
      <c r="D349" s="304"/>
    </row>
  </sheetData>
  <sheetProtection selectLockedCells="1"/>
  <mergeCells count="13">
    <mergeCell ref="I6:K6"/>
    <mergeCell ref="L6:M6"/>
    <mergeCell ref="AO6:AP6"/>
    <mergeCell ref="N6:P6"/>
    <mergeCell ref="AC6:AE6"/>
    <mergeCell ref="X6:Z6"/>
    <mergeCell ref="S6:U6"/>
    <mergeCell ref="Q6:R6"/>
    <mergeCell ref="V6:W6"/>
    <mergeCell ref="AA6:AB6"/>
    <mergeCell ref="AF6:AG6"/>
    <mergeCell ref="AH6:AL6"/>
    <mergeCell ref="AM6:AN6"/>
  </mergeCells>
  <conditionalFormatting sqref="I10:I112">
    <cfRule type="cellIs" dxfId="97" priority="1" operator="lessThan">
      <formula>H10</formula>
    </cfRule>
  </conditionalFormatting>
  <dataValidations count="2">
    <dataValidation type="list" allowBlank="1" showInputMessage="1" showErrorMessage="1" sqref="B257:B269 B152:B164 B227:B239 B167:B179 B242:B254 B137:B149 B212:B224 B182:B194 B197:B209 B10:B112" xr:uid="{00000000-0002-0000-0200-000000000000}">
      <formula1>INDIRECT("Labor_Categories[Labor Categories]")</formula1>
    </dataValidation>
    <dataValidation type="list" allowBlank="1" showInputMessage="1" showErrorMessage="1" sqref="D137:D270" xr:uid="{00000000-0002-0000-0200-000001000000}">
      <formula1>"BLS, SCA"</formula1>
    </dataValidation>
  </dataValidations>
  <printOptions headings="1" gridLines="1"/>
  <pageMargins left="1" right="1" top="1" bottom="1" header="0.5" footer="0.5"/>
  <pageSetup orientation="landscape" r:id="rId1"/>
  <headerFooter>
    <oddHeader>&amp;C&amp;"Times New Roman,Bold"UNCLASSIFIED</oddHeader>
    <oddFooter>&amp;C&amp;"Times New Roman,Regular"&amp;8
Source Selection Information - See FAR 2.101 and 3.104
&amp;"Times New Roman,Bold"UNCLASSIFIED&amp;R&amp;"Times New Roman,Regular"&amp;P of &amp;N</oddFooter>
  </headerFooter>
  <colBreaks count="6" manualBreakCount="6">
    <brk id="8" max="203" man="1"/>
    <brk id="12" max="203" man="1"/>
    <brk id="15" max="203" man="1"/>
    <brk id="20" max="203" man="1"/>
    <brk id="25" max="203" man="1"/>
    <brk id="30" max="203" man="1"/>
  </colBreaks>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2000000}">
          <x14:formula1>
            <xm:f>'Do Not Use or Delete'!$H$2:$H$4</xm:f>
          </x14:formula1>
          <xm:sqref>E137:E270 E10:E112</xm:sqref>
        </x14:dataValidation>
        <x14:dataValidation type="list" allowBlank="1" showInputMessage="1" showErrorMessage="1" xr:uid="{00000000-0002-0000-0200-000003000000}">
          <x14:formula1>
            <xm:f>'Do Not Use or Delete'!$J$2:$J$3</xm:f>
          </x14:formula1>
          <xm:sqref>G137:G270 G10:G112</xm:sqref>
        </x14:dataValidation>
        <x14:dataValidation type="list" allowBlank="1" showInputMessage="1" showErrorMessage="1" xr:uid="{00000000-0002-0000-0200-000004000000}">
          <x14:formula1>
            <xm:f>'Do Not Use or Delete'!$G$2:$G$3</xm:f>
          </x14:formula1>
          <xm:sqref>D10:D112</xm:sqref>
        </x14:dataValidation>
        <x14:dataValidation type="list" allowBlank="1" showInputMessage="1" showErrorMessage="1" xr:uid="{00000000-0002-0000-0200-000005000000}">
          <x14:formula1>
            <xm:f>'Do Not Use or Delete'!$I$2:$I$6</xm:f>
          </x14:formula1>
          <xm:sqref>F137:F270 F10:F112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theme="5" tint="0.59999389629810485"/>
  </sheetPr>
  <dimension ref="A1:T209"/>
  <sheetViews>
    <sheetView topLeftCell="B1" zoomScale="86" workbookViewId="0">
      <selection activeCell="R1" sqref="R1"/>
    </sheetView>
  </sheetViews>
  <sheetFormatPr defaultColWidth="9.140625" defaultRowHeight="15.75"/>
  <cols>
    <col min="1" max="1" width="55" style="168" customWidth="1"/>
    <col min="2" max="2" width="53.5703125" style="168" bestFit="1" customWidth="1"/>
    <col min="3" max="3" width="18.7109375" style="168" customWidth="1"/>
    <col min="4" max="4" width="12.140625" style="168" customWidth="1"/>
    <col min="5" max="5" width="13.85546875" style="168" customWidth="1"/>
    <col min="6" max="6" width="11.7109375" style="168" customWidth="1"/>
    <col min="7" max="7" width="10.5703125" style="168" customWidth="1"/>
    <col min="8" max="8" width="12.140625" style="168" customWidth="1"/>
    <col min="9" max="9" width="15.85546875" style="168" customWidth="1"/>
    <col min="10" max="10" width="10.7109375" style="168" customWidth="1"/>
    <col min="11" max="11" width="13" style="168" customWidth="1"/>
    <col min="12" max="12" width="16" style="168" customWidth="1"/>
    <col min="13" max="13" width="10.7109375" style="168" customWidth="1"/>
    <col min="14" max="14" width="12.7109375" style="168" customWidth="1"/>
    <col min="15" max="15" width="13.7109375" style="168" customWidth="1"/>
    <col min="16" max="16" width="11.42578125" style="168" customWidth="1"/>
    <col min="17" max="17" width="14" style="168" customWidth="1"/>
    <col min="18" max="18" width="20.28515625" style="168" hidden="1" customWidth="1"/>
    <col min="19" max="19" width="12.85546875" style="168" hidden="1" customWidth="1"/>
    <col min="20" max="20" width="12.140625" style="168" hidden="1" customWidth="1"/>
    <col min="21" max="16384" width="9.140625" style="168"/>
  </cols>
  <sheetData>
    <row r="1" spans="1:20">
      <c r="A1" s="27" t="s">
        <v>232</v>
      </c>
      <c r="B1" s="28"/>
      <c r="C1" s="28"/>
      <c r="D1" s="28"/>
      <c r="E1" s="28"/>
      <c r="F1" s="28"/>
      <c r="G1" s="28"/>
      <c r="H1" s="28"/>
      <c r="I1" s="28"/>
      <c r="J1" s="28"/>
      <c r="K1" s="316"/>
      <c r="L1" s="28"/>
      <c r="M1" s="28"/>
      <c r="N1" s="28"/>
      <c r="O1" s="28"/>
      <c r="P1" s="28"/>
      <c r="Q1" s="28"/>
    </row>
    <row r="2" spans="1:20">
      <c r="A2" s="27"/>
      <c r="B2" s="28"/>
      <c r="C2" s="28"/>
      <c r="D2" s="316"/>
      <c r="E2" s="316"/>
      <c r="F2" s="28"/>
      <c r="G2" s="28"/>
      <c r="H2" s="28"/>
      <c r="I2" s="28"/>
      <c r="J2" s="316"/>
      <c r="K2" s="316"/>
      <c r="L2" s="28"/>
      <c r="M2" s="28"/>
      <c r="N2" s="28"/>
      <c r="O2" s="28"/>
      <c r="P2" s="28"/>
      <c r="Q2" s="28"/>
    </row>
    <row r="3" spans="1:20">
      <c r="A3" s="4" t="s">
        <v>78</v>
      </c>
      <c r="B3" s="28"/>
      <c r="C3" s="28"/>
      <c r="D3" s="28"/>
      <c r="E3" s="28"/>
      <c r="F3" s="28"/>
      <c r="G3" s="28"/>
      <c r="H3" s="28"/>
      <c r="I3" s="28"/>
      <c r="J3" s="28"/>
      <c r="K3" s="28"/>
      <c r="L3" s="28"/>
      <c r="M3" s="28"/>
      <c r="N3" s="28"/>
      <c r="O3" s="28"/>
      <c r="P3" s="28"/>
      <c r="Q3" s="28"/>
    </row>
    <row r="4" spans="1:20">
      <c r="A4" s="4" t="s">
        <v>79</v>
      </c>
      <c r="B4" s="28"/>
      <c r="C4" s="28"/>
      <c r="D4" s="28"/>
      <c r="E4" s="28"/>
      <c r="F4" s="28"/>
      <c r="G4" s="28"/>
      <c r="H4" s="28"/>
      <c r="I4" s="28"/>
      <c r="J4" s="28"/>
      <c r="K4" s="28"/>
      <c r="L4" s="28"/>
      <c r="M4" s="28"/>
      <c r="N4" s="28"/>
      <c r="O4" s="28"/>
      <c r="P4" s="28"/>
      <c r="Q4" s="28"/>
    </row>
    <row r="5" spans="1:20">
      <c r="A5" s="4"/>
      <c r="B5" s="28"/>
      <c r="C5" s="28"/>
      <c r="D5" s="28"/>
      <c r="E5" s="28"/>
      <c r="F5" s="28"/>
      <c r="G5" s="28"/>
      <c r="H5" s="28"/>
      <c r="I5" s="28"/>
      <c r="J5" s="28"/>
      <c r="K5" s="28"/>
      <c r="L5" s="28"/>
      <c r="M5" s="28"/>
      <c r="N5" s="28"/>
      <c r="O5" s="28"/>
      <c r="P5" s="28"/>
      <c r="Q5" s="28"/>
    </row>
    <row r="6" spans="1:20" ht="16.5" thickBot="1">
      <c r="A6" s="28"/>
      <c r="B6" s="28"/>
      <c r="C6" s="28"/>
      <c r="D6" s="28"/>
      <c r="E6" s="28"/>
      <c r="F6" s="28"/>
      <c r="G6" s="28"/>
      <c r="H6" s="28"/>
      <c r="I6" s="28"/>
      <c r="J6" s="28"/>
      <c r="K6" s="28"/>
      <c r="L6" s="28"/>
      <c r="M6" s="28"/>
      <c r="N6" s="28"/>
      <c r="O6" s="28"/>
      <c r="P6" s="28"/>
      <c r="Q6" s="28"/>
    </row>
    <row r="7" spans="1:20" ht="16.5" thickBot="1">
      <c r="A7" s="515" t="s">
        <v>233</v>
      </c>
      <c r="B7" s="516"/>
      <c r="C7" s="512" t="s">
        <v>82</v>
      </c>
      <c r="D7" s="513"/>
      <c r="E7" s="514"/>
      <c r="F7" s="512" t="s">
        <v>83</v>
      </c>
      <c r="G7" s="513"/>
      <c r="H7" s="514"/>
      <c r="I7" s="512" t="s">
        <v>84</v>
      </c>
      <c r="J7" s="513"/>
      <c r="K7" s="514"/>
      <c r="L7" s="512" t="s">
        <v>85</v>
      </c>
      <c r="M7" s="513"/>
      <c r="N7" s="514"/>
      <c r="O7" s="512" t="s">
        <v>86</v>
      </c>
      <c r="P7" s="513"/>
      <c r="Q7" s="514"/>
      <c r="R7" s="512" t="s">
        <v>87</v>
      </c>
      <c r="S7" s="513"/>
      <c r="T7" s="514"/>
    </row>
    <row r="8" spans="1:20" ht="16.5" thickBot="1">
      <c r="A8" s="169"/>
      <c r="B8" s="170" t="s">
        <v>114</v>
      </c>
      <c r="C8" s="151" t="s">
        <v>121</v>
      </c>
      <c r="D8" s="169" t="s">
        <v>122</v>
      </c>
      <c r="E8" s="169" t="s">
        <v>123</v>
      </c>
      <c r="F8" s="151" t="s">
        <v>126</v>
      </c>
      <c r="G8" s="169" t="s">
        <v>127</v>
      </c>
      <c r="H8" s="169" t="s">
        <v>128</v>
      </c>
      <c r="I8" s="151" t="s">
        <v>131</v>
      </c>
      <c r="J8" s="169" t="s">
        <v>132</v>
      </c>
      <c r="K8" s="169" t="s">
        <v>133</v>
      </c>
      <c r="L8" s="151" t="s">
        <v>136</v>
      </c>
      <c r="M8" s="169" t="s">
        <v>137</v>
      </c>
      <c r="N8" s="169" t="s">
        <v>138</v>
      </c>
      <c r="O8" s="151" t="s">
        <v>141</v>
      </c>
      <c r="P8" s="169" t="s">
        <v>142</v>
      </c>
      <c r="Q8" s="169" t="s">
        <v>143</v>
      </c>
      <c r="R8" s="151" t="s">
        <v>146</v>
      </c>
      <c r="S8" s="169" t="s">
        <v>147</v>
      </c>
      <c r="T8" s="169" t="s">
        <v>150</v>
      </c>
    </row>
    <row r="9" spans="1:20">
      <c r="A9" s="171" t="s">
        <v>234</v>
      </c>
      <c r="B9" s="172"/>
      <c r="C9" s="173"/>
      <c r="D9" s="174"/>
      <c r="E9" s="175"/>
      <c r="F9" s="173"/>
      <c r="G9" s="174"/>
      <c r="H9" s="175"/>
      <c r="I9" s="173"/>
      <c r="J9" s="174"/>
      <c r="K9" s="175"/>
      <c r="L9" s="173"/>
      <c r="M9" s="174"/>
      <c r="N9" s="175"/>
      <c r="O9" s="173"/>
      <c r="P9" s="174"/>
      <c r="Q9" s="175"/>
      <c r="R9" s="173"/>
      <c r="S9" s="174"/>
      <c r="T9" s="175"/>
    </row>
    <row r="10" spans="1:20">
      <c r="A10" s="176" t="s">
        <v>165</v>
      </c>
      <c r="B10" s="177"/>
      <c r="C10" s="315"/>
      <c r="D10" s="317"/>
      <c r="E10" s="179">
        <f>C10*D10</f>
        <v>0</v>
      </c>
      <c r="F10" s="315"/>
      <c r="G10" s="178"/>
      <c r="H10" s="179">
        <f>F10*G10</f>
        <v>0</v>
      </c>
      <c r="I10" s="315"/>
      <c r="J10" s="178"/>
      <c r="K10" s="179">
        <f>I10*J10</f>
        <v>0</v>
      </c>
      <c r="L10" s="315"/>
      <c r="M10" s="178"/>
      <c r="N10" s="179">
        <f>L10*M10</f>
        <v>0</v>
      </c>
      <c r="O10" s="315"/>
      <c r="P10" s="178"/>
      <c r="Q10" s="179">
        <f>O10*P10</f>
        <v>0</v>
      </c>
      <c r="R10" s="315"/>
      <c r="S10" s="178"/>
      <c r="T10" s="179">
        <f>R10*S10</f>
        <v>0</v>
      </c>
    </row>
    <row r="11" spans="1:20">
      <c r="A11" s="176" t="s">
        <v>165</v>
      </c>
      <c r="B11" s="177"/>
      <c r="C11" s="315"/>
      <c r="D11" s="317"/>
      <c r="E11" s="179">
        <f t="shared" ref="E11:E72" si="0">C11*D11</f>
        <v>0</v>
      </c>
      <c r="F11" s="315"/>
      <c r="G11" s="178"/>
      <c r="H11" s="179">
        <f t="shared" ref="H11:H72" si="1">F11*G11</f>
        <v>0</v>
      </c>
      <c r="I11" s="315"/>
      <c r="J11" s="178"/>
      <c r="K11" s="179">
        <f t="shared" ref="K11:K72" si="2">I11*J11</f>
        <v>0</v>
      </c>
      <c r="L11" s="315"/>
      <c r="M11" s="178"/>
      <c r="N11" s="179">
        <f t="shared" ref="N11:N72" si="3">IFERROR(L11*M11,0)</f>
        <v>0</v>
      </c>
      <c r="O11" s="315"/>
      <c r="P11" s="178"/>
      <c r="Q11" s="179">
        <f t="shared" ref="Q11:Q72" si="4">O11*P11</f>
        <v>0</v>
      </c>
      <c r="R11" s="315"/>
      <c r="S11" s="178"/>
      <c r="T11" s="179">
        <f t="shared" ref="T11:T72" si="5">R11*S11</f>
        <v>0</v>
      </c>
    </row>
    <row r="12" spans="1:20">
      <c r="A12" s="176" t="s">
        <v>165</v>
      </c>
      <c r="B12" s="177"/>
      <c r="C12" s="315"/>
      <c r="D12" s="317"/>
      <c r="E12" s="179">
        <f t="shared" si="0"/>
        <v>0</v>
      </c>
      <c r="F12" s="315"/>
      <c r="G12" s="178"/>
      <c r="H12" s="179">
        <f t="shared" si="1"/>
        <v>0</v>
      </c>
      <c r="I12" s="315"/>
      <c r="J12" s="178"/>
      <c r="K12" s="179">
        <f t="shared" si="2"/>
        <v>0</v>
      </c>
      <c r="L12" s="315"/>
      <c r="M12" s="178"/>
      <c r="N12" s="179">
        <f t="shared" si="3"/>
        <v>0</v>
      </c>
      <c r="O12" s="315"/>
      <c r="P12" s="178"/>
      <c r="Q12" s="179">
        <f t="shared" si="4"/>
        <v>0</v>
      </c>
      <c r="R12" s="315"/>
      <c r="S12" s="178"/>
      <c r="T12" s="179">
        <f t="shared" si="5"/>
        <v>0</v>
      </c>
    </row>
    <row r="13" spans="1:20">
      <c r="A13" s="176" t="s">
        <v>165</v>
      </c>
      <c r="B13" s="177"/>
      <c r="C13" s="315"/>
      <c r="D13" s="317"/>
      <c r="E13" s="179">
        <f t="shared" si="0"/>
        <v>0</v>
      </c>
      <c r="F13" s="315"/>
      <c r="G13" s="178"/>
      <c r="H13" s="179">
        <f t="shared" si="1"/>
        <v>0</v>
      </c>
      <c r="I13" s="315"/>
      <c r="J13" s="178"/>
      <c r="K13" s="179">
        <f t="shared" si="2"/>
        <v>0</v>
      </c>
      <c r="L13" s="315"/>
      <c r="M13" s="178"/>
      <c r="N13" s="179">
        <f t="shared" si="3"/>
        <v>0</v>
      </c>
      <c r="O13" s="315"/>
      <c r="P13" s="178"/>
      <c r="Q13" s="179">
        <f t="shared" si="4"/>
        <v>0</v>
      </c>
      <c r="R13" s="315"/>
      <c r="S13" s="178"/>
      <c r="T13" s="179">
        <f t="shared" si="5"/>
        <v>0</v>
      </c>
    </row>
    <row r="14" spans="1:20">
      <c r="A14" s="176" t="s">
        <v>165</v>
      </c>
      <c r="B14" s="177"/>
      <c r="C14" s="315"/>
      <c r="D14" s="317"/>
      <c r="E14" s="179">
        <f t="shared" si="0"/>
        <v>0</v>
      </c>
      <c r="F14" s="315"/>
      <c r="G14" s="178"/>
      <c r="H14" s="179">
        <f t="shared" si="1"/>
        <v>0</v>
      </c>
      <c r="I14" s="315"/>
      <c r="J14" s="178"/>
      <c r="K14" s="179">
        <f t="shared" si="2"/>
        <v>0</v>
      </c>
      <c r="L14" s="315"/>
      <c r="M14" s="178"/>
      <c r="N14" s="179">
        <f t="shared" si="3"/>
        <v>0</v>
      </c>
      <c r="O14" s="315"/>
      <c r="P14" s="178"/>
      <c r="Q14" s="179">
        <f t="shared" si="4"/>
        <v>0</v>
      </c>
      <c r="R14" s="315"/>
      <c r="S14" s="178"/>
      <c r="T14" s="179">
        <f t="shared" si="5"/>
        <v>0</v>
      </c>
    </row>
    <row r="15" spans="1:20" s="328" customFormat="1">
      <c r="A15" s="176" t="s">
        <v>165</v>
      </c>
      <c r="B15" s="323"/>
      <c r="C15" s="324"/>
      <c r="D15" s="325"/>
      <c r="E15" s="179">
        <f t="shared" si="0"/>
        <v>0</v>
      </c>
      <c r="F15" s="324"/>
      <c r="G15" s="327"/>
      <c r="H15" s="179">
        <f t="shared" si="1"/>
        <v>0</v>
      </c>
      <c r="I15" s="324"/>
      <c r="J15" s="327"/>
      <c r="K15" s="179">
        <f t="shared" si="2"/>
        <v>0</v>
      </c>
      <c r="L15" s="324"/>
      <c r="M15" s="327"/>
      <c r="N15" s="326">
        <f t="shared" si="3"/>
        <v>0</v>
      </c>
      <c r="O15" s="324"/>
      <c r="P15" s="327"/>
      <c r="Q15" s="179">
        <f t="shared" si="4"/>
        <v>0</v>
      </c>
      <c r="R15" s="324"/>
      <c r="S15" s="327"/>
      <c r="T15" s="179">
        <f t="shared" si="5"/>
        <v>0</v>
      </c>
    </row>
    <row r="16" spans="1:20" ht="27" customHeight="1">
      <c r="A16" s="176" t="s">
        <v>165</v>
      </c>
      <c r="B16" s="177"/>
      <c r="C16" s="315"/>
      <c r="D16" s="317"/>
      <c r="E16" s="179">
        <f t="shared" si="0"/>
        <v>0</v>
      </c>
      <c r="F16" s="315"/>
      <c r="G16" s="178"/>
      <c r="H16" s="179">
        <f t="shared" si="1"/>
        <v>0</v>
      </c>
      <c r="I16" s="315"/>
      <c r="J16" s="178"/>
      <c r="K16" s="179">
        <f t="shared" si="2"/>
        <v>0</v>
      </c>
      <c r="L16" s="315"/>
      <c r="M16" s="178"/>
      <c r="N16" s="179">
        <f t="shared" si="3"/>
        <v>0</v>
      </c>
      <c r="O16" s="315"/>
      <c r="P16" s="178"/>
      <c r="Q16" s="179">
        <f t="shared" si="4"/>
        <v>0</v>
      </c>
      <c r="R16" s="315"/>
      <c r="S16" s="178"/>
      <c r="T16" s="179">
        <f t="shared" si="5"/>
        <v>0</v>
      </c>
    </row>
    <row r="17" spans="1:20">
      <c r="A17" s="176" t="s">
        <v>165</v>
      </c>
      <c r="B17" s="177"/>
      <c r="C17" s="315"/>
      <c r="D17" s="317"/>
      <c r="E17" s="179">
        <f t="shared" si="0"/>
        <v>0</v>
      </c>
      <c r="F17" s="315"/>
      <c r="G17" s="178"/>
      <c r="H17" s="179">
        <f t="shared" si="1"/>
        <v>0</v>
      </c>
      <c r="I17" s="315"/>
      <c r="J17" s="178"/>
      <c r="K17" s="179">
        <f t="shared" si="2"/>
        <v>0</v>
      </c>
      <c r="L17" s="315"/>
      <c r="M17" s="178"/>
      <c r="N17" s="179">
        <f t="shared" si="3"/>
        <v>0</v>
      </c>
      <c r="O17" s="315"/>
      <c r="P17" s="178"/>
      <c r="Q17" s="179">
        <f t="shared" si="4"/>
        <v>0</v>
      </c>
      <c r="R17" s="315"/>
      <c r="S17" s="178"/>
      <c r="T17" s="179">
        <f t="shared" si="5"/>
        <v>0</v>
      </c>
    </row>
    <row r="18" spans="1:20">
      <c r="A18" s="176" t="s">
        <v>165</v>
      </c>
      <c r="B18" s="177"/>
      <c r="C18" s="315"/>
      <c r="D18" s="317"/>
      <c r="E18" s="179">
        <f t="shared" si="0"/>
        <v>0</v>
      </c>
      <c r="F18" s="315"/>
      <c r="G18" s="178"/>
      <c r="H18" s="179">
        <f t="shared" si="1"/>
        <v>0</v>
      </c>
      <c r="I18" s="315"/>
      <c r="J18" s="178"/>
      <c r="K18" s="179">
        <f t="shared" si="2"/>
        <v>0</v>
      </c>
      <c r="L18" s="315"/>
      <c r="M18" s="178"/>
      <c r="N18" s="179">
        <f t="shared" si="3"/>
        <v>0</v>
      </c>
      <c r="O18" s="315"/>
      <c r="P18" s="178"/>
      <c r="Q18" s="179">
        <f t="shared" si="4"/>
        <v>0</v>
      </c>
      <c r="R18" s="315"/>
      <c r="S18" s="178"/>
      <c r="T18" s="179">
        <f t="shared" si="5"/>
        <v>0</v>
      </c>
    </row>
    <row r="19" spans="1:20">
      <c r="A19" s="176" t="s">
        <v>165</v>
      </c>
      <c r="B19" s="177"/>
      <c r="C19" s="315"/>
      <c r="D19" s="317"/>
      <c r="E19" s="179">
        <f t="shared" si="0"/>
        <v>0</v>
      </c>
      <c r="F19" s="315"/>
      <c r="G19" s="178"/>
      <c r="H19" s="179">
        <f t="shared" si="1"/>
        <v>0</v>
      </c>
      <c r="I19" s="315"/>
      <c r="J19" s="178"/>
      <c r="K19" s="179">
        <f t="shared" si="2"/>
        <v>0</v>
      </c>
      <c r="L19" s="315"/>
      <c r="M19" s="178"/>
      <c r="N19" s="179">
        <f t="shared" si="3"/>
        <v>0</v>
      </c>
      <c r="O19" s="315"/>
      <c r="P19" s="178"/>
      <c r="Q19" s="179">
        <f t="shared" si="4"/>
        <v>0</v>
      </c>
      <c r="R19" s="315"/>
      <c r="S19" s="178"/>
      <c r="T19" s="179">
        <f t="shared" si="5"/>
        <v>0</v>
      </c>
    </row>
    <row r="20" spans="1:20">
      <c r="A20" s="176" t="s">
        <v>165</v>
      </c>
      <c r="B20" s="177"/>
      <c r="C20" s="315"/>
      <c r="D20" s="317"/>
      <c r="E20" s="179">
        <f t="shared" si="0"/>
        <v>0</v>
      </c>
      <c r="F20" s="315"/>
      <c r="G20" s="178"/>
      <c r="H20" s="179">
        <f t="shared" si="1"/>
        <v>0</v>
      </c>
      <c r="I20" s="315"/>
      <c r="J20" s="178"/>
      <c r="K20" s="179">
        <f t="shared" si="2"/>
        <v>0</v>
      </c>
      <c r="L20" s="315"/>
      <c r="M20" s="178"/>
      <c r="N20" s="179">
        <f t="shared" si="3"/>
        <v>0</v>
      </c>
      <c r="O20" s="315"/>
      <c r="P20" s="178"/>
      <c r="Q20" s="179">
        <f t="shared" si="4"/>
        <v>0</v>
      </c>
      <c r="R20" s="315"/>
      <c r="S20" s="178"/>
      <c r="T20" s="179">
        <f t="shared" si="5"/>
        <v>0</v>
      </c>
    </row>
    <row r="21" spans="1:20" s="328" customFormat="1">
      <c r="A21" s="176" t="s">
        <v>165</v>
      </c>
      <c r="B21" s="323"/>
      <c r="C21" s="324"/>
      <c r="D21" s="325"/>
      <c r="E21" s="179">
        <f t="shared" si="0"/>
        <v>0</v>
      </c>
      <c r="F21" s="324"/>
      <c r="G21" s="327"/>
      <c r="H21" s="179">
        <f t="shared" si="1"/>
        <v>0</v>
      </c>
      <c r="I21" s="324"/>
      <c r="J21" s="327"/>
      <c r="K21" s="179">
        <f t="shared" si="2"/>
        <v>0</v>
      </c>
      <c r="L21" s="324"/>
      <c r="M21" s="327"/>
      <c r="N21" s="326">
        <f t="shared" si="3"/>
        <v>0</v>
      </c>
      <c r="O21" s="324"/>
      <c r="P21" s="327"/>
      <c r="Q21" s="179">
        <f t="shared" si="4"/>
        <v>0</v>
      </c>
      <c r="R21" s="324"/>
      <c r="S21" s="327"/>
      <c r="T21" s="179">
        <f t="shared" si="5"/>
        <v>0</v>
      </c>
    </row>
    <row r="22" spans="1:20">
      <c r="A22" s="176" t="s">
        <v>165</v>
      </c>
      <c r="B22" s="177"/>
      <c r="C22" s="315"/>
      <c r="D22" s="317"/>
      <c r="E22" s="179">
        <f t="shared" si="0"/>
        <v>0</v>
      </c>
      <c r="F22" s="315"/>
      <c r="G22" s="178"/>
      <c r="H22" s="179">
        <f t="shared" si="1"/>
        <v>0</v>
      </c>
      <c r="I22" s="315"/>
      <c r="J22" s="178"/>
      <c r="K22" s="179">
        <f t="shared" si="2"/>
        <v>0</v>
      </c>
      <c r="L22" s="315"/>
      <c r="M22" s="178"/>
      <c r="N22" s="179">
        <f t="shared" si="3"/>
        <v>0</v>
      </c>
      <c r="O22" s="315"/>
      <c r="P22" s="178"/>
      <c r="Q22" s="179">
        <f t="shared" si="4"/>
        <v>0</v>
      </c>
      <c r="R22" s="315"/>
      <c r="S22" s="178"/>
      <c r="T22" s="179">
        <f t="shared" si="5"/>
        <v>0</v>
      </c>
    </row>
    <row r="23" spans="1:20">
      <c r="A23" s="176" t="s">
        <v>165</v>
      </c>
      <c r="B23" s="177"/>
      <c r="C23" s="315"/>
      <c r="D23" s="317"/>
      <c r="E23" s="179">
        <f t="shared" si="0"/>
        <v>0</v>
      </c>
      <c r="F23" s="315"/>
      <c r="G23" s="178"/>
      <c r="H23" s="179">
        <f t="shared" si="1"/>
        <v>0</v>
      </c>
      <c r="I23" s="315"/>
      <c r="J23" s="178"/>
      <c r="K23" s="179">
        <f t="shared" si="2"/>
        <v>0</v>
      </c>
      <c r="L23" s="315"/>
      <c r="M23" s="178"/>
      <c r="N23" s="179">
        <f t="shared" si="3"/>
        <v>0</v>
      </c>
      <c r="O23" s="315"/>
      <c r="P23" s="178"/>
      <c r="Q23" s="179">
        <f t="shared" si="4"/>
        <v>0</v>
      </c>
      <c r="R23" s="315"/>
      <c r="S23" s="178"/>
      <c r="T23" s="179">
        <f t="shared" si="5"/>
        <v>0</v>
      </c>
    </row>
    <row r="24" spans="1:20">
      <c r="A24" s="176" t="s">
        <v>165</v>
      </c>
      <c r="B24" s="177"/>
      <c r="C24" s="315"/>
      <c r="D24" s="317"/>
      <c r="E24" s="179">
        <f t="shared" si="0"/>
        <v>0</v>
      </c>
      <c r="F24" s="315"/>
      <c r="G24" s="178"/>
      <c r="H24" s="179">
        <f t="shared" si="1"/>
        <v>0</v>
      </c>
      <c r="I24" s="315"/>
      <c r="J24" s="178"/>
      <c r="K24" s="179">
        <f t="shared" si="2"/>
        <v>0</v>
      </c>
      <c r="L24" s="315"/>
      <c r="M24" s="178"/>
      <c r="N24" s="179">
        <f t="shared" si="3"/>
        <v>0</v>
      </c>
      <c r="O24" s="315"/>
      <c r="P24" s="178"/>
      <c r="Q24" s="179">
        <f t="shared" si="4"/>
        <v>0</v>
      </c>
      <c r="R24" s="315"/>
      <c r="S24" s="178"/>
      <c r="T24" s="179">
        <f t="shared" si="5"/>
        <v>0</v>
      </c>
    </row>
    <row r="25" spans="1:20">
      <c r="A25" s="176" t="s">
        <v>165</v>
      </c>
      <c r="B25" s="177"/>
      <c r="C25" s="315"/>
      <c r="D25" s="317"/>
      <c r="E25" s="179">
        <f t="shared" si="0"/>
        <v>0</v>
      </c>
      <c r="F25" s="315"/>
      <c r="G25" s="178"/>
      <c r="H25" s="179">
        <f t="shared" si="1"/>
        <v>0</v>
      </c>
      <c r="I25" s="315"/>
      <c r="J25" s="178"/>
      <c r="K25" s="179">
        <f t="shared" si="2"/>
        <v>0</v>
      </c>
      <c r="L25" s="315"/>
      <c r="M25" s="178"/>
      <c r="N25" s="179">
        <f t="shared" si="3"/>
        <v>0</v>
      </c>
      <c r="O25" s="315"/>
      <c r="P25" s="178"/>
      <c r="Q25" s="179">
        <f t="shared" si="4"/>
        <v>0</v>
      </c>
      <c r="R25" s="315"/>
      <c r="S25" s="178"/>
      <c r="T25" s="179">
        <f t="shared" si="5"/>
        <v>0</v>
      </c>
    </row>
    <row r="26" spans="1:20">
      <c r="A26" s="176" t="s">
        <v>165</v>
      </c>
      <c r="B26" s="177"/>
      <c r="C26" s="315"/>
      <c r="D26" s="317"/>
      <c r="E26" s="179">
        <f t="shared" si="0"/>
        <v>0</v>
      </c>
      <c r="F26" s="315"/>
      <c r="G26" s="178"/>
      <c r="H26" s="179">
        <f t="shared" si="1"/>
        <v>0</v>
      </c>
      <c r="I26" s="315"/>
      <c r="J26" s="178"/>
      <c r="K26" s="179">
        <f t="shared" si="2"/>
        <v>0</v>
      </c>
      <c r="L26" s="315"/>
      <c r="M26" s="178"/>
      <c r="N26" s="179">
        <f t="shared" si="3"/>
        <v>0</v>
      </c>
      <c r="O26" s="315"/>
      <c r="P26" s="178"/>
      <c r="Q26" s="179">
        <f t="shared" si="4"/>
        <v>0</v>
      </c>
      <c r="R26" s="315"/>
      <c r="S26" s="178"/>
      <c r="T26" s="179">
        <f t="shared" si="5"/>
        <v>0</v>
      </c>
    </row>
    <row r="27" spans="1:20">
      <c r="A27" s="176" t="s">
        <v>165</v>
      </c>
      <c r="B27" s="177"/>
      <c r="C27" s="315"/>
      <c r="D27" s="317"/>
      <c r="E27" s="179">
        <f t="shared" si="0"/>
        <v>0</v>
      </c>
      <c r="F27" s="315"/>
      <c r="G27" s="178"/>
      <c r="H27" s="179">
        <f t="shared" si="1"/>
        <v>0</v>
      </c>
      <c r="I27" s="315"/>
      <c r="J27" s="178"/>
      <c r="K27" s="179">
        <f t="shared" si="2"/>
        <v>0</v>
      </c>
      <c r="L27" s="315"/>
      <c r="M27" s="178"/>
      <c r="N27" s="179">
        <f t="shared" si="3"/>
        <v>0</v>
      </c>
      <c r="O27" s="315"/>
      <c r="P27" s="178"/>
      <c r="Q27" s="179">
        <f t="shared" si="4"/>
        <v>0</v>
      </c>
      <c r="R27" s="315"/>
      <c r="S27" s="178"/>
      <c r="T27" s="179">
        <f t="shared" si="5"/>
        <v>0</v>
      </c>
    </row>
    <row r="28" spans="1:20">
      <c r="A28" s="176" t="s">
        <v>165</v>
      </c>
      <c r="B28" s="177"/>
      <c r="C28" s="315"/>
      <c r="D28" s="317"/>
      <c r="E28" s="179">
        <f t="shared" si="0"/>
        <v>0</v>
      </c>
      <c r="F28" s="315"/>
      <c r="G28" s="178"/>
      <c r="H28" s="179">
        <f t="shared" si="1"/>
        <v>0</v>
      </c>
      <c r="I28" s="315"/>
      <c r="J28" s="178"/>
      <c r="K28" s="179">
        <f t="shared" si="2"/>
        <v>0</v>
      </c>
      <c r="L28" s="315"/>
      <c r="M28" s="178"/>
      <c r="N28" s="179">
        <f t="shared" si="3"/>
        <v>0</v>
      </c>
      <c r="O28" s="315"/>
      <c r="P28" s="178"/>
      <c r="Q28" s="179">
        <f t="shared" si="4"/>
        <v>0</v>
      </c>
      <c r="R28" s="315"/>
      <c r="S28" s="178"/>
      <c r="T28" s="179">
        <f t="shared" si="5"/>
        <v>0</v>
      </c>
    </row>
    <row r="29" spans="1:20">
      <c r="A29" s="176" t="s">
        <v>165</v>
      </c>
      <c r="B29" s="177"/>
      <c r="C29" s="315"/>
      <c r="D29" s="317"/>
      <c r="E29" s="179">
        <f t="shared" si="0"/>
        <v>0</v>
      </c>
      <c r="F29" s="315"/>
      <c r="G29" s="178"/>
      <c r="H29" s="179">
        <f t="shared" si="1"/>
        <v>0</v>
      </c>
      <c r="I29" s="315"/>
      <c r="J29" s="178"/>
      <c r="K29" s="179">
        <f t="shared" si="2"/>
        <v>0</v>
      </c>
      <c r="L29" s="315"/>
      <c r="M29" s="178"/>
      <c r="N29" s="179">
        <f t="shared" si="3"/>
        <v>0</v>
      </c>
      <c r="O29" s="315"/>
      <c r="P29" s="178"/>
      <c r="Q29" s="179">
        <f t="shared" si="4"/>
        <v>0</v>
      </c>
      <c r="R29" s="315"/>
      <c r="S29" s="178"/>
      <c r="T29" s="179">
        <f t="shared" si="5"/>
        <v>0</v>
      </c>
    </row>
    <row r="30" spans="1:20">
      <c r="A30" s="176" t="s">
        <v>165</v>
      </c>
      <c r="B30" s="177"/>
      <c r="C30" s="315"/>
      <c r="D30" s="317"/>
      <c r="E30" s="179">
        <f t="shared" si="0"/>
        <v>0</v>
      </c>
      <c r="F30" s="315"/>
      <c r="G30" s="178"/>
      <c r="H30" s="179">
        <f t="shared" si="1"/>
        <v>0</v>
      </c>
      <c r="I30" s="315"/>
      <c r="J30" s="178"/>
      <c r="K30" s="179">
        <f t="shared" si="2"/>
        <v>0</v>
      </c>
      <c r="L30" s="315"/>
      <c r="M30" s="178"/>
      <c r="N30" s="179">
        <f t="shared" si="3"/>
        <v>0</v>
      </c>
      <c r="O30" s="315"/>
      <c r="P30" s="178"/>
      <c r="Q30" s="179">
        <f t="shared" si="4"/>
        <v>0</v>
      </c>
      <c r="R30" s="315"/>
      <c r="S30" s="178"/>
      <c r="T30" s="179">
        <f t="shared" si="5"/>
        <v>0</v>
      </c>
    </row>
    <row r="31" spans="1:20">
      <c r="A31" s="176" t="s">
        <v>165</v>
      </c>
      <c r="B31" s="177"/>
      <c r="C31" s="315"/>
      <c r="D31" s="317"/>
      <c r="E31" s="179">
        <f t="shared" si="0"/>
        <v>0</v>
      </c>
      <c r="F31" s="315"/>
      <c r="G31" s="178"/>
      <c r="H31" s="179">
        <f t="shared" si="1"/>
        <v>0</v>
      </c>
      <c r="I31" s="315"/>
      <c r="J31" s="178"/>
      <c r="K31" s="179">
        <f t="shared" si="2"/>
        <v>0</v>
      </c>
      <c r="L31" s="315"/>
      <c r="M31" s="178"/>
      <c r="N31" s="179">
        <f t="shared" si="3"/>
        <v>0</v>
      </c>
      <c r="O31" s="315"/>
      <c r="P31" s="178"/>
      <c r="Q31" s="179">
        <f t="shared" si="4"/>
        <v>0</v>
      </c>
      <c r="R31" s="315"/>
      <c r="S31" s="178"/>
      <c r="T31" s="179">
        <f t="shared" si="5"/>
        <v>0</v>
      </c>
    </row>
    <row r="32" spans="1:20">
      <c r="A32" s="176" t="s">
        <v>165</v>
      </c>
      <c r="B32" s="177"/>
      <c r="C32" s="315"/>
      <c r="D32" s="317"/>
      <c r="E32" s="179">
        <f t="shared" si="0"/>
        <v>0</v>
      </c>
      <c r="F32" s="315"/>
      <c r="G32" s="178"/>
      <c r="H32" s="179">
        <f t="shared" si="1"/>
        <v>0</v>
      </c>
      <c r="I32" s="315"/>
      <c r="J32" s="178"/>
      <c r="K32" s="179">
        <f t="shared" si="2"/>
        <v>0</v>
      </c>
      <c r="L32" s="315"/>
      <c r="M32" s="178"/>
      <c r="N32" s="179">
        <f t="shared" si="3"/>
        <v>0</v>
      </c>
      <c r="O32" s="315"/>
      <c r="P32" s="178"/>
      <c r="Q32" s="179">
        <f t="shared" si="4"/>
        <v>0</v>
      </c>
      <c r="R32" s="315"/>
      <c r="S32" s="178"/>
      <c r="T32" s="179">
        <f t="shared" si="5"/>
        <v>0</v>
      </c>
    </row>
    <row r="33" spans="1:20">
      <c r="A33" s="176" t="s">
        <v>165</v>
      </c>
      <c r="B33" s="177"/>
      <c r="C33" s="315"/>
      <c r="D33" s="317"/>
      <c r="E33" s="179">
        <f t="shared" si="0"/>
        <v>0</v>
      </c>
      <c r="F33" s="315"/>
      <c r="G33" s="178"/>
      <c r="H33" s="179">
        <f t="shared" si="1"/>
        <v>0</v>
      </c>
      <c r="I33" s="315"/>
      <c r="J33" s="178"/>
      <c r="K33" s="179">
        <f t="shared" si="2"/>
        <v>0</v>
      </c>
      <c r="L33" s="315"/>
      <c r="M33" s="178"/>
      <c r="N33" s="179">
        <f t="shared" si="3"/>
        <v>0</v>
      </c>
      <c r="O33" s="315"/>
      <c r="P33" s="178"/>
      <c r="Q33" s="179">
        <f t="shared" si="4"/>
        <v>0</v>
      </c>
      <c r="R33" s="315"/>
      <c r="S33" s="178"/>
      <c r="T33" s="179">
        <f t="shared" si="5"/>
        <v>0</v>
      </c>
    </row>
    <row r="34" spans="1:20">
      <c r="A34" s="176" t="s">
        <v>165</v>
      </c>
      <c r="B34" s="177"/>
      <c r="C34" s="315"/>
      <c r="D34" s="317"/>
      <c r="E34" s="179">
        <f t="shared" si="0"/>
        <v>0</v>
      </c>
      <c r="F34" s="315"/>
      <c r="G34" s="178"/>
      <c r="H34" s="179">
        <f t="shared" si="1"/>
        <v>0</v>
      </c>
      <c r="I34" s="315"/>
      <c r="J34" s="178"/>
      <c r="K34" s="179">
        <f t="shared" si="2"/>
        <v>0</v>
      </c>
      <c r="L34" s="315"/>
      <c r="M34" s="178"/>
      <c r="N34" s="179">
        <f t="shared" si="3"/>
        <v>0</v>
      </c>
      <c r="O34" s="315"/>
      <c r="P34" s="178"/>
      <c r="Q34" s="179">
        <f t="shared" si="4"/>
        <v>0</v>
      </c>
      <c r="R34" s="315"/>
      <c r="S34" s="178"/>
      <c r="T34" s="179">
        <f t="shared" si="5"/>
        <v>0</v>
      </c>
    </row>
    <row r="35" spans="1:20">
      <c r="A35" s="176" t="s">
        <v>165</v>
      </c>
      <c r="B35" s="177"/>
      <c r="C35" s="315"/>
      <c r="D35" s="317"/>
      <c r="E35" s="179">
        <f t="shared" si="0"/>
        <v>0</v>
      </c>
      <c r="F35" s="315"/>
      <c r="G35" s="178"/>
      <c r="H35" s="179">
        <f t="shared" si="1"/>
        <v>0</v>
      </c>
      <c r="I35" s="315"/>
      <c r="J35" s="178"/>
      <c r="K35" s="179">
        <f t="shared" si="2"/>
        <v>0</v>
      </c>
      <c r="L35" s="315"/>
      <c r="M35" s="178"/>
      <c r="N35" s="179">
        <f t="shared" si="3"/>
        <v>0</v>
      </c>
      <c r="O35" s="315"/>
      <c r="P35" s="178"/>
      <c r="Q35" s="179">
        <f t="shared" si="4"/>
        <v>0</v>
      </c>
      <c r="R35" s="315"/>
      <c r="S35" s="178"/>
      <c r="T35" s="179">
        <f t="shared" si="5"/>
        <v>0</v>
      </c>
    </row>
    <row r="36" spans="1:20">
      <c r="A36" s="176" t="s">
        <v>165</v>
      </c>
      <c r="B36" s="177"/>
      <c r="C36" s="315"/>
      <c r="D36" s="317"/>
      <c r="E36" s="179">
        <f t="shared" si="0"/>
        <v>0</v>
      </c>
      <c r="F36" s="315"/>
      <c r="G36" s="178"/>
      <c r="H36" s="179">
        <f t="shared" si="1"/>
        <v>0</v>
      </c>
      <c r="I36" s="315"/>
      <c r="J36" s="178"/>
      <c r="K36" s="179">
        <f t="shared" si="2"/>
        <v>0</v>
      </c>
      <c r="L36" s="315"/>
      <c r="M36" s="178"/>
      <c r="N36" s="179">
        <f t="shared" si="3"/>
        <v>0</v>
      </c>
      <c r="O36" s="315"/>
      <c r="P36" s="178"/>
      <c r="Q36" s="179">
        <f t="shared" si="4"/>
        <v>0</v>
      </c>
      <c r="R36" s="315"/>
      <c r="S36" s="178"/>
      <c r="T36" s="179">
        <f t="shared" si="5"/>
        <v>0</v>
      </c>
    </row>
    <row r="37" spans="1:20">
      <c r="A37" s="176" t="s">
        <v>165</v>
      </c>
      <c r="B37" s="177"/>
      <c r="C37" s="315"/>
      <c r="D37" s="317"/>
      <c r="E37" s="179">
        <f t="shared" si="0"/>
        <v>0</v>
      </c>
      <c r="F37" s="315"/>
      <c r="G37" s="178"/>
      <c r="H37" s="179">
        <f t="shared" si="1"/>
        <v>0</v>
      </c>
      <c r="I37" s="315"/>
      <c r="J37" s="178"/>
      <c r="K37" s="179">
        <f t="shared" si="2"/>
        <v>0</v>
      </c>
      <c r="L37" s="315"/>
      <c r="M37" s="178"/>
      <c r="N37" s="179">
        <f t="shared" si="3"/>
        <v>0</v>
      </c>
      <c r="O37" s="315"/>
      <c r="P37" s="178"/>
      <c r="Q37" s="179">
        <f t="shared" si="4"/>
        <v>0</v>
      </c>
      <c r="R37" s="315"/>
      <c r="S37" s="178"/>
      <c r="T37" s="179">
        <f t="shared" si="5"/>
        <v>0</v>
      </c>
    </row>
    <row r="38" spans="1:20">
      <c r="A38" s="176" t="s">
        <v>165</v>
      </c>
      <c r="B38" s="177"/>
      <c r="C38" s="315"/>
      <c r="D38" s="317"/>
      <c r="E38" s="179">
        <f t="shared" si="0"/>
        <v>0</v>
      </c>
      <c r="F38" s="315"/>
      <c r="G38" s="178"/>
      <c r="H38" s="179">
        <f t="shared" si="1"/>
        <v>0</v>
      </c>
      <c r="I38" s="315"/>
      <c r="J38" s="178"/>
      <c r="K38" s="179">
        <f t="shared" si="2"/>
        <v>0</v>
      </c>
      <c r="L38" s="315"/>
      <c r="M38" s="178"/>
      <c r="N38" s="179">
        <f t="shared" si="3"/>
        <v>0</v>
      </c>
      <c r="O38" s="315"/>
      <c r="P38" s="178"/>
      <c r="Q38" s="179">
        <f t="shared" si="4"/>
        <v>0</v>
      </c>
      <c r="R38" s="315"/>
      <c r="S38" s="178"/>
      <c r="T38" s="179">
        <f t="shared" si="5"/>
        <v>0</v>
      </c>
    </row>
    <row r="39" spans="1:20">
      <c r="A39" s="176" t="s">
        <v>165</v>
      </c>
      <c r="B39" s="177"/>
      <c r="C39" s="315"/>
      <c r="D39" s="317"/>
      <c r="E39" s="179">
        <f t="shared" si="0"/>
        <v>0</v>
      </c>
      <c r="F39" s="315"/>
      <c r="G39" s="178"/>
      <c r="H39" s="179">
        <f t="shared" si="1"/>
        <v>0</v>
      </c>
      <c r="I39" s="315"/>
      <c r="J39" s="178"/>
      <c r="K39" s="179">
        <f t="shared" si="2"/>
        <v>0</v>
      </c>
      <c r="L39" s="315"/>
      <c r="M39" s="178"/>
      <c r="N39" s="179">
        <f t="shared" si="3"/>
        <v>0</v>
      </c>
      <c r="O39" s="315"/>
      <c r="P39" s="178"/>
      <c r="Q39" s="179">
        <f t="shared" si="4"/>
        <v>0</v>
      </c>
      <c r="R39" s="315"/>
      <c r="S39" s="178"/>
      <c r="T39" s="179">
        <f t="shared" si="5"/>
        <v>0</v>
      </c>
    </row>
    <row r="40" spans="1:20">
      <c r="A40" s="176" t="s">
        <v>165</v>
      </c>
      <c r="B40" s="177"/>
      <c r="C40" s="315"/>
      <c r="D40" s="317"/>
      <c r="E40" s="179">
        <f t="shared" si="0"/>
        <v>0</v>
      </c>
      <c r="F40" s="315"/>
      <c r="G40" s="178"/>
      <c r="H40" s="179">
        <f t="shared" si="1"/>
        <v>0</v>
      </c>
      <c r="I40" s="315"/>
      <c r="J40" s="178"/>
      <c r="K40" s="179">
        <f t="shared" si="2"/>
        <v>0</v>
      </c>
      <c r="L40" s="315"/>
      <c r="M40" s="178"/>
      <c r="N40" s="179">
        <f t="shared" si="3"/>
        <v>0</v>
      </c>
      <c r="O40" s="315"/>
      <c r="P40" s="178"/>
      <c r="Q40" s="179">
        <f t="shared" si="4"/>
        <v>0</v>
      </c>
      <c r="R40" s="315"/>
      <c r="S40" s="178"/>
      <c r="T40" s="179">
        <f t="shared" si="5"/>
        <v>0</v>
      </c>
    </row>
    <row r="41" spans="1:20">
      <c r="A41" s="176" t="s">
        <v>165</v>
      </c>
      <c r="B41" s="177"/>
      <c r="C41" s="315"/>
      <c r="D41" s="317"/>
      <c r="E41" s="179">
        <f t="shared" si="0"/>
        <v>0</v>
      </c>
      <c r="F41" s="315"/>
      <c r="G41" s="178"/>
      <c r="H41" s="179">
        <f t="shared" si="1"/>
        <v>0</v>
      </c>
      <c r="I41" s="315"/>
      <c r="J41" s="178"/>
      <c r="K41" s="179">
        <f t="shared" si="2"/>
        <v>0</v>
      </c>
      <c r="L41" s="315"/>
      <c r="M41" s="178"/>
      <c r="N41" s="179">
        <f t="shared" si="3"/>
        <v>0</v>
      </c>
      <c r="O41" s="315"/>
      <c r="P41" s="178"/>
      <c r="Q41" s="179">
        <f t="shared" si="4"/>
        <v>0</v>
      </c>
      <c r="R41" s="315"/>
      <c r="S41" s="178"/>
      <c r="T41" s="179">
        <f t="shared" si="5"/>
        <v>0</v>
      </c>
    </row>
    <row r="42" spans="1:20">
      <c r="A42" s="176" t="s">
        <v>165</v>
      </c>
      <c r="B42" s="177"/>
      <c r="C42" s="315"/>
      <c r="D42" s="317"/>
      <c r="E42" s="179">
        <f t="shared" si="0"/>
        <v>0</v>
      </c>
      <c r="F42" s="315"/>
      <c r="G42" s="178"/>
      <c r="H42" s="179">
        <f t="shared" si="1"/>
        <v>0</v>
      </c>
      <c r="I42" s="315"/>
      <c r="J42" s="178"/>
      <c r="K42" s="179">
        <f t="shared" si="2"/>
        <v>0</v>
      </c>
      <c r="L42" s="315"/>
      <c r="M42" s="178"/>
      <c r="N42" s="179">
        <f t="shared" si="3"/>
        <v>0</v>
      </c>
      <c r="O42" s="315"/>
      <c r="P42" s="178"/>
      <c r="Q42" s="179">
        <f t="shared" si="4"/>
        <v>0</v>
      </c>
      <c r="R42" s="315"/>
      <c r="S42" s="178"/>
      <c r="T42" s="179">
        <f t="shared" si="5"/>
        <v>0</v>
      </c>
    </row>
    <row r="43" spans="1:20">
      <c r="A43" s="176" t="s">
        <v>165</v>
      </c>
      <c r="B43" s="177"/>
      <c r="C43" s="315"/>
      <c r="D43" s="317"/>
      <c r="E43" s="179">
        <f t="shared" si="0"/>
        <v>0</v>
      </c>
      <c r="F43" s="315"/>
      <c r="G43" s="178"/>
      <c r="H43" s="179">
        <f t="shared" si="1"/>
        <v>0</v>
      </c>
      <c r="I43" s="315"/>
      <c r="J43" s="178"/>
      <c r="K43" s="179">
        <f t="shared" si="2"/>
        <v>0</v>
      </c>
      <c r="L43" s="315"/>
      <c r="M43" s="178"/>
      <c r="N43" s="179">
        <f t="shared" si="3"/>
        <v>0</v>
      </c>
      <c r="O43" s="315"/>
      <c r="P43" s="178"/>
      <c r="Q43" s="179">
        <f t="shared" si="4"/>
        <v>0</v>
      </c>
      <c r="R43" s="315"/>
      <c r="S43" s="178"/>
      <c r="T43" s="179">
        <f t="shared" si="5"/>
        <v>0</v>
      </c>
    </row>
    <row r="44" spans="1:20">
      <c r="A44" s="176" t="s">
        <v>165</v>
      </c>
      <c r="B44" s="177"/>
      <c r="C44" s="315"/>
      <c r="D44" s="317"/>
      <c r="E44" s="179">
        <f t="shared" si="0"/>
        <v>0</v>
      </c>
      <c r="F44" s="315"/>
      <c r="G44" s="178"/>
      <c r="H44" s="179">
        <f t="shared" si="1"/>
        <v>0</v>
      </c>
      <c r="I44" s="315"/>
      <c r="J44" s="178"/>
      <c r="K44" s="179">
        <f t="shared" si="2"/>
        <v>0</v>
      </c>
      <c r="L44" s="315"/>
      <c r="M44" s="178"/>
      <c r="N44" s="179">
        <f t="shared" si="3"/>
        <v>0</v>
      </c>
      <c r="O44" s="315"/>
      <c r="P44" s="178"/>
      <c r="Q44" s="179">
        <f t="shared" si="4"/>
        <v>0</v>
      </c>
      <c r="R44" s="315"/>
      <c r="S44" s="178"/>
      <c r="T44" s="179">
        <f t="shared" si="5"/>
        <v>0</v>
      </c>
    </row>
    <row r="45" spans="1:20">
      <c r="A45" s="176" t="s">
        <v>165</v>
      </c>
      <c r="B45" s="177"/>
      <c r="C45" s="315"/>
      <c r="D45" s="317"/>
      <c r="E45" s="179">
        <f t="shared" si="0"/>
        <v>0</v>
      </c>
      <c r="F45" s="315"/>
      <c r="G45" s="178"/>
      <c r="H45" s="179">
        <f t="shared" si="1"/>
        <v>0</v>
      </c>
      <c r="I45" s="315"/>
      <c r="J45" s="178"/>
      <c r="K45" s="179">
        <f t="shared" si="2"/>
        <v>0</v>
      </c>
      <c r="L45" s="315"/>
      <c r="M45" s="178"/>
      <c r="N45" s="179">
        <f t="shared" si="3"/>
        <v>0</v>
      </c>
      <c r="O45" s="315"/>
      <c r="P45" s="178"/>
      <c r="Q45" s="179">
        <f t="shared" si="4"/>
        <v>0</v>
      </c>
      <c r="R45" s="315"/>
      <c r="S45" s="178"/>
      <c r="T45" s="179">
        <f t="shared" si="5"/>
        <v>0</v>
      </c>
    </row>
    <row r="46" spans="1:20">
      <c r="A46" s="176" t="s">
        <v>165</v>
      </c>
      <c r="B46" s="177"/>
      <c r="C46" s="315"/>
      <c r="D46" s="317"/>
      <c r="E46" s="179">
        <f t="shared" si="0"/>
        <v>0</v>
      </c>
      <c r="F46" s="315"/>
      <c r="G46" s="178"/>
      <c r="H46" s="179">
        <f t="shared" si="1"/>
        <v>0</v>
      </c>
      <c r="I46" s="315"/>
      <c r="J46" s="178"/>
      <c r="K46" s="179">
        <f t="shared" si="2"/>
        <v>0</v>
      </c>
      <c r="L46" s="315"/>
      <c r="M46" s="178"/>
      <c r="N46" s="179">
        <f t="shared" si="3"/>
        <v>0</v>
      </c>
      <c r="O46" s="315"/>
      <c r="P46" s="178"/>
      <c r="Q46" s="179">
        <f t="shared" si="4"/>
        <v>0</v>
      </c>
      <c r="R46" s="315"/>
      <c r="S46" s="178"/>
      <c r="T46" s="179">
        <f t="shared" si="5"/>
        <v>0</v>
      </c>
    </row>
    <row r="47" spans="1:20">
      <c r="A47" s="176" t="s">
        <v>165</v>
      </c>
      <c r="B47" s="177"/>
      <c r="C47" s="315"/>
      <c r="D47" s="317"/>
      <c r="E47" s="179">
        <f t="shared" si="0"/>
        <v>0</v>
      </c>
      <c r="F47" s="315"/>
      <c r="G47" s="178"/>
      <c r="H47" s="179">
        <f t="shared" si="1"/>
        <v>0</v>
      </c>
      <c r="I47" s="315"/>
      <c r="J47" s="178"/>
      <c r="K47" s="179">
        <f t="shared" si="2"/>
        <v>0</v>
      </c>
      <c r="L47" s="315"/>
      <c r="M47" s="178"/>
      <c r="N47" s="179">
        <f t="shared" si="3"/>
        <v>0</v>
      </c>
      <c r="O47" s="315"/>
      <c r="P47" s="178"/>
      <c r="Q47" s="179">
        <f t="shared" si="4"/>
        <v>0</v>
      </c>
      <c r="R47" s="315"/>
      <c r="S47" s="178"/>
      <c r="T47" s="179">
        <f t="shared" si="5"/>
        <v>0</v>
      </c>
    </row>
    <row r="48" spans="1:20">
      <c r="A48" s="176" t="s">
        <v>165</v>
      </c>
      <c r="B48" s="177"/>
      <c r="C48" s="315"/>
      <c r="D48" s="317"/>
      <c r="E48" s="179">
        <f t="shared" si="0"/>
        <v>0</v>
      </c>
      <c r="F48" s="315"/>
      <c r="G48" s="178"/>
      <c r="H48" s="179">
        <f t="shared" si="1"/>
        <v>0</v>
      </c>
      <c r="I48" s="315"/>
      <c r="J48" s="178"/>
      <c r="K48" s="179">
        <f t="shared" si="2"/>
        <v>0</v>
      </c>
      <c r="L48" s="315"/>
      <c r="M48" s="178"/>
      <c r="N48" s="179">
        <f t="shared" si="3"/>
        <v>0</v>
      </c>
      <c r="O48" s="315"/>
      <c r="P48" s="178"/>
      <c r="Q48" s="179">
        <f t="shared" si="4"/>
        <v>0</v>
      </c>
      <c r="R48" s="315"/>
      <c r="S48" s="178"/>
      <c r="T48" s="179">
        <f t="shared" si="5"/>
        <v>0</v>
      </c>
    </row>
    <row r="49" spans="1:20">
      <c r="A49" s="176" t="s">
        <v>165</v>
      </c>
      <c r="B49" s="177"/>
      <c r="C49" s="315"/>
      <c r="D49" s="317"/>
      <c r="E49" s="179">
        <f t="shared" si="0"/>
        <v>0</v>
      </c>
      <c r="F49" s="315"/>
      <c r="G49" s="178"/>
      <c r="H49" s="179">
        <f t="shared" si="1"/>
        <v>0</v>
      </c>
      <c r="I49" s="315"/>
      <c r="J49" s="178"/>
      <c r="K49" s="179">
        <f t="shared" si="2"/>
        <v>0</v>
      </c>
      <c r="L49" s="315"/>
      <c r="M49" s="178"/>
      <c r="N49" s="179">
        <f t="shared" si="3"/>
        <v>0</v>
      </c>
      <c r="O49" s="315"/>
      <c r="P49" s="178"/>
      <c r="Q49" s="179">
        <f t="shared" si="4"/>
        <v>0</v>
      </c>
      <c r="R49" s="315"/>
      <c r="S49" s="178"/>
      <c r="T49" s="179">
        <f t="shared" si="5"/>
        <v>0</v>
      </c>
    </row>
    <row r="50" spans="1:20">
      <c r="A50" s="176" t="s">
        <v>165</v>
      </c>
      <c r="B50" s="177"/>
      <c r="C50" s="315"/>
      <c r="D50" s="317"/>
      <c r="E50" s="179">
        <f t="shared" si="0"/>
        <v>0</v>
      </c>
      <c r="F50" s="315"/>
      <c r="G50" s="178"/>
      <c r="H50" s="179">
        <f t="shared" si="1"/>
        <v>0</v>
      </c>
      <c r="I50" s="315"/>
      <c r="J50" s="178"/>
      <c r="K50" s="179">
        <f t="shared" si="2"/>
        <v>0</v>
      </c>
      <c r="L50" s="315"/>
      <c r="M50" s="178"/>
      <c r="N50" s="179">
        <f t="shared" si="3"/>
        <v>0</v>
      </c>
      <c r="O50" s="315"/>
      <c r="P50" s="178"/>
      <c r="Q50" s="179">
        <f t="shared" si="4"/>
        <v>0</v>
      </c>
      <c r="R50" s="315"/>
      <c r="S50" s="178"/>
      <c r="T50" s="179">
        <f t="shared" si="5"/>
        <v>0</v>
      </c>
    </row>
    <row r="51" spans="1:20">
      <c r="A51" s="176" t="s">
        <v>165</v>
      </c>
      <c r="B51" s="177"/>
      <c r="C51" s="315"/>
      <c r="D51" s="317"/>
      <c r="E51" s="179">
        <f t="shared" si="0"/>
        <v>0</v>
      </c>
      <c r="F51" s="315"/>
      <c r="G51" s="178"/>
      <c r="H51" s="179">
        <f t="shared" si="1"/>
        <v>0</v>
      </c>
      <c r="I51" s="315"/>
      <c r="J51" s="178"/>
      <c r="K51" s="179">
        <f t="shared" si="2"/>
        <v>0</v>
      </c>
      <c r="L51" s="315"/>
      <c r="M51" s="178"/>
      <c r="N51" s="179">
        <f t="shared" si="3"/>
        <v>0</v>
      </c>
      <c r="O51" s="315"/>
      <c r="P51" s="178"/>
      <c r="Q51" s="179">
        <f t="shared" si="4"/>
        <v>0</v>
      </c>
      <c r="R51" s="315"/>
      <c r="S51" s="178"/>
      <c r="T51" s="179">
        <f t="shared" si="5"/>
        <v>0</v>
      </c>
    </row>
    <row r="52" spans="1:20">
      <c r="A52" s="176" t="s">
        <v>165</v>
      </c>
      <c r="B52" s="177"/>
      <c r="C52" s="315"/>
      <c r="D52" s="317"/>
      <c r="E52" s="179">
        <f t="shared" si="0"/>
        <v>0</v>
      </c>
      <c r="F52" s="315"/>
      <c r="G52" s="178"/>
      <c r="H52" s="179">
        <f t="shared" si="1"/>
        <v>0</v>
      </c>
      <c r="I52" s="315"/>
      <c r="J52" s="178"/>
      <c r="K52" s="179">
        <f t="shared" si="2"/>
        <v>0</v>
      </c>
      <c r="L52" s="315"/>
      <c r="M52" s="178"/>
      <c r="N52" s="179">
        <f t="shared" si="3"/>
        <v>0</v>
      </c>
      <c r="O52" s="315"/>
      <c r="P52" s="178"/>
      <c r="Q52" s="179">
        <f t="shared" si="4"/>
        <v>0</v>
      </c>
      <c r="R52" s="315"/>
      <c r="S52" s="178"/>
      <c r="T52" s="179">
        <f t="shared" si="5"/>
        <v>0</v>
      </c>
    </row>
    <row r="53" spans="1:20">
      <c r="A53" s="176" t="s">
        <v>165</v>
      </c>
      <c r="B53" s="177"/>
      <c r="C53" s="315"/>
      <c r="D53" s="317"/>
      <c r="E53" s="179">
        <f t="shared" si="0"/>
        <v>0</v>
      </c>
      <c r="F53" s="315"/>
      <c r="G53" s="178"/>
      <c r="H53" s="179">
        <f t="shared" si="1"/>
        <v>0</v>
      </c>
      <c r="I53" s="315"/>
      <c r="J53" s="178"/>
      <c r="K53" s="179">
        <f t="shared" si="2"/>
        <v>0</v>
      </c>
      <c r="L53" s="315"/>
      <c r="M53" s="178"/>
      <c r="N53" s="179">
        <f t="shared" si="3"/>
        <v>0</v>
      </c>
      <c r="O53" s="315"/>
      <c r="P53" s="178"/>
      <c r="Q53" s="179">
        <f t="shared" si="4"/>
        <v>0</v>
      </c>
      <c r="R53" s="315"/>
      <c r="S53" s="178"/>
      <c r="T53" s="179">
        <f t="shared" si="5"/>
        <v>0</v>
      </c>
    </row>
    <row r="54" spans="1:20">
      <c r="A54" s="176" t="s">
        <v>165</v>
      </c>
      <c r="B54" s="177"/>
      <c r="C54" s="315"/>
      <c r="D54" s="317"/>
      <c r="E54" s="179">
        <f t="shared" si="0"/>
        <v>0</v>
      </c>
      <c r="F54" s="315"/>
      <c r="G54" s="178"/>
      <c r="H54" s="179">
        <f t="shared" si="1"/>
        <v>0</v>
      </c>
      <c r="I54" s="315"/>
      <c r="J54" s="178"/>
      <c r="K54" s="179">
        <f t="shared" si="2"/>
        <v>0</v>
      </c>
      <c r="L54" s="315"/>
      <c r="M54" s="178"/>
      <c r="N54" s="179">
        <f t="shared" si="3"/>
        <v>0</v>
      </c>
      <c r="O54" s="315"/>
      <c r="P54" s="178"/>
      <c r="Q54" s="179">
        <f t="shared" si="4"/>
        <v>0</v>
      </c>
      <c r="R54" s="315"/>
      <c r="S54" s="178"/>
      <c r="T54" s="179">
        <f t="shared" si="5"/>
        <v>0</v>
      </c>
    </row>
    <row r="55" spans="1:20">
      <c r="A55" s="176" t="s">
        <v>165</v>
      </c>
      <c r="B55" s="177"/>
      <c r="C55" s="315"/>
      <c r="D55" s="317"/>
      <c r="E55" s="179">
        <f t="shared" si="0"/>
        <v>0</v>
      </c>
      <c r="F55" s="315"/>
      <c r="G55" s="178"/>
      <c r="H55" s="179">
        <f t="shared" si="1"/>
        <v>0</v>
      </c>
      <c r="I55" s="315"/>
      <c r="J55" s="178"/>
      <c r="K55" s="179">
        <f t="shared" si="2"/>
        <v>0</v>
      </c>
      <c r="L55" s="315"/>
      <c r="M55" s="178"/>
      <c r="N55" s="179">
        <f t="shared" si="3"/>
        <v>0</v>
      </c>
      <c r="O55" s="315"/>
      <c r="P55" s="178"/>
      <c r="Q55" s="179">
        <f t="shared" si="4"/>
        <v>0</v>
      </c>
      <c r="R55" s="315"/>
      <c r="S55" s="178"/>
      <c r="T55" s="179">
        <f t="shared" si="5"/>
        <v>0</v>
      </c>
    </row>
    <row r="56" spans="1:20">
      <c r="A56" s="176" t="s">
        <v>165</v>
      </c>
      <c r="B56" s="177"/>
      <c r="C56" s="315"/>
      <c r="D56" s="317"/>
      <c r="E56" s="179">
        <f t="shared" si="0"/>
        <v>0</v>
      </c>
      <c r="F56" s="315"/>
      <c r="G56" s="178"/>
      <c r="H56" s="179">
        <f t="shared" si="1"/>
        <v>0</v>
      </c>
      <c r="I56" s="315"/>
      <c r="J56" s="178"/>
      <c r="K56" s="179">
        <f t="shared" si="2"/>
        <v>0</v>
      </c>
      <c r="L56" s="315"/>
      <c r="M56" s="178"/>
      <c r="N56" s="179">
        <f t="shared" si="3"/>
        <v>0</v>
      </c>
      <c r="O56" s="315"/>
      <c r="P56" s="178"/>
      <c r="Q56" s="179">
        <f t="shared" si="4"/>
        <v>0</v>
      </c>
      <c r="R56" s="315"/>
      <c r="S56" s="178"/>
      <c r="T56" s="179">
        <f t="shared" si="5"/>
        <v>0</v>
      </c>
    </row>
    <row r="57" spans="1:20">
      <c r="A57" s="176" t="s">
        <v>165</v>
      </c>
      <c r="B57" s="177"/>
      <c r="C57" s="315"/>
      <c r="D57" s="317"/>
      <c r="E57" s="179">
        <f t="shared" si="0"/>
        <v>0</v>
      </c>
      <c r="F57" s="315"/>
      <c r="G57" s="178"/>
      <c r="H57" s="179">
        <f t="shared" si="1"/>
        <v>0</v>
      </c>
      <c r="I57" s="315"/>
      <c r="J57" s="178"/>
      <c r="K57" s="179">
        <f t="shared" si="2"/>
        <v>0</v>
      </c>
      <c r="L57" s="315"/>
      <c r="M57" s="178"/>
      <c r="N57" s="179">
        <f t="shared" si="3"/>
        <v>0</v>
      </c>
      <c r="O57" s="315"/>
      <c r="P57" s="178"/>
      <c r="Q57" s="179">
        <f t="shared" si="4"/>
        <v>0</v>
      </c>
      <c r="R57" s="315"/>
      <c r="S57" s="178"/>
      <c r="T57" s="179">
        <f t="shared" si="5"/>
        <v>0</v>
      </c>
    </row>
    <row r="58" spans="1:20">
      <c r="A58" s="176" t="s">
        <v>165</v>
      </c>
      <c r="B58" s="177"/>
      <c r="C58" s="315"/>
      <c r="D58" s="317"/>
      <c r="E58" s="179">
        <f t="shared" si="0"/>
        <v>0</v>
      </c>
      <c r="F58" s="315"/>
      <c r="G58" s="178"/>
      <c r="H58" s="179">
        <f t="shared" si="1"/>
        <v>0</v>
      </c>
      <c r="I58" s="315"/>
      <c r="J58" s="178"/>
      <c r="K58" s="179">
        <f t="shared" si="2"/>
        <v>0</v>
      </c>
      <c r="L58" s="315"/>
      <c r="M58" s="178"/>
      <c r="N58" s="179">
        <f t="shared" si="3"/>
        <v>0</v>
      </c>
      <c r="O58" s="315"/>
      <c r="P58" s="178"/>
      <c r="Q58" s="179">
        <f t="shared" si="4"/>
        <v>0</v>
      </c>
      <c r="R58" s="315"/>
      <c r="S58" s="178"/>
      <c r="T58" s="179">
        <f t="shared" si="5"/>
        <v>0</v>
      </c>
    </row>
    <row r="59" spans="1:20">
      <c r="A59" s="176" t="s">
        <v>165</v>
      </c>
      <c r="B59" s="177"/>
      <c r="C59" s="315"/>
      <c r="D59" s="317"/>
      <c r="E59" s="179">
        <f t="shared" si="0"/>
        <v>0</v>
      </c>
      <c r="F59" s="315"/>
      <c r="G59" s="178"/>
      <c r="H59" s="179">
        <f t="shared" si="1"/>
        <v>0</v>
      </c>
      <c r="I59" s="315"/>
      <c r="J59" s="178"/>
      <c r="K59" s="179">
        <f t="shared" si="2"/>
        <v>0</v>
      </c>
      <c r="L59" s="315"/>
      <c r="M59" s="178"/>
      <c r="N59" s="179">
        <f t="shared" si="3"/>
        <v>0</v>
      </c>
      <c r="O59" s="315"/>
      <c r="P59" s="178"/>
      <c r="Q59" s="179">
        <f t="shared" si="4"/>
        <v>0</v>
      </c>
      <c r="R59" s="315"/>
      <c r="S59" s="178"/>
      <c r="T59" s="179">
        <f t="shared" si="5"/>
        <v>0</v>
      </c>
    </row>
    <row r="60" spans="1:20">
      <c r="A60" s="176" t="s">
        <v>165</v>
      </c>
      <c r="B60" s="177"/>
      <c r="C60" s="315"/>
      <c r="D60" s="317"/>
      <c r="E60" s="179">
        <f t="shared" si="0"/>
        <v>0</v>
      </c>
      <c r="F60" s="315"/>
      <c r="G60" s="178"/>
      <c r="H60" s="179">
        <f t="shared" si="1"/>
        <v>0</v>
      </c>
      <c r="I60" s="315"/>
      <c r="J60" s="178"/>
      <c r="K60" s="179">
        <f t="shared" si="2"/>
        <v>0</v>
      </c>
      <c r="L60" s="315"/>
      <c r="M60" s="178"/>
      <c r="N60" s="179">
        <f t="shared" si="3"/>
        <v>0</v>
      </c>
      <c r="O60" s="315"/>
      <c r="P60" s="178"/>
      <c r="Q60" s="179">
        <f t="shared" si="4"/>
        <v>0</v>
      </c>
      <c r="R60" s="315"/>
      <c r="S60" s="178"/>
      <c r="T60" s="179">
        <f t="shared" si="5"/>
        <v>0</v>
      </c>
    </row>
    <row r="61" spans="1:20">
      <c r="A61" s="176" t="s">
        <v>165</v>
      </c>
      <c r="B61" s="177"/>
      <c r="C61" s="315"/>
      <c r="D61" s="317"/>
      <c r="E61" s="179">
        <f t="shared" si="0"/>
        <v>0</v>
      </c>
      <c r="F61" s="315"/>
      <c r="G61" s="178"/>
      <c r="H61" s="179">
        <f t="shared" si="1"/>
        <v>0</v>
      </c>
      <c r="I61" s="315"/>
      <c r="J61" s="178"/>
      <c r="K61" s="179">
        <f t="shared" si="2"/>
        <v>0</v>
      </c>
      <c r="L61" s="315"/>
      <c r="M61" s="178"/>
      <c r="N61" s="179">
        <f t="shared" si="3"/>
        <v>0</v>
      </c>
      <c r="O61" s="315"/>
      <c r="P61" s="178"/>
      <c r="Q61" s="179">
        <f t="shared" si="4"/>
        <v>0</v>
      </c>
      <c r="R61" s="315"/>
      <c r="S61" s="178"/>
      <c r="T61" s="179">
        <f t="shared" si="5"/>
        <v>0</v>
      </c>
    </row>
    <row r="62" spans="1:20">
      <c r="A62" s="176" t="s">
        <v>165</v>
      </c>
      <c r="B62" s="177"/>
      <c r="C62" s="315"/>
      <c r="D62" s="317"/>
      <c r="E62" s="179">
        <f t="shared" si="0"/>
        <v>0</v>
      </c>
      <c r="F62" s="315"/>
      <c r="G62" s="178"/>
      <c r="H62" s="179">
        <f t="shared" si="1"/>
        <v>0</v>
      </c>
      <c r="I62" s="315"/>
      <c r="J62" s="178"/>
      <c r="K62" s="179">
        <f t="shared" si="2"/>
        <v>0</v>
      </c>
      <c r="L62" s="315"/>
      <c r="M62" s="178"/>
      <c r="N62" s="179">
        <f t="shared" si="3"/>
        <v>0</v>
      </c>
      <c r="O62" s="315"/>
      <c r="P62" s="178"/>
      <c r="Q62" s="179">
        <f t="shared" si="4"/>
        <v>0</v>
      </c>
      <c r="R62" s="315"/>
      <c r="S62" s="178"/>
      <c r="T62" s="179">
        <f t="shared" si="5"/>
        <v>0</v>
      </c>
    </row>
    <row r="63" spans="1:20">
      <c r="A63" s="176" t="s">
        <v>165</v>
      </c>
      <c r="B63" s="177"/>
      <c r="C63" s="315"/>
      <c r="D63" s="317"/>
      <c r="E63" s="179">
        <f t="shared" si="0"/>
        <v>0</v>
      </c>
      <c r="F63" s="315"/>
      <c r="G63" s="178"/>
      <c r="H63" s="179">
        <f t="shared" si="1"/>
        <v>0</v>
      </c>
      <c r="I63" s="315"/>
      <c r="J63" s="178"/>
      <c r="K63" s="179">
        <f t="shared" si="2"/>
        <v>0</v>
      </c>
      <c r="L63" s="315"/>
      <c r="M63" s="178"/>
      <c r="N63" s="179">
        <f t="shared" si="3"/>
        <v>0</v>
      </c>
      <c r="O63" s="315"/>
      <c r="P63" s="178"/>
      <c r="Q63" s="179">
        <f t="shared" si="4"/>
        <v>0</v>
      </c>
      <c r="R63" s="315"/>
      <c r="S63" s="178"/>
      <c r="T63" s="179">
        <f t="shared" si="5"/>
        <v>0</v>
      </c>
    </row>
    <row r="64" spans="1:20">
      <c r="A64" s="176" t="s">
        <v>165</v>
      </c>
      <c r="B64" s="177"/>
      <c r="C64" s="315"/>
      <c r="D64" s="317"/>
      <c r="E64" s="179">
        <f t="shared" si="0"/>
        <v>0</v>
      </c>
      <c r="F64" s="315"/>
      <c r="G64" s="178"/>
      <c r="H64" s="179">
        <f t="shared" si="1"/>
        <v>0</v>
      </c>
      <c r="I64" s="315"/>
      <c r="J64" s="178"/>
      <c r="K64" s="179">
        <f t="shared" si="2"/>
        <v>0</v>
      </c>
      <c r="L64" s="315"/>
      <c r="M64" s="178"/>
      <c r="N64" s="179">
        <f t="shared" si="3"/>
        <v>0</v>
      </c>
      <c r="O64" s="315"/>
      <c r="P64" s="178"/>
      <c r="Q64" s="179">
        <f t="shared" si="4"/>
        <v>0</v>
      </c>
      <c r="R64" s="315"/>
      <c r="S64" s="178"/>
      <c r="T64" s="179">
        <f t="shared" si="5"/>
        <v>0</v>
      </c>
    </row>
    <row r="65" spans="1:20">
      <c r="A65" s="176" t="s">
        <v>165</v>
      </c>
      <c r="B65" s="177"/>
      <c r="C65" s="315"/>
      <c r="D65" s="317"/>
      <c r="E65" s="179">
        <f t="shared" si="0"/>
        <v>0</v>
      </c>
      <c r="F65" s="315"/>
      <c r="G65" s="178"/>
      <c r="H65" s="179">
        <f t="shared" si="1"/>
        <v>0</v>
      </c>
      <c r="I65" s="315"/>
      <c r="J65" s="178"/>
      <c r="K65" s="179">
        <f t="shared" si="2"/>
        <v>0</v>
      </c>
      <c r="L65" s="315"/>
      <c r="M65" s="178"/>
      <c r="N65" s="179">
        <f t="shared" si="3"/>
        <v>0</v>
      </c>
      <c r="O65" s="315"/>
      <c r="P65" s="178"/>
      <c r="Q65" s="179">
        <f t="shared" si="4"/>
        <v>0</v>
      </c>
      <c r="R65" s="315"/>
      <c r="S65" s="178"/>
      <c r="T65" s="179">
        <f t="shared" si="5"/>
        <v>0</v>
      </c>
    </row>
    <row r="66" spans="1:20">
      <c r="A66" s="176" t="s">
        <v>165</v>
      </c>
      <c r="B66" s="177"/>
      <c r="C66" s="315"/>
      <c r="D66" s="317"/>
      <c r="E66" s="179">
        <f t="shared" si="0"/>
        <v>0</v>
      </c>
      <c r="F66" s="315"/>
      <c r="G66" s="178"/>
      <c r="H66" s="179">
        <f t="shared" si="1"/>
        <v>0</v>
      </c>
      <c r="I66" s="315"/>
      <c r="J66" s="178"/>
      <c r="K66" s="179">
        <f t="shared" si="2"/>
        <v>0</v>
      </c>
      <c r="L66" s="315"/>
      <c r="M66" s="178"/>
      <c r="N66" s="179">
        <f t="shared" si="3"/>
        <v>0</v>
      </c>
      <c r="O66" s="315"/>
      <c r="P66" s="178"/>
      <c r="Q66" s="179">
        <f t="shared" si="4"/>
        <v>0</v>
      </c>
      <c r="R66" s="315"/>
      <c r="S66" s="178"/>
      <c r="T66" s="179">
        <f t="shared" si="5"/>
        <v>0</v>
      </c>
    </row>
    <row r="67" spans="1:20">
      <c r="A67" s="176" t="s">
        <v>165</v>
      </c>
      <c r="B67" s="177"/>
      <c r="C67" s="315"/>
      <c r="D67" s="317"/>
      <c r="E67" s="179">
        <f t="shared" si="0"/>
        <v>0</v>
      </c>
      <c r="F67" s="315"/>
      <c r="G67" s="178"/>
      <c r="H67" s="179">
        <f t="shared" si="1"/>
        <v>0</v>
      </c>
      <c r="I67" s="315"/>
      <c r="J67" s="178"/>
      <c r="K67" s="179">
        <f t="shared" si="2"/>
        <v>0</v>
      </c>
      <c r="L67" s="315"/>
      <c r="M67" s="178"/>
      <c r="N67" s="179">
        <f t="shared" si="3"/>
        <v>0</v>
      </c>
      <c r="O67" s="315"/>
      <c r="P67" s="178"/>
      <c r="Q67" s="179">
        <f t="shared" si="4"/>
        <v>0</v>
      </c>
      <c r="R67" s="315"/>
      <c r="S67" s="178"/>
      <c r="T67" s="179">
        <f t="shared" si="5"/>
        <v>0</v>
      </c>
    </row>
    <row r="68" spans="1:20">
      <c r="A68" s="176" t="s">
        <v>165</v>
      </c>
      <c r="B68" s="177"/>
      <c r="C68" s="315"/>
      <c r="D68" s="317"/>
      <c r="E68" s="179">
        <f t="shared" si="0"/>
        <v>0</v>
      </c>
      <c r="F68" s="315"/>
      <c r="G68" s="178"/>
      <c r="H68" s="179">
        <f t="shared" si="1"/>
        <v>0</v>
      </c>
      <c r="I68" s="315"/>
      <c r="J68" s="178"/>
      <c r="K68" s="179">
        <f t="shared" si="2"/>
        <v>0</v>
      </c>
      <c r="L68" s="315"/>
      <c r="M68" s="178"/>
      <c r="N68" s="179">
        <f t="shared" si="3"/>
        <v>0</v>
      </c>
      <c r="O68" s="315"/>
      <c r="P68" s="178"/>
      <c r="Q68" s="179">
        <f t="shared" si="4"/>
        <v>0</v>
      </c>
      <c r="R68" s="315"/>
      <c r="S68" s="178"/>
      <c r="T68" s="179">
        <f t="shared" si="5"/>
        <v>0</v>
      </c>
    </row>
    <row r="69" spans="1:20">
      <c r="A69" s="176" t="s">
        <v>165</v>
      </c>
      <c r="B69" s="177"/>
      <c r="C69" s="315"/>
      <c r="D69" s="317"/>
      <c r="E69" s="179">
        <f t="shared" si="0"/>
        <v>0</v>
      </c>
      <c r="F69" s="315"/>
      <c r="G69" s="178"/>
      <c r="H69" s="179">
        <f t="shared" si="1"/>
        <v>0</v>
      </c>
      <c r="I69" s="315"/>
      <c r="J69" s="178"/>
      <c r="K69" s="179">
        <f t="shared" si="2"/>
        <v>0</v>
      </c>
      <c r="L69" s="315"/>
      <c r="M69" s="178"/>
      <c r="N69" s="179">
        <f t="shared" si="3"/>
        <v>0</v>
      </c>
      <c r="O69" s="315"/>
      <c r="P69" s="178"/>
      <c r="Q69" s="179">
        <f t="shared" si="4"/>
        <v>0</v>
      </c>
      <c r="R69" s="315"/>
      <c r="S69" s="178"/>
      <c r="T69" s="179">
        <f t="shared" si="5"/>
        <v>0</v>
      </c>
    </row>
    <row r="70" spans="1:20">
      <c r="A70" s="176" t="s">
        <v>165</v>
      </c>
      <c r="B70" s="177"/>
      <c r="C70" s="315"/>
      <c r="D70" s="317"/>
      <c r="E70" s="179">
        <f t="shared" si="0"/>
        <v>0</v>
      </c>
      <c r="F70" s="315"/>
      <c r="G70" s="178"/>
      <c r="H70" s="179">
        <f t="shared" si="1"/>
        <v>0</v>
      </c>
      <c r="I70" s="315"/>
      <c r="J70" s="178"/>
      <c r="K70" s="179">
        <f t="shared" si="2"/>
        <v>0</v>
      </c>
      <c r="L70" s="315"/>
      <c r="M70" s="178"/>
      <c r="N70" s="179">
        <f t="shared" si="3"/>
        <v>0</v>
      </c>
      <c r="O70" s="315"/>
      <c r="P70" s="178"/>
      <c r="Q70" s="179">
        <f t="shared" si="4"/>
        <v>0</v>
      </c>
      <c r="R70" s="315"/>
      <c r="S70" s="178"/>
      <c r="T70" s="179">
        <f t="shared" si="5"/>
        <v>0</v>
      </c>
    </row>
    <row r="71" spans="1:20">
      <c r="A71" s="176" t="s">
        <v>165</v>
      </c>
      <c r="B71" s="177"/>
      <c r="C71" s="315"/>
      <c r="D71" s="317"/>
      <c r="E71" s="179">
        <f t="shared" si="0"/>
        <v>0</v>
      </c>
      <c r="F71" s="315"/>
      <c r="G71" s="178"/>
      <c r="H71" s="179">
        <f t="shared" si="1"/>
        <v>0</v>
      </c>
      <c r="I71" s="315"/>
      <c r="J71" s="178"/>
      <c r="K71" s="179">
        <f t="shared" si="2"/>
        <v>0</v>
      </c>
      <c r="L71" s="315"/>
      <c r="M71" s="178"/>
      <c r="N71" s="179">
        <f t="shared" si="3"/>
        <v>0</v>
      </c>
      <c r="O71" s="315"/>
      <c r="P71" s="178"/>
      <c r="Q71" s="179">
        <f t="shared" si="4"/>
        <v>0</v>
      </c>
      <c r="R71" s="315"/>
      <c r="S71" s="178"/>
      <c r="T71" s="179">
        <f t="shared" si="5"/>
        <v>0</v>
      </c>
    </row>
    <row r="72" spans="1:20">
      <c r="A72" s="171"/>
      <c r="B72" s="172"/>
      <c r="C72" s="180"/>
      <c r="D72" s="317"/>
      <c r="E72" s="179">
        <f t="shared" si="0"/>
        <v>0</v>
      </c>
      <c r="F72" s="180"/>
      <c r="G72" s="181"/>
      <c r="H72" s="179">
        <f t="shared" si="1"/>
        <v>0</v>
      </c>
      <c r="I72" s="315"/>
      <c r="J72" s="181"/>
      <c r="K72" s="179">
        <f t="shared" si="2"/>
        <v>0</v>
      </c>
      <c r="L72" s="315"/>
      <c r="M72" s="181"/>
      <c r="N72" s="179">
        <f t="shared" si="3"/>
        <v>0</v>
      </c>
      <c r="O72" s="315"/>
      <c r="P72" s="181"/>
      <c r="Q72" s="179">
        <f t="shared" si="4"/>
        <v>0</v>
      </c>
      <c r="R72" s="315"/>
      <c r="S72" s="181"/>
      <c r="T72" s="179">
        <f t="shared" si="5"/>
        <v>0</v>
      </c>
    </row>
    <row r="73" spans="1:20">
      <c r="A73" s="82" t="s">
        <v>189</v>
      </c>
      <c r="B73" s="172"/>
      <c r="C73" s="180"/>
      <c r="D73" s="181"/>
      <c r="E73" s="182"/>
      <c r="F73" s="180"/>
      <c r="G73" s="181"/>
      <c r="H73" s="182"/>
      <c r="I73" s="180"/>
      <c r="J73" s="181"/>
      <c r="K73" s="182"/>
      <c r="L73" s="180"/>
      <c r="M73" s="181"/>
      <c r="N73" s="183"/>
      <c r="O73" s="273"/>
      <c r="P73" s="181"/>
      <c r="Q73" s="183"/>
      <c r="R73" s="273"/>
      <c r="S73" s="181"/>
      <c r="T73" s="183"/>
    </row>
    <row r="74" spans="1:20">
      <c r="A74" s="171"/>
      <c r="B74" s="172"/>
      <c r="C74" s="180"/>
      <c r="D74" s="181"/>
      <c r="E74" s="182"/>
      <c r="F74" s="180"/>
      <c r="G74" s="181"/>
      <c r="H74" s="182"/>
      <c r="I74" s="180"/>
      <c r="J74" s="181"/>
      <c r="K74" s="182"/>
      <c r="L74" s="180"/>
      <c r="M74" s="181"/>
      <c r="N74" s="183"/>
      <c r="O74" s="273"/>
      <c r="P74" s="181"/>
      <c r="Q74" s="183"/>
      <c r="R74" s="273"/>
      <c r="S74" s="181"/>
      <c r="T74" s="183"/>
    </row>
    <row r="75" spans="1:20">
      <c r="A75" s="171" t="s">
        <v>190</v>
      </c>
      <c r="B75" s="172"/>
      <c r="C75" s="180"/>
      <c r="D75" s="181"/>
      <c r="E75" s="182"/>
      <c r="F75" s="180"/>
      <c r="G75" s="181"/>
      <c r="H75" s="182"/>
      <c r="I75" s="180"/>
      <c r="J75" s="181"/>
      <c r="K75" s="182"/>
      <c r="L75" s="180"/>
      <c r="M75" s="181"/>
      <c r="N75" s="183"/>
      <c r="O75" s="273"/>
      <c r="P75" s="181"/>
      <c r="Q75" s="183"/>
      <c r="R75" s="273"/>
      <c r="S75" s="181"/>
      <c r="T75" s="183"/>
    </row>
    <row r="76" spans="1:20" ht="18" customHeight="1">
      <c r="A76" s="176" t="s">
        <v>165</v>
      </c>
      <c r="B76" s="172"/>
      <c r="C76" s="315"/>
      <c r="D76" s="317"/>
      <c r="E76" s="182">
        <f>C76*D76</f>
        <v>0</v>
      </c>
      <c r="F76" s="180"/>
      <c r="G76" s="181"/>
      <c r="H76" s="182">
        <f>F76*G76</f>
        <v>0</v>
      </c>
      <c r="I76" s="180"/>
      <c r="J76" s="181"/>
      <c r="K76" s="182">
        <f>I76*J76</f>
        <v>0</v>
      </c>
      <c r="L76" s="180"/>
      <c r="M76" s="181"/>
      <c r="N76" s="183">
        <f>L76*M76</f>
        <v>0</v>
      </c>
      <c r="O76" s="273"/>
      <c r="P76" s="181"/>
      <c r="Q76" s="183">
        <f>O76*P76</f>
        <v>0</v>
      </c>
      <c r="R76" s="273"/>
      <c r="S76" s="181"/>
      <c r="T76" s="183">
        <f>R76*S76</f>
        <v>0</v>
      </c>
    </row>
    <row r="77" spans="1:20">
      <c r="A77" s="176" t="s">
        <v>165</v>
      </c>
      <c r="B77" s="172"/>
      <c r="C77" s="315"/>
      <c r="D77" s="317"/>
      <c r="E77" s="182">
        <f t="shared" ref="E77:E140" si="6">C77*D77</f>
        <v>0</v>
      </c>
      <c r="F77" s="180"/>
      <c r="G77" s="181"/>
      <c r="H77" s="182">
        <f t="shared" ref="H77:H140" si="7">F77*G77</f>
        <v>0</v>
      </c>
      <c r="I77" s="180"/>
      <c r="J77" s="181"/>
      <c r="K77" s="182">
        <f t="shared" ref="K77:K140" si="8">I77*J77</f>
        <v>0</v>
      </c>
      <c r="L77" s="180"/>
      <c r="M77" s="181"/>
      <c r="N77" s="183">
        <f t="shared" ref="N77:N140" si="9">L77*M77</f>
        <v>0</v>
      </c>
      <c r="O77" s="273"/>
      <c r="P77" s="181"/>
      <c r="Q77" s="183">
        <f t="shared" ref="Q77:Q140" si="10">O77*P77</f>
        <v>0</v>
      </c>
      <c r="R77" s="273"/>
      <c r="S77" s="181"/>
      <c r="T77" s="183">
        <f t="shared" ref="T77:T140" si="11">R77*S77</f>
        <v>0</v>
      </c>
    </row>
    <row r="78" spans="1:20">
      <c r="A78" s="176" t="s">
        <v>165</v>
      </c>
      <c r="B78" s="172"/>
      <c r="C78" s="315"/>
      <c r="D78" s="317"/>
      <c r="E78" s="182">
        <f t="shared" si="6"/>
        <v>0</v>
      </c>
      <c r="F78" s="180"/>
      <c r="G78" s="181"/>
      <c r="H78" s="182">
        <f t="shared" si="7"/>
        <v>0</v>
      </c>
      <c r="I78" s="180"/>
      <c r="J78" s="181"/>
      <c r="K78" s="182">
        <f t="shared" si="8"/>
        <v>0</v>
      </c>
      <c r="L78" s="180"/>
      <c r="M78" s="181"/>
      <c r="N78" s="183">
        <f t="shared" si="9"/>
        <v>0</v>
      </c>
      <c r="O78" s="273"/>
      <c r="P78" s="181"/>
      <c r="Q78" s="183">
        <f t="shared" si="10"/>
        <v>0</v>
      </c>
      <c r="R78" s="273"/>
      <c r="S78" s="181"/>
      <c r="T78" s="183">
        <f t="shared" si="11"/>
        <v>0</v>
      </c>
    </row>
    <row r="79" spans="1:20">
      <c r="A79" s="176" t="s">
        <v>165</v>
      </c>
      <c r="B79" s="172"/>
      <c r="C79" s="315"/>
      <c r="D79" s="317"/>
      <c r="E79" s="182">
        <f t="shared" si="6"/>
        <v>0</v>
      </c>
      <c r="F79" s="180"/>
      <c r="G79" s="181"/>
      <c r="H79" s="182">
        <f t="shared" si="7"/>
        <v>0</v>
      </c>
      <c r="I79" s="180"/>
      <c r="J79" s="181"/>
      <c r="K79" s="182">
        <f t="shared" si="8"/>
        <v>0</v>
      </c>
      <c r="L79" s="180"/>
      <c r="M79" s="181"/>
      <c r="N79" s="183">
        <f t="shared" si="9"/>
        <v>0</v>
      </c>
      <c r="O79" s="273"/>
      <c r="P79" s="181"/>
      <c r="Q79" s="183">
        <f t="shared" si="10"/>
        <v>0</v>
      </c>
      <c r="R79" s="273"/>
      <c r="S79" s="181"/>
      <c r="T79" s="183">
        <f t="shared" si="11"/>
        <v>0</v>
      </c>
    </row>
    <row r="80" spans="1:20">
      <c r="A80" s="176" t="s">
        <v>165</v>
      </c>
      <c r="B80" s="177"/>
      <c r="C80" s="315"/>
      <c r="D80" s="317"/>
      <c r="E80" s="182">
        <f t="shared" si="6"/>
        <v>0</v>
      </c>
      <c r="F80" s="180"/>
      <c r="G80" s="181"/>
      <c r="H80" s="182">
        <f t="shared" si="7"/>
        <v>0</v>
      </c>
      <c r="I80" s="180"/>
      <c r="J80" s="181"/>
      <c r="K80" s="182">
        <f t="shared" si="8"/>
        <v>0</v>
      </c>
      <c r="L80" s="180"/>
      <c r="M80" s="181"/>
      <c r="N80" s="183">
        <f t="shared" si="9"/>
        <v>0</v>
      </c>
      <c r="O80" s="273"/>
      <c r="P80" s="181"/>
      <c r="Q80" s="183">
        <f t="shared" si="10"/>
        <v>0</v>
      </c>
      <c r="R80" s="273"/>
      <c r="S80" s="181"/>
      <c r="T80" s="183">
        <f t="shared" si="11"/>
        <v>0</v>
      </c>
    </row>
    <row r="81" spans="1:20">
      <c r="A81" s="176" t="s">
        <v>165</v>
      </c>
      <c r="B81" s="184"/>
      <c r="C81" s="315"/>
      <c r="D81" s="317"/>
      <c r="E81" s="182">
        <f t="shared" si="6"/>
        <v>0</v>
      </c>
      <c r="F81" s="180"/>
      <c r="G81" s="181"/>
      <c r="H81" s="182">
        <f t="shared" si="7"/>
        <v>0</v>
      </c>
      <c r="I81" s="180"/>
      <c r="J81" s="181"/>
      <c r="K81" s="182">
        <f t="shared" si="8"/>
        <v>0</v>
      </c>
      <c r="L81" s="180"/>
      <c r="M81" s="181"/>
      <c r="N81" s="183">
        <f t="shared" si="9"/>
        <v>0</v>
      </c>
      <c r="O81" s="273"/>
      <c r="P81" s="181"/>
      <c r="Q81" s="183">
        <f t="shared" si="10"/>
        <v>0</v>
      </c>
      <c r="R81" s="273"/>
      <c r="S81" s="181"/>
      <c r="T81" s="183">
        <f t="shared" si="11"/>
        <v>0</v>
      </c>
    </row>
    <row r="82" spans="1:20">
      <c r="A82" s="176" t="s">
        <v>165</v>
      </c>
      <c r="B82" s="184"/>
      <c r="C82" s="315"/>
      <c r="D82" s="317"/>
      <c r="E82" s="182">
        <f t="shared" si="6"/>
        <v>0</v>
      </c>
      <c r="F82" s="180"/>
      <c r="G82" s="181"/>
      <c r="H82" s="182">
        <f t="shared" si="7"/>
        <v>0</v>
      </c>
      <c r="I82" s="180"/>
      <c r="J82" s="181"/>
      <c r="K82" s="182">
        <f t="shared" si="8"/>
        <v>0</v>
      </c>
      <c r="L82" s="180"/>
      <c r="M82" s="181"/>
      <c r="N82" s="183">
        <f t="shared" si="9"/>
        <v>0</v>
      </c>
      <c r="O82" s="273"/>
      <c r="P82" s="181"/>
      <c r="Q82" s="183">
        <f t="shared" si="10"/>
        <v>0</v>
      </c>
      <c r="R82" s="273"/>
      <c r="S82" s="181"/>
      <c r="T82" s="183">
        <f t="shared" si="11"/>
        <v>0</v>
      </c>
    </row>
    <row r="83" spans="1:20">
      <c r="A83" s="176" t="s">
        <v>165</v>
      </c>
      <c r="B83" s="177"/>
      <c r="C83" s="315"/>
      <c r="D83" s="317"/>
      <c r="E83" s="182">
        <f t="shared" si="6"/>
        <v>0</v>
      </c>
      <c r="F83" s="180"/>
      <c r="G83" s="181"/>
      <c r="H83" s="182">
        <f t="shared" si="7"/>
        <v>0</v>
      </c>
      <c r="I83" s="180"/>
      <c r="J83" s="181"/>
      <c r="K83" s="182">
        <f t="shared" si="8"/>
        <v>0</v>
      </c>
      <c r="L83" s="180"/>
      <c r="M83" s="181"/>
      <c r="N83" s="183">
        <f t="shared" si="9"/>
        <v>0</v>
      </c>
      <c r="O83" s="273"/>
      <c r="P83" s="181"/>
      <c r="Q83" s="183">
        <f t="shared" si="10"/>
        <v>0</v>
      </c>
      <c r="R83" s="273"/>
      <c r="S83" s="181"/>
      <c r="T83" s="183">
        <f t="shared" si="11"/>
        <v>0</v>
      </c>
    </row>
    <row r="84" spans="1:20">
      <c r="A84" s="176" t="s">
        <v>165</v>
      </c>
      <c r="B84" s="177"/>
      <c r="C84" s="315"/>
      <c r="D84" s="317"/>
      <c r="E84" s="182">
        <f t="shared" si="6"/>
        <v>0</v>
      </c>
      <c r="F84" s="180"/>
      <c r="G84" s="181"/>
      <c r="H84" s="182">
        <f t="shared" si="7"/>
        <v>0</v>
      </c>
      <c r="I84" s="180"/>
      <c r="J84" s="181"/>
      <c r="K84" s="182">
        <f t="shared" si="8"/>
        <v>0</v>
      </c>
      <c r="L84" s="180"/>
      <c r="M84" s="181"/>
      <c r="N84" s="183">
        <f t="shared" si="9"/>
        <v>0</v>
      </c>
      <c r="O84" s="273"/>
      <c r="P84" s="181"/>
      <c r="Q84" s="183">
        <f t="shared" si="10"/>
        <v>0</v>
      </c>
      <c r="R84" s="273"/>
      <c r="S84" s="181"/>
      <c r="T84" s="183">
        <f t="shared" si="11"/>
        <v>0</v>
      </c>
    </row>
    <row r="85" spans="1:20">
      <c r="A85" s="176" t="s">
        <v>165</v>
      </c>
      <c r="B85" s="177"/>
      <c r="C85" s="315"/>
      <c r="D85" s="317"/>
      <c r="E85" s="182">
        <f t="shared" si="6"/>
        <v>0</v>
      </c>
      <c r="F85" s="180"/>
      <c r="G85" s="181"/>
      <c r="H85" s="182">
        <f t="shared" si="7"/>
        <v>0</v>
      </c>
      <c r="I85" s="180"/>
      <c r="J85" s="181"/>
      <c r="K85" s="182">
        <f t="shared" si="8"/>
        <v>0</v>
      </c>
      <c r="L85" s="180"/>
      <c r="M85" s="181"/>
      <c r="N85" s="183">
        <f t="shared" si="9"/>
        <v>0</v>
      </c>
      <c r="O85" s="273"/>
      <c r="P85" s="181"/>
      <c r="Q85" s="183">
        <f t="shared" si="10"/>
        <v>0</v>
      </c>
      <c r="R85" s="273"/>
      <c r="S85" s="181"/>
      <c r="T85" s="183">
        <f t="shared" si="11"/>
        <v>0</v>
      </c>
    </row>
    <row r="86" spans="1:20">
      <c r="A86" s="176" t="s">
        <v>165</v>
      </c>
      <c r="B86" s="177"/>
      <c r="C86" s="315"/>
      <c r="D86" s="317"/>
      <c r="E86" s="182">
        <f t="shared" si="6"/>
        <v>0</v>
      </c>
      <c r="F86" s="180"/>
      <c r="G86" s="181"/>
      <c r="H86" s="182">
        <f t="shared" si="7"/>
        <v>0</v>
      </c>
      <c r="I86" s="180"/>
      <c r="J86" s="181"/>
      <c r="K86" s="182">
        <f t="shared" si="8"/>
        <v>0</v>
      </c>
      <c r="L86" s="180"/>
      <c r="M86" s="181"/>
      <c r="N86" s="183">
        <f t="shared" si="9"/>
        <v>0</v>
      </c>
      <c r="O86" s="273"/>
      <c r="P86" s="181"/>
      <c r="Q86" s="183">
        <f t="shared" si="10"/>
        <v>0</v>
      </c>
      <c r="R86" s="273"/>
      <c r="S86" s="181"/>
      <c r="T86" s="183">
        <f t="shared" si="11"/>
        <v>0</v>
      </c>
    </row>
    <row r="87" spans="1:20">
      <c r="A87" s="176" t="s">
        <v>165</v>
      </c>
      <c r="B87" s="177"/>
      <c r="C87" s="315"/>
      <c r="D87" s="317"/>
      <c r="E87" s="182">
        <f t="shared" si="6"/>
        <v>0</v>
      </c>
      <c r="F87" s="180"/>
      <c r="G87" s="181"/>
      <c r="H87" s="182">
        <f t="shared" si="7"/>
        <v>0</v>
      </c>
      <c r="I87" s="180"/>
      <c r="J87" s="181"/>
      <c r="K87" s="182">
        <f t="shared" si="8"/>
        <v>0</v>
      </c>
      <c r="L87" s="180"/>
      <c r="M87" s="181"/>
      <c r="N87" s="183">
        <f t="shared" si="9"/>
        <v>0</v>
      </c>
      <c r="O87" s="273"/>
      <c r="P87" s="181"/>
      <c r="Q87" s="183">
        <f t="shared" si="10"/>
        <v>0</v>
      </c>
      <c r="R87" s="273"/>
      <c r="S87" s="181"/>
      <c r="T87" s="183">
        <f t="shared" si="11"/>
        <v>0</v>
      </c>
    </row>
    <row r="88" spans="1:20">
      <c r="A88" s="176" t="s">
        <v>165</v>
      </c>
      <c r="B88" s="177"/>
      <c r="C88" s="315"/>
      <c r="D88" s="317"/>
      <c r="E88" s="182">
        <f t="shared" si="6"/>
        <v>0</v>
      </c>
      <c r="F88" s="180"/>
      <c r="G88" s="181"/>
      <c r="H88" s="182">
        <f t="shared" si="7"/>
        <v>0</v>
      </c>
      <c r="I88" s="180"/>
      <c r="J88" s="181"/>
      <c r="K88" s="182">
        <f t="shared" si="8"/>
        <v>0</v>
      </c>
      <c r="L88" s="180"/>
      <c r="M88" s="181"/>
      <c r="N88" s="183">
        <f t="shared" si="9"/>
        <v>0</v>
      </c>
      <c r="O88" s="273"/>
      <c r="P88" s="181"/>
      <c r="Q88" s="183">
        <f t="shared" si="10"/>
        <v>0</v>
      </c>
      <c r="R88" s="273"/>
      <c r="S88" s="181"/>
      <c r="T88" s="183">
        <f t="shared" si="11"/>
        <v>0</v>
      </c>
    </row>
    <row r="89" spans="1:20">
      <c r="A89" s="185"/>
      <c r="B89" s="177"/>
      <c r="C89" s="317"/>
      <c r="D89" s="317"/>
      <c r="E89" s="182"/>
      <c r="F89" s="180"/>
      <c r="G89" s="181"/>
      <c r="H89" s="182"/>
      <c r="I89" s="180"/>
      <c r="J89" s="181"/>
      <c r="K89" s="182"/>
      <c r="L89" s="180"/>
      <c r="M89" s="181"/>
      <c r="N89" s="183"/>
      <c r="O89" s="273"/>
      <c r="P89" s="181"/>
      <c r="Q89" s="183"/>
      <c r="R89" s="273"/>
      <c r="S89" s="181"/>
      <c r="T89" s="183"/>
    </row>
    <row r="90" spans="1:20">
      <c r="A90" s="171" t="s">
        <v>190</v>
      </c>
      <c r="B90" s="177"/>
      <c r="C90" s="180"/>
      <c r="D90" s="181"/>
      <c r="E90" s="182"/>
      <c r="F90" s="180"/>
      <c r="G90" s="181"/>
      <c r="H90" s="182"/>
      <c r="I90" s="180"/>
      <c r="J90" s="181"/>
      <c r="K90" s="182"/>
      <c r="L90" s="180"/>
      <c r="M90" s="181"/>
      <c r="N90" s="183"/>
      <c r="O90" s="273"/>
      <c r="P90" s="181"/>
      <c r="Q90" s="183"/>
      <c r="R90" s="273"/>
      <c r="S90" s="181"/>
      <c r="T90" s="183"/>
    </row>
    <row r="91" spans="1:20">
      <c r="A91" s="176" t="s">
        <v>165</v>
      </c>
      <c r="B91" s="177"/>
      <c r="C91" s="180"/>
      <c r="D91" s="181"/>
      <c r="E91" s="182">
        <f t="shared" si="6"/>
        <v>0</v>
      </c>
      <c r="F91" s="180"/>
      <c r="G91" s="181"/>
      <c r="H91" s="182">
        <f t="shared" si="7"/>
        <v>0</v>
      </c>
      <c r="I91" s="180"/>
      <c r="J91" s="181"/>
      <c r="K91" s="182">
        <f t="shared" si="8"/>
        <v>0</v>
      </c>
      <c r="L91" s="180"/>
      <c r="M91" s="181"/>
      <c r="N91" s="183">
        <f t="shared" si="9"/>
        <v>0</v>
      </c>
      <c r="O91" s="273"/>
      <c r="P91" s="181"/>
      <c r="Q91" s="183">
        <f t="shared" si="10"/>
        <v>0</v>
      </c>
      <c r="R91" s="273"/>
      <c r="S91" s="181"/>
      <c r="T91" s="183">
        <f t="shared" si="11"/>
        <v>0</v>
      </c>
    </row>
    <row r="92" spans="1:20">
      <c r="A92" s="176" t="s">
        <v>165</v>
      </c>
      <c r="B92" s="177"/>
      <c r="C92" s="180"/>
      <c r="D92" s="181"/>
      <c r="E92" s="182">
        <f t="shared" si="6"/>
        <v>0</v>
      </c>
      <c r="F92" s="180"/>
      <c r="G92" s="181"/>
      <c r="H92" s="182">
        <f t="shared" si="7"/>
        <v>0</v>
      </c>
      <c r="I92" s="180"/>
      <c r="J92" s="181"/>
      <c r="K92" s="182">
        <f t="shared" si="8"/>
        <v>0</v>
      </c>
      <c r="L92" s="180"/>
      <c r="M92" s="181"/>
      <c r="N92" s="183">
        <f t="shared" si="9"/>
        <v>0</v>
      </c>
      <c r="O92" s="273"/>
      <c r="P92" s="181"/>
      <c r="Q92" s="183">
        <f t="shared" si="10"/>
        <v>0</v>
      </c>
      <c r="R92" s="273"/>
      <c r="S92" s="181"/>
      <c r="T92" s="183">
        <f t="shared" si="11"/>
        <v>0</v>
      </c>
    </row>
    <row r="93" spans="1:20">
      <c r="A93" s="176" t="s">
        <v>165</v>
      </c>
      <c r="B93" s="177"/>
      <c r="C93" s="180"/>
      <c r="D93" s="181"/>
      <c r="E93" s="182">
        <f t="shared" si="6"/>
        <v>0</v>
      </c>
      <c r="F93" s="180"/>
      <c r="G93" s="181"/>
      <c r="H93" s="182">
        <f t="shared" si="7"/>
        <v>0</v>
      </c>
      <c r="I93" s="180"/>
      <c r="J93" s="181"/>
      <c r="K93" s="182">
        <f t="shared" si="8"/>
        <v>0</v>
      </c>
      <c r="L93" s="180"/>
      <c r="M93" s="181"/>
      <c r="N93" s="183">
        <f t="shared" si="9"/>
        <v>0</v>
      </c>
      <c r="O93" s="273"/>
      <c r="P93" s="181"/>
      <c r="Q93" s="183">
        <f t="shared" si="10"/>
        <v>0</v>
      </c>
      <c r="R93" s="273"/>
      <c r="S93" s="181"/>
      <c r="T93" s="183">
        <f t="shared" si="11"/>
        <v>0</v>
      </c>
    </row>
    <row r="94" spans="1:20">
      <c r="A94" s="176" t="s">
        <v>165</v>
      </c>
      <c r="B94" s="177"/>
      <c r="C94" s="180"/>
      <c r="D94" s="181"/>
      <c r="E94" s="182">
        <f t="shared" si="6"/>
        <v>0</v>
      </c>
      <c r="F94" s="180"/>
      <c r="G94" s="181"/>
      <c r="H94" s="182">
        <f t="shared" si="7"/>
        <v>0</v>
      </c>
      <c r="I94" s="180"/>
      <c r="J94" s="181"/>
      <c r="K94" s="182">
        <f t="shared" si="8"/>
        <v>0</v>
      </c>
      <c r="L94" s="180"/>
      <c r="M94" s="181"/>
      <c r="N94" s="183">
        <f t="shared" si="9"/>
        <v>0</v>
      </c>
      <c r="O94" s="273"/>
      <c r="P94" s="181"/>
      <c r="Q94" s="183">
        <f t="shared" si="10"/>
        <v>0</v>
      </c>
      <c r="R94" s="273"/>
      <c r="S94" s="181"/>
      <c r="T94" s="183">
        <f t="shared" si="11"/>
        <v>0</v>
      </c>
    </row>
    <row r="95" spans="1:20">
      <c r="A95" s="176" t="s">
        <v>165</v>
      </c>
      <c r="B95" s="177"/>
      <c r="C95" s="180"/>
      <c r="D95" s="181"/>
      <c r="E95" s="182">
        <f t="shared" si="6"/>
        <v>0</v>
      </c>
      <c r="F95" s="180"/>
      <c r="G95" s="181"/>
      <c r="H95" s="182">
        <f t="shared" si="7"/>
        <v>0</v>
      </c>
      <c r="I95" s="180"/>
      <c r="J95" s="181"/>
      <c r="K95" s="182">
        <f t="shared" si="8"/>
        <v>0</v>
      </c>
      <c r="L95" s="180"/>
      <c r="M95" s="181"/>
      <c r="N95" s="183">
        <f t="shared" si="9"/>
        <v>0</v>
      </c>
      <c r="O95" s="273"/>
      <c r="P95" s="181"/>
      <c r="Q95" s="183">
        <f t="shared" si="10"/>
        <v>0</v>
      </c>
      <c r="R95" s="273"/>
      <c r="S95" s="181"/>
      <c r="T95" s="183">
        <f t="shared" si="11"/>
        <v>0</v>
      </c>
    </row>
    <row r="96" spans="1:20">
      <c r="A96" s="176" t="s">
        <v>165</v>
      </c>
      <c r="B96" s="177"/>
      <c r="C96" s="180"/>
      <c r="D96" s="181"/>
      <c r="E96" s="182">
        <f t="shared" si="6"/>
        <v>0</v>
      </c>
      <c r="F96" s="180"/>
      <c r="G96" s="181"/>
      <c r="H96" s="182">
        <f t="shared" si="7"/>
        <v>0</v>
      </c>
      <c r="I96" s="180"/>
      <c r="J96" s="181"/>
      <c r="K96" s="182">
        <f t="shared" si="8"/>
        <v>0</v>
      </c>
      <c r="L96" s="180"/>
      <c r="M96" s="181"/>
      <c r="N96" s="183">
        <f t="shared" si="9"/>
        <v>0</v>
      </c>
      <c r="O96" s="273"/>
      <c r="P96" s="181"/>
      <c r="Q96" s="183">
        <f t="shared" si="10"/>
        <v>0</v>
      </c>
      <c r="R96" s="273"/>
      <c r="S96" s="181"/>
      <c r="T96" s="183">
        <f t="shared" si="11"/>
        <v>0</v>
      </c>
    </row>
    <row r="97" spans="1:20">
      <c r="A97" s="176" t="s">
        <v>165</v>
      </c>
      <c r="B97" s="177"/>
      <c r="C97" s="180"/>
      <c r="D97" s="181"/>
      <c r="E97" s="182">
        <f t="shared" si="6"/>
        <v>0</v>
      </c>
      <c r="F97" s="180"/>
      <c r="G97" s="181"/>
      <c r="H97" s="182">
        <f t="shared" si="7"/>
        <v>0</v>
      </c>
      <c r="I97" s="180"/>
      <c r="J97" s="181"/>
      <c r="K97" s="182">
        <f t="shared" si="8"/>
        <v>0</v>
      </c>
      <c r="L97" s="180"/>
      <c r="M97" s="181"/>
      <c r="N97" s="183">
        <f t="shared" si="9"/>
        <v>0</v>
      </c>
      <c r="O97" s="273"/>
      <c r="P97" s="181"/>
      <c r="Q97" s="183">
        <f t="shared" si="10"/>
        <v>0</v>
      </c>
      <c r="R97" s="273"/>
      <c r="S97" s="181"/>
      <c r="T97" s="183">
        <f t="shared" si="11"/>
        <v>0</v>
      </c>
    </row>
    <row r="98" spans="1:20">
      <c r="A98" s="176" t="s">
        <v>165</v>
      </c>
      <c r="B98" s="184"/>
      <c r="C98" s="180"/>
      <c r="D98" s="181"/>
      <c r="E98" s="182">
        <f t="shared" si="6"/>
        <v>0</v>
      </c>
      <c r="F98" s="180"/>
      <c r="G98" s="181"/>
      <c r="H98" s="182">
        <f t="shared" si="7"/>
        <v>0</v>
      </c>
      <c r="I98" s="180"/>
      <c r="J98" s="181"/>
      <c r="K98" s="182">
        <f t="shared" si="8"/>
        <v>0</v>
      </c>
      <c r="L98" s="180"/>
      <c r="M98" s="181"/>
      <c r="N98" s="183">
        <f t="shared" si="9"/>
        <v>0</v>
      </c>
      <c r="O98" s="273"/>
      <c r="P98" s="181"/>
      <c r="Q98" s="183">
        <f t="shared" si="10"/>
        <v>0</v>
      </c>
      <c r="R98" s="273"/>
      <c r="S98" s="181"/>
      <c r="T98" s="183">
        <f t="shared" si="11"/>
        <v>0</v>
      </c>
    </row>
    <row r="99" spans="1:20">
      <c r="A99" s="176" t="s">
        <v>165</v>
      </c>
      <c r="B99" s="184"/>
      <c r="C99" s="180"/>
      <c r="D99" s="181"/>
      <c r="E99" s="182">
        <f t="shared" si="6"/>
        <v>0</v>
      </c>
      <c r="F99" s="180"/>
      <c r="G99" s="181"/>
      <c r="H99" s="182">
        <f t="shared" si="7"/>
        <v>0</v>
      </c>
      <c r="I99" s="180"/>
      <c r="J99" s="181"/>
      <c r="K99" s="182">
        <f t="shared" si="8"/>
        <v>0</v>
      </c>
      <c r="L99" s="180"/>
      <c r="M99" s="181"/>
      <c r="N99" s="183">
        <f t="shared" si="9"/>
        <v>0</v>
      </c>
      <c r="O99" s="273"/>
      <c r="P99" s="181"/>
      <c r="Q99" s="183">
        <f t="shared" si="10"/>
        <v>0</v>
      </c>
      <c r="R99" s="273"/>
      <c r="S99" s="181"/>
      <c r="T99" s="183">
        <f t="shared" si="11"/>
        <v>0</v>
      </c>
    </row>
    <row r="100" spans="1:20">
      <c r="A100" s="176" t="s">
        <v>165</v>
      </c>
      <c r="B100" s="177"/>
      <c r="C100" s="180"/>
      <c r="D100" s="181"/>
      <c r="E100" s="182">
        <f t="shared" si="6"/>
        <v>0</v>
      </c>
      <c r="F100" s="180"/>
      <c r="G100" s="181"/>
      <c r="H100" s="182">
        <f t="shared" si="7"/>
        <v>0</v>
      </c>
      <c r="I100" s="180"/>
      <c r="J100" s="181"/>
      <c r="K100" s="182">
        <f t="shared" si="8"/>
        <v>0</v>
      </c>
      <c r="L100" s="180"/>
      <c r="M100" s="181"/>
      <c r="N100" s="183">
        <f t="shared" si="9"/>
        <v>0</v>
      </c>
      <c r="O100" s="273"/>
      <c r="P100" s="181"/>
      <c r="Q100" s="183">
        <f t="shared" si="10"/>
        <v>0</v>
      </c>
      <c r="R100" s="273"/>
      <c r="S100" s="181"/>
      <c r="T100" s="183">
        <f t="shared" si="11"/>
        <v>0</v>
      </c>
    </row>
    <row r="101" spans="1:20">
      <c r="A101" s="176" t="s">
        <v>165</v>
      </c>
      <c r="B101" s="177"/>
      <c r="C101" s="180"/>
      <c r="D101" s="181"/>
      <c r="E101" s="182">
        <f t="shared" si="6"/>
        <v>0</v>
      </c>
      <c r="F101" s="180"/>
      <c r="G101" s="181"/>
      <c r="H101" s="182">
        <f t="shared" si="7"/>
        <v>0</v>
      </c>
      <c r="I101" s="180"/>
      <c r="J101" s="181"/>
      <c r="K101" s="182">
        <f t="shared" si="8"/>
        <v>0</v>
      </c>
      <c r="L101" s="180"/>
      <c r="M101" s="181"/>
      <c r="N101" s="183">
        <f t="shared" si="9"/>
        <v>0</v>
      </c>
      <c r="O101" s="273"/>
      <c r="P101" s="181"/>
      <c r="Q101" s="183">
        <f t="shared" si="10"/>
        <v>0</v>
      </c>
      <c r="R101" s="273"/>
      <c r="S101" s="181"/>
      <c r="T101" s="183">
        <f t="shared" si="11"/>
        <v>0</v>
      </c>
    </row>
    <row r="102" spans="1:20">
      <c r="A102" s="176" t="s">
        <v>165</v>
      </c>
      <c r="B102" s="177"/>
      <c r="C102" s="180"/>
      <c r="D102" s="181"/>
      <c r="E102" s="182">
        <f t="shared" si="6"/>
        <v>0</v>
      </c>
      <c r="F102" s="180"/>
      <c r="G102" s="181"/>
      <c r="H102" s="182">
        <f t="shared" si="7"/>
        <v>0</v>
      </c>
      <c r="I102" s="180"/>
      <c r="J102" s="181"/>
      <c r="K102" s="182">
        <f t="shared" si="8"/>
        <v>0</v>
      </c>
      <c r="L102" s="180"/>
      <c r="M102" s="181"/>
      <c r="N102" s="183">
        <f t="shared" si="9"/>
        <v>0</v>
      </c>
      <c r="O102" s="273"/>
      <c r="P102" s="181"/>
      <c r="Q102" s="183">
        <f t="shared" si="10"/>
        <v>0</v>
      </c>
      <c r="R102" s="273"/>
      <c r="S102" s="181"/>
      <c r="T102" s="183">
        <f t="shared" si="11"/>
        <v>0</v>
      </c>
    </row>
    <row r="103" spans="1:20">
      <c r="A103" s="176" t="s">
        <v>165</v>
      </c>
      <c r="B103" s="177"/>
      <c r="C103" s="180"/>
      <c r="D103" s="181"/>
      <c r="E103" s="182">
        <f t="shared" si="6"/>
        <v>0</v>
      </c>
      <c r="F103" s="180"/>
      <c r="G103" s="181"/>
      <c r="H103" s="182">
        <f t="shared" si="7"/>
        <v>0</v>
      </c>
      <c r="I103" s="180"/>
      <c r="J103" s="181"/>
      <c r="K103" s="182">
        <f t="shared" si="8"/>
        <v>0</v>
      </c>
      <c r="L103" s="180"/>
      <c r="M103" s="181"/>
      <c r="N103" s="183">
        <f t="shared" si="9"/>
        <v>0</v>
      </c>
      <c r="O103" s="273"/>
      <c r="P103" s="181"/>
      <c r="Q103" s="183">
        <f t="shared" si="10"/>
        <v>0</v>
      </c>
      <c r="R103" s="273"/>
      <c r="S103" s="181"/>
      <c r="T103" s="183">
        <f t="shared" si="11"/>
        <v>0</v>
      </c>
    </row>
    <row r="104" spans="1:20">
      <c r="A104" s="176"/>
      <c r="B104" s="177"/>
      <c r="C104" s="180"/>
      <c r="D104" s="181"/>
      <c r="E104" s="182"/>
      <c r="F104" s="180"/>
      <c r="G104" s="181"/>
      <c r="H104" s="182"/>
      <c r="I104" s="180"/>
      <c r="J104" s="181"/>
      <c r="K104" s="182"/>
      <c r="L104" s="180"/>
      <c r="M104" s="181"/>
      <c r="N104" s="183"/>
      <c r="O104" s="273"/>
      <c r="P104" s="181"/>
      <c r="Q104" s="183"/>
      <c r="R104" s="273"/>
      <c r="S104" s="181"/>
      <c r="T104" s="183"/>
    </row>
    <row r="105" spans="1:20">
      <c r="A105" s="171" t="s">
        <v>190</v>
      </c>
      <c r="B105" s="177"/>
      <c r="C105" s="180"/>
      <c r="D105" s="181"/>
      <c r="E105" s="182"/>
      <c r="F105" s="180"/>
      <c r="G105" s="181"/>
      <c r="H105" s="182"/>
      <c r="I105" s="180"/>
      <c r="J105" s="181"/>
      <c r="K105" s="182"/>
      <c r="L105" s="180"/>
      <c r="M105" s="181"/>
      <c r="N105" s="183"/>
      <c r="O105" s="273"/>
      <c r="P105" s="181"/>
      <c r="Q105" s="183"/>
      <c r="R105" s="273"/>
      <c r="S105" s="181"/>
      <c r="T105" s="183"/>
    </row>
    <row r="106" spans="1:20">
      <c r="A106" s="176" t="s">
        <v>165</v>
      </c>
      <c r="B106" s="177"/>
      <c r="C106" s="180"/>
      <c r="D106" s="181"/>
      <c r="E106" s="182">
        <f t="shared" si="6"/>
        <v>0</v>
      </c>
      <c r="F106" s="180"/>
      <c r="G106" s="181"/>
      <c r="H106" s="182">
        <f t="shared" si="7"/>
        <v>0</v>
      </c>
      <c r="I106" s="180"/>
      <c r="J106" s="181"/>
      <c r="K106" s="182">
        <f t="shared" si="8"/>
        <v>0</v>
      </c>
      <c r="L106" s="180"/>
      <c r="M106" s="181"/>
      <c r="N106" s="183">
        <f t="shared" si="9"/>
        <v>0</v>
      </c>
      <c r="O106" s="273"/>
      <c r="P106" s="181"/>
      <c r="Q106" s="183">
        <f t="shared" si="10"/>
        <v>0</v>
      </c>
      <c r="R106" s="273"/>
      <c r="S106" s="181"/>
      <c r="T106" s="183">
        <f t="shared" si="11"/>
        <v>0</v>
      </c>
    </row>
    <row r="107" spans="1:20">
      <c r="A107" s="176" t="s">
        <v>165</v>
      </c>
      <c r="B107" s="177"/>
      <c r="C107" s="180"/>
      <c r="D107" s="181"/>
      <c r="E107" s="182">
        <f t="shared" si="6"/>
        <v>0</v>
      </c>
      <c r="F107" s="180"/>
      <c r="G107" s="181"/>
      <c r="H107" s="182">
        <f t="shared" si="7"/>
        <v>0</v>
      </c>
      <c r="I107" s="180"/>
      <c r="J107" s="181"/>
      <c r="K107" s="182">
        <f t="shared" si="8"/>
        <v>0</v>
      </c>
      <c r="L107" s="180"/>
      <c r="M107" s="181"/>
      <c r="N107" s="183">
        <f t="shared" si="9"/>
        <v>0</v>
      </c>
      <c r="O107" s="273"/>
      <c r="P107" s="181"/>
      <c r="Q107" s="183">
        <f t="shared" si="10"/>
        <v>0</v>
      </c>
      <c r="R107" s="273"/>
      <c r="S107" s="181"/>
      <c r="T107" s="183">
        <f t="shared" si="11"/>
        <v>0</v>
      </c>
    </row>
    <row r="108" spans="1:20">
      <c r="A108" s="176" t="s">
        <v>165</v>
      </c>
      <c r="B108" s="177"/>
      <c r="C108" s="180"/>
      <c r="D108" s="181"/>
      <c r="E108" s="182">
        <f t="shared" si="6"/>
        <v>0</v>
      </c>
      <c r="F108" s="180"/>
      <c r="G108" s="181"/>
      <c r="H108" s="182">
        <f t="shared" si="7"/>
        <v>0</v>
      </c>
      <c r="I108" s="180"/>
      <c r="J108" s="181"/>
      <c r="K108" s="182">
        <f t="shared" si="8"/>
        <v>0</v>
      </c>
      <c r="L108" s="180"/>
      <c r="M108" s="181"/>
      <c r="N108" s="183">
        <f t="shared" si="9"/>
        <v>0</v>
      </c>
      <c r="O108" s="273"/>
      <c r="P108" s="181"/>
      <c r="Q108" s="183">
        <f t="shared" si="10"/>
        <v>0</v>
      </c>
      <c r="R108" s="273"/>
      <c r="S108" s="181"/>
      <c r="T108" s="183">
        <f t="shared" si="11"/>
        <v>0</v>
      </c>
    </row>
    <row r="109" spans="1:20">
      <c r="A109" s="176" t="s">
        <v>165</v>
      </c>
      <c r="B109" s="177"/>
      <c r="C109" s="180"/>
      <c r="D109" s="181"/>
      <c r="E109" s="182">
        <f t="shared" si="6"/>
        <v>0</v>
      </c>
      <c r="F109" s="180"/>
      <c r="G109" s="181"/>
      <c r="H109" s="182">
        <f t="shared" si="7"/>
        <v>0</v>
      </c>
      <c r="I109" s="180"/>
      <c r="J109" s="181"/>
      <c r="K109" s="182">
        <f t="shared" si="8"/>
        <v>0</v>
      </c>
      <c r="L109" s="180"/>
      <c r="M109" s="181"/>
      <c r="N109" s="183">
        <f t="shared" si="9"/>
        <v>0</v>
      </c>
      <c r="O109" s="273"/>
      <c r="P109" s="181"/>
      <c r="Q109" s="183">
        <f t="shared" si="10"/>
        <v>0</v>
      </c>
      <c r="R109" s="273"/>
      <c r="S109" s="181"/>
      <c r="T109" s="183">
        <f t="shared" si="11"/>
        <v>0</v>
      </c>
    </row>
    <row r="110" spans="1:20">
      <c r="A110" s="176" t="s">
        <v>165</v>
      </c>
      <c r="B110" s="184"/>
      <c r="C110" s="180"/>
      <c r="D110" s="181"/>
      <c r="E110" s="182">
        <f t="shared" si="6"/>
        <v>0</v>
      </c>
      <c r="F110" s="180"/>
      <c r="G110" s="181"/>
      <c r="H110" s="182">
        <f t="shared" si="7"/>
        <v>0</v>
      </c>
      <c r="I110" s="180"/>
      <c r="J110" s="181"/>
      <c r="K110" s="182">
        <f t="shared" si="8"/>
        <v>0</v>
      </c>
      <c r="L110" s="180"/>
      <c r="M110" s="181"/>
      <c r="N110" s="183">
        <f t="shared" si="9"/>
        <v>0</v>
      </c>
      <c r="O110" s="273"/>
      <c r="P110" s="181"/>
      <c r="Q110" s="183">
        <f t="shared" si="10"/>
        <v>0</v>
      </c>
      <c r="R110" s="273"/>
      <c r="S110" s="181"/>
      <c r="T110" s="183">
        <f t="shared" si="11"/>
        <v>0</v>
      </c>
    </row>
    <row r="111" spans="1:20">
      <c r="A111" s="176" t="s">
        <v>165</v>
      </c>
      <c r="B111" s="184"/>
      <c r="C111" s="180"/>
      <c r="D111" s="181"/>
      <c r="E111" s="182">
        <f t="shared" si="6"/>
        <v>0</v>
      </c>
      <c r="F111" s="180"/>
      <c r="G111" s="181"/>
      <c r="H111" s="182">
        <f t="shared" si="7"/>
        <v>0</v>
      </c>
      <c r="I111" s="180"/>
      <c r="J111" s="181"/>
      <c r="K111" s="182">
        <f t="shared" si="8"/>
        <v>0</v>
      </c>
      <c r="L111" s="180"/>
      <c r="M111" s="181"/>
      <c r="N111" s="183">
        <f t="shared" si="9"/>
        <v>0</v>
      </c>
      <c r="O111" s="273"/>
      <c r="P111" s="181"/>
      <c r="Q111" s="183">
        <f t="shared" si="10"/>
        <v>0</v>
      </c>
      <c r="R111" s="273"/>
      <c r="S111" s="181"/>
      <c r="T111" s="183">
        <f t="shared" si="11"/>
        <v>0</v>
      </c>
    </row>
    <row r="112" spans="1:20">
      <c r="A112" s="176" t="s">
        <v>165</v>
      </c>
      <c r="B112" s="177"/>
      <c r="C112" s="180"/>
      <c r="D112" s="181"/>
      <c r="E112" s="182">
        <f t="shared" si="6"/>
        <v>0</v>
      </c>
      <c r="F112" s="180"/>
      <c r="G112" s="181"/>
      <c r="H112" s="182">
        <f t="shared" si="7"/>
        <v>0</v>
      </c>
      <c r="I112" s="180"/>
      <c r="J112" s="181"/>
      <c r="K112" s="182">
        <f t="shared" si="8"/>
        <v>0</v>
      </c>
      <c r="L112" s="180"/>
      <c r="M112" s="181"/>
      <c r="N112" s="183">
        <f t="shared" si="9"/>
        <v>0</v>
      </c>
      <c r="O112" s="273"/>
      <c r="P112" s="181"/>
      <c r="Q112" s="183">
        <f t="shared" si="10"/>
        <v>0</v>
      </c>
      <c r="R112" s="273"/>
      <c r="S112" s="181"/>
      <c r="T112" s="183">
        <f t="shared" si="11"/>
        <v>0</v>
      </c>
    </row>
    <row r="113" spans="1:20">
      <c r="A113" s="176" t="s">
        <v>165</v>
      </c>
      <c r="B113" s="177"/>
      <c r="C113" s="180"/>
      <c r="D113" s="181"/>
      <c r="E113" s="182">
        <f t="shared" si="6"/>
        <v>0</v>
      </c>
      <c r="F113" s="180"/>
      <c r="G113" s="181"/>
      <c r="H113" s="182">
        <f t="shared" si="7"/>
        <v>0</v>
      </c>
      <c r="I113" s="180"/>
      <c r="J113" s="181"/>
      <c r="K113" s="182">
        <f t="shared" si="8"/>
        <v>0</v>
      </c>
      <c r="L113" s="180"/>
      <c r="M113" s="181"/>
      <c r="N113" s="183">
        <f t="shared" si="9"/>
        <v>0</v>
      </c>
      <c r="O113" s="273"/>
      <c r="P113" s="181"/>
      <c r="Q113" s="183">
        <f t="shared" si="10"/>
        <v>0</v>
      </c>
      <c r="R113" s="273"/>
      <c r="S113" s="181"/>
      <c r="T113" s="183">
        <f t="shared" si="11"/>
        <v>0</v>
      </c>
    </row>
    <row r="114" spans="1:20">
      <c r="A114" s="176" t="s">
        <v>165</v>
      </c>
      <c r="B114" s="177"/>
      <c r="C114" s="180"/>
      <c r="D114" s="181"/>
      <c r="E114" s="182">
        <f t="shared" si="6"/>
        <v>0</v>
      </c>
      <c r="F114" s="180"/>
      <c r="G114" s="181"/>
      <c r="H114" s="182">
        <f t="shared" si="7"/>
        <v>0</v>
      </c>
      <c r="I114" s="180"/>
      <c r="J114" s="181"/>
      <c r="K114" s="182">
        <f t="shared" si="8"/>
        <v>0</v>
      </c>
      <c r="L114" s="180"/>
      <c r="M114" s="181"/>
      <c r="N114" s="183">
        <f t="shared" si="9"/>
        <v>0</v>
      </c>
      <c r="O114" s="273"/>
      <c r="P114" s="181"/>
      <c r="Q114" s="183">
        <f t="shared" si="10"/>
        <v>0</v>
      </c>
      <c r="R114" s="273"/>
      <c r="S114" s="181"/>
      <c r="T114" s="183">
        <f t="shared" si="11"/>
        <v>0</v>
      </c>
    </row>
    <row r="115" spans="1:20">
      <c r="A115" s="176" t="s">
        <v>165</v>
      </c>
      <c r="B115" s="177"/>
      <c r="C115" s="180"/>
      <c r="D115" s="181"/>
      <c r="E115" s="182">
        <f t="shared" si="6"/>
        <v>0</v>
      </c>
      <c r="F115" s="180"/>
      <c r="G115" s="181"/>
      <c r="H115" s="182">
        <f t="shared" si="7"/>
        <v>0</v>
      </c>
      <c r="I115" s="180"/>
      <c r="J115" s="181"/>
      <c r="K115" s="182">
        <f t="shared" si="8"/>
        <v>0</v>
      </c>
      <c r="L115" s="180"/>
      <c r="M115" s="181"/>
      <c r="N115" s="183">
        <f t="shared" si="9"/>
        <v>0</v>
      </c>
      <c r="O115" s="273"/>
      <c r="P115" s="181"/>
      <c r="Q115" s="183">
        <f t="shared" si="10"/>
        <v>0</v>
      </c>
      <c r="R115" s="273"/>
      <c r="S115" s="181"/>
      <c r="T115" s="183">
        <f t="shared" si="11"/>
        <v>0</v>
      </c>
    </row>
    <row r="116" spans="1:20">
      <c r="A116" s="176" t="s">
        <v>165</v>
      </c>
      <c r="B116" s="177"/>
      <c r="C116" s="180"/>
      <c r="D116" s="181"/>
      <c r="E116" s="182">
        <f t="shared" si="6"/>
        <v>0</v>
      </c>
      <c r="F116" s="180"/>
      <c r="G116" s="181"/>
      <c r="H116" s="182">
        <f t="shared" si="7"/>
        <v>0</v>
      </c>
      <c r="I116" s="180"/>
      <c r="J116" s="181"/>
      <c r="K116" s="182">
        <f t="shared" si="8"/>
        <v>0</v>
      </c>
      <c r="L116" s="180"/>
      <c r="M116" s="181"/>
      <c r="N116" s="183">
        <f t="shared" si="9"/>
        <v>0</v>
      </c>
      <c r="O116" s="273"/>
      <c r="P116" s="181"/>
      <c r="Q116" s="183">
        <f t="shared" si="10"/>
        <v>0</v>
      </c>
      <c r="R116" s="273"/>
      <c r="S116" s="181"/>
      <c r="T116" s="183">
        <f t="shared" si="11"/>
        <v>0</v>
      </c>
    </row>
    <row r="117" spans="1:20">
      <c r="A117" s="176" t="s">
        <v>165</v>
      </c>
      <c r="B117" s="177"/>
      <c r="C117" s="180"/>
      <c r="D117" s="181"/>
      <c r="E117" s="182">
        <f t="shared" si="6"/>
        <v>0</v>
      </c>
      <c r="F117" s="180"/>
      <c r="G117" s="181"/>
      <c r="H117" s="182">
        <f t="shared" si="7"/>
        <v>0</v>
      </c>
      <c r="I117" s="180"/>
      <c r="J117" s="181"/>
      <c r="K117" s="182">
        <f t="shared" si="8"/>
        <v>0</v>
      </c>
      <c r="L117" s="180"/>
      <c r="M117" s="181"/>
      <c r="N117" s="183">
        <f t="shared" si="9"/>
        <v>0</v>
      </c>
      <c r="O117" s="273"/>
      <c r="P117" s="181"/>
      <c r="Q117" s="183">
        <f t="shared" si="10"/>
        <v>0</v>
      </c>
      <c r="R117" s="273"/>
      <c r="S117" s="181"/>
      <c r="T117" s="183">
        <f t="shared" si="11"/>
        <v>0</v>
      </c>
    </row>
    <row r="118" spans="1:20">
      <c r="A118" s="176" t="s">
        <v>165</v>
      </c>
      <c r="B118" s="177"/>
      <c r="C118" s="180"/>
      <c r="D118" s="181"/>
      <c r="E118" s="182">
        <f t="shared" si="6"/>
        <v>0</v>
      </c>
      <c r="F118" s="180"/>
      <c r="G118" s="181"/>
      <c r="H118" s="182">
        <f t="shared" si="7"/>
        <v>0</v>
      </c>
      <c r="I118" s="180"/>
      <c r="J118" s="181"/>
      <c r="K118" s="182">
        <f t="shared" si="8"/>
        <v>0</v>
      </c>
      <c r="L118" s="180"/>
      <c r="M118" s="181"/>
      <c r="N118" s="183">
        <f t="shared" si="9"/>
        <v>0</v>
      </c>
      <c r="O118" s="273"/>
      <c r="P118" s="181"/>
      <c r="Q118" s="183">
        <f t="shared" si="10"/>
        <v>0</v>
      </c>
      <c r="R118" s="273"/>
      <c r="S118" s="181"/>
      <c r="T118" s="183">
        <f t="shared" si="11"/>
        <v>0</v>
      </c>
    </row>
    <row r="119" spans="1:20">
      <c r="A119" s="185"/>
      <c r="B119" s="177"/>
      <c r="C119" s="180"/>
      <c r="D119" s="181"/>
      <c r="E119" s="182"/>
      <c r="F119" s="180"/>
      <c r="G119" s="181"/>
      <c r="H119" s="182"/>
      <c r="I119" s="180"/>
      <c r="J119" s="181"/>
      <c r="K119" s="182"/>
      <c r="L119" s="180"/>
      <c r="M119" s="181"/>
      <c r="N119" s="183"/>
      <c r="O119" s="273"/>
      <c r="P119" s="181"/>
      <c r="Q119" s="183"/>
      <c r="R119" s="273"/>
      <c r="S119" s="181"/>
      <c r="T119" s="183"/>
    </row>
    <row r="120" spans="1:20">
      <c r="A120" s="171" t="s">
        <v>190</v>
      </c>
      <c r="B120" s="177"/>
      <c r="C120" s="180"/>
      <c r="D120" s="181"/>
      <c r="E120" s="182"/>
      <c r="F120" s="180"/>
      <c r="G120" s="181"/>
      <c r="H120" s="182"/>
      <c r="I120" s="180"/>
      <c r="J120" s="181"/>
      <c r="K120" s="182"/>
      <c r="L120" s="180"/>
      <c r="M120" s="181"/>
      <c r="N120" s="183"/>
      <c r="O120" s="273"/>
      <c r="P120" s="181"/>
      <c r="Q120" s="183"/>
      <c r="R120" s="273"/>
      <c r="S120" s="181"/>
      <c r="T120" s="183"/>
    </row>
    <row r="121" spans="1:20">
      <c r="A121" s="176" t="s">
        <v>165</v>
      </c>
      <c r="B121" s="177"/>
      <c r="C121" s="180"/>
      <c r="D121" s="181"/>
      <c r="E121" s="182">
        <f t="shared" si="6"/>
        <v>0</v>
      </c>
      <c r="F121" s="180"/>
      <c r="G121" s="181"/>
      <c r="H121" s="182">
        <f t="shared" si="7"/>
        <v>0</v>
      </c>
      <c r="I121" s="180"/>
      <c r="J121" s="181"/>
      <c r="K121" s="182">
        <f t="shared" si="8"/>
        <v>0</v>
      </c>
      <c r="L121" s="180"/>
      <c r="M121" s="181"/>
      <c r="N121" s="183">
        <f t="shared" si="9"/>
        <v>0</v>
      </c>
      <c r="O121" s="273"/>
      <c r="P121" s="181"/>
      <c r="Q121" s="183">
        <f t="shared" si="10"/>
        <v>0</v>
      </c>
      <c r="R121" s="273"/>
      <c r="S121" s="181"/>
      <c r="T121" s="183">
        <f t="shared" si="11"/>
        <v>0</v>
      </c>
    </row>
    <row r="122" spans="1:20">
      <c r="A122" s="176" t="s">
        <v>165</v>
      </c>
      <c r="B122" s="177"/>
      <c r="C122" s="180"/>
      <c r="D122" s="181"/>
      <c r="E122" s="182">
        <f t="shared" si="6"/>
        <v>0</v>
      </c>
      <c r="F122" s="180"/>
      <c r="G122" s="181"/>
      <c r="H122" s="182">
        <f t="shared" si="7"/>
        <v>0</v>
      </c>
      <c r="I122" s="180"/>
      <c r="J122" s="181"/>
      <c r="K122" s="182">
        <f t="shared" si="8"/>
        <v>0</v>
      </c>
      <c r="L122" s="180"/>
      <c r="M122" s="181"/>
      <c r="N122" s="183">
        <f t="shared" si="9"/>
        <v>0</v>
      </c>
      <c r="O122" s="273"/>
      <c r="P122" s="181"/>
      <c r="Q122" s="183">
        <f t="shared" si="10"/>
        <v>0</v>
      </c>
      <c r="R122" s="273"/>
      <c r="S122" s="181"/>
      <c r="T122" s="183">
        <f t="shared" si="11"/>
        <v>0</v>
      </c>
    </row>
    <row r="123" spans="1:20">
      <c r="A123" s="176" t="s">
        <v>165</v>
      </c>
      <c r="B123" s="177"/>
      <c r="C123" s="180"/>
      <c r="D123" s="181"/>
      <c r="E123" s="182">
        <f t="shared" si="6"/>
        <v>0</v>
      </c>
      <c r="F123" s="180"/>
      <c r="G123" s="181"/>
      <c r="H123" s="182">
        <f t="shared" si="7"/>
        <v>0</v>
      </c>
      <c r="I123" s="180"/>
      <c r="J123" s="181"/>
      <c r="K123" s="182">
        <f t="shared" si="8"/>
        <v>0</v>
      </c>
      <c r="L123" s="180"/>
      <c r="M123" s="181"/>
      <c r="N123" s="183">
        <f t="shared" si="9"/>
        <v>0</v>
      </c>
      <c r="O123" s="273"/>
      <c r="P123" s="181"/>
      <c r="Q123" s="183">
        <f t="shared" si="10"/>
        <v>0</v>
      </c>
      <c r="R123" s="273"/>
      <c r="S123" s="181"/>
      <c r="T123" s="183">
        <f t="shared" si="11"/>
        <v>0</v>
      </c>
    </row>
    <row r="124" spans="1:20">
      <c r="A124" s="176" t="s">
        <v>165</v>
      </c>
      <c r="B124" s="177"/>
      <c r="C124" s="180"/>
      <c r="D124" s="181"/>
      <c r="E124" s="182">
        <f t="shared" si="6"/>
        <v>0</v>
      </c>
      <c r="F124" s="180"/>
      <c r="G124" s="181"/>
      <c r="H124" s="182">
        <f t="shared" si="7"/>
        <v>0</v>
      </c>
      <c r="I124" s="180"/>
      <c r="J124" s="181"/>
      <c r="K124" s="182">
        <f t="shared" si="8"/>
        <v>0</v>
      </c>
      <c r="L124" s="180"/>
      <c r="M124" s="181"/>
      <c r="N124" s="183">
        <f t="shared" si="9"/>
        <v>0</v>
      </c>
      <c r="O124" s="273"/>
      <c r="P124" s="181"/>
      <c r="Q124" s="183">
        <f t="shared" si="10"/>
        <v>0</v>
      </c>
      <c r="R124" s="273"/>
      <c r="S124" s="181"/>
      <c r="T124" s="183">
        <f t="shared" si="11"/>
        <v>0</v>
      </c>
    </row>
    <row r="125" spans="1:20">
      <c r="A125" s="176" t="s">
        <v>165</v>
      </c>
      <c r="B125" s="184"/>
      <c r="C125" s="180"/>
      <c r="D125" s="181"/>
      <c r="E125" s="182">
        <f t="shared" si="6"/>
        <v>0</v>
      </c>
      <c r="F125" s="180"/>
      <c r="G125" s="181"/>
      <c r="H125" s="182">
        <f t="shared" si="7"/>
        <v>0</v>
      </c>
      <c r="I125" s="180"/>
      <c r="J125" s="181"/>
      <c r="K125" s="182">
        <f t="shared" si="8"/>
        <v>0</v>
      </c>
      <c r="L125" s="180"/>
      <c r="M125" s="181"/>
      <c r="N125" s="183">
        <f t="shared" si="9"/>
        <v>0</v>
      </c>
      <c r="O125" s="273"/>
      <c r="P125" s="181"/>
      <c r="Q125" s="183">
        <f t="shared" si="10"/>
        <v>0</v>
      </c>
      <c r="R125" s="273"/>
      <c r="S125" s="181"/>
      <c r="T125" s="183">
        <f t="shared" si="11"/>
        <v>0</v>
      </c>
    </row>
    <row r="126" spans="1:20">
      <c r="A126" s="176" t="s">
        <v>165</v>
      </c>
      <c r="B126" s="184"/>
      <c r="C126" s="180"/>
      <c r="D126" s="181"/>
      <c r="E126" s="182">
        <f t="shared" si="6"/>
        <v>0</v>
      </c>
      <c r="F126" s="180"/>
      <c r="G126" s="181"/>
      <c r="H126" s="182">
        <f t="shared" si="7"/>
        <v>0</v>
      </c>
      <c r="I126" s="180"/>
      <c r="J126" s="181"/>
      <c r="K126" s="182">
        <f t="shared" si="8"/>
        <v>0</v>
      </c>
      <c r="L126" s="180"/>
      <c r="M126" s="181"/>
      <c r="N126" s="183">
        <f t="shared" si="9"/>
        <v>0</v>
      </c>
      <c r="O126" s="273"/>
      <c r="P126" s="181"/>
      <c r="Q126" s="183">
        <f t="shared" si="10"/>
        <v>0</v>
      </c>
      <c r="R126" s="273"/>
      <c r="S126" s="181"/>
      <c r="T126" s="183">
        <f t="shared" si="11"/>
        <v>0</v>
      </c>
    </row>
    <row r="127" spans="1:20">
      <c r="A127" s="176" t="s">
        <v>165</v>
      </c>
      <c r="B127" s="177"/>
      <c r="C127" s="180"/>
      <c r="D127" s="181"/>
      <c r="E127" s="182">
        <f t="shared" si="6"/>
        <v>0</v>
      </c>
      <c r="F127" s="180"/>
      <c r="G127" s="181"/>
      <c r="H127" s="182">
        <f t="shared" si="7"/>
        <v>0</v>
      </c>
      <c r="I127" s="180"/>
      <c r="J127" s="181"/>
      <c r="K127" s="182">
        <f t="shared" si="8"/>
        <v>0</v>
      </c>
      <c r="L127" s="180"/>
      <c r="M127" s="181"/>
      <c r="N127" s="183">
        <f t="shared" si="9"/>
        <v>0</v>
      </c>
      <c r="O127" s="273"/>
      <c r="P127" s="181"/>
      <c r="Q127" s="183">
        <f t="shared" si="10"/>
        <v>0</v>
      </c>
      <c r="R127" s="273"/>
      <c r="S127" s="181"/>
      <c r="T127" s="183">
        <f t="shared" si="11"/>
        <v>0</v>
      </c>
    </row>
    <row r="128" spans="1:20">
      <c r="A128" s="176" t="s">
        <v>165</v>
      </c>
      <c r="B128" s="172"/>
      <c r="C128" s="180"/>
      <c r="D128" s="181"/>
      <c r="E128" s="182">
        <f t="shared" si="6"/>
        <v>0</v>
      </c>
      <c r="F128" s="180"/>
      <c r="G128" s="181"/>
      <c r="H128" s="182">
        <f t="shared" si="7"/>
        <v>0</v>
      </c>
      <c r="I128" s="180"/>
      <c r="J128" s="181"/>
      <c r="K128" s="182">
        <f t="shared" si="8"/>
        <v>0</v>
      </c>
      <c r="L128" s="180"/>
      <c r="M128" s="181"/>
      <c r="N128" s="183">
        <f t="shared" si="9"/>
        <v>0</v>
      </c>
      <c r="O128" s="273"/>
      <c r="P128" s="181"/>
      <c r="Q128" s="183">
        <f t="shared" si="10"/>
        <v>0</v>
      </c>
      <c r="R128" s="273"/>
      <c r="S128" s="181"/>
      <c r="T128" s="183">
        <f t="shared" si="11"/>
        <v>0</v>
      </c>
    </row>
    <row r="129" spans="1:20">
      <c r="A129" s="176" t="s">
        <v>165</v>
      </c>
      <c r="B129" s="172"/>
      <c r="C129" s="180"/>
      <c r="D129" s="181"/>
      <c r="E129" s="182">
        <f t="shared" si="6"/>
        <v>0</v>
      </c>
      <c r="F129" s="180"/>
      <c r="G129" s="181"/>
      <c r="H129" s="182">
        <f t="shared" si="7"/>
        <v>0</v>
      </c>
      <c r="I129" s="180"/>
      <c r="J129" s="181"/>
      <c r="K129" s="182">
        <f t="shared" si="8"/>
        <v>0</v>
      </c>
      <c r="L129" s="180"/>
      <c r="M129" s="181"/>
      <c r="N129" s="183">
        <f t="shared" si="9"/>
        <v>0</v>
      </c>
      <c r="O129" s="273"/>
      <c r="P129" s="181"/>
      <c r="Q129" s="183">
        <f t="shared" si="10"/>
        <v>0</v>
      </c>
      <c r="R129" s="273"/>
      <c r="S129" s="181"/>
      <c r="T129" s="183">
        <f t="shared" si="11"/>
        <v>0</v>
      </c>
    </row>
    <row r="130" spans="1:20">
      <c r="A130" s="176" t="s">
        <v>165</v>
      </c>
      <c r="B130" s="172"/>
      <c r="C130" s="180"/>
      <c r="D130" s="181"/>
      <c r="E130" s="182">
        <f t="shared" si="6"/>
        <v>0</v>
      </c>
      <c r="F130" s="180"/>
      <c r="G130" s="181"/>
      <c r="H130" s="182">
        <f t="shared" si="7"/>
        <v>0</v>
      </c>
      <c r="I130" s="180"/>
      <c r="J130" s="181"/>
      <c r="K130" s="182">
        <f t="shared" si="8"/>
        <v>0</v>
      </c>
      <c r="L130" s="180"/>
      <c r="M130" s="181"/>
      <c r="N130" s="183">
        <f t="shared" si="9"/>
        <v>0</v>
      </c>
      <c r="O130" s="273"/>
      <c r="P130" s="181"/>
      <c r="Q130" s="183">
        <f t="shared" si="10"/>
        <v>0</v>
      </c>
      <c r="R130" s="273"/>
      <c r="S130" s="181"/>
      <c r="T130" s="183">
        <f t="shared" si="11"/>
        <v>0</v>
      </c>
    </row>
    <row r="131" spans="1:20">
      <c r="A131" s="176" t="s">
        <v>165</v>
      </c>
      <c r="B131" s="172"/>
      <c r="C131" s="180"/>
      <c r="D131" s="181"/>
      <c r="E131" s="182">
        <f t="shared" si="6"/>
        <v>0</v>
      </c>
      <c r="F131" s="180"/>
      <c r="G131" s="181"/>
      <c r="H131" s="182">
        <f t="shared" si="7"/>
        <v>0</v>
      </c>
      <c r="I131" s="180"/>
      <c r="J131" s="181"/>
      <c r="K131" s="182">
        <f t="shared" si="8"/>
        <v>0</v>
      </c>
      <c r="L131" s="180"/>
      <c r="M131" s="181"/>
      <c r="N131" s="183">
        <f t="shared" si="9"/>
        <v>0</v>
      </c>
      <c r="O131" s="273"/>
      <c r="P131" s="181"/>
      <c r="Q131" s="183">
        <f t="shared" si="10"/>
        <v>0</v>
      </c>
      <c r="R131" s="273"/>
      <c r="S131" s="181"/>
      <c r="T131" s="183">
        <f t="shared" si="11"/>
        <v>0</v>
      </c>
    </row>
    <row r="132" spans="1:20">
      <c r="A132" s="176" t="s">
        <v>165</v>
      </c>
      <c r="B132" s="172"/>
      <c r="C132" s="180"/>
      <c r="D132" s="181"/>
      <c r="E132" s="182">
        <f t="shared" si="6"/>
        <v>0</v>
      </c>
      <c r="F132" s="180"/>
      <c r="G132" s="181"/>
      <c r="H132" s="182">
        <f t="shared" si="7"/>
        <v>0</v>
      </c>
      <c r="I132" s="180"/>
      <c r="J132" s="181"/>
      <c r="K132" s="182">
        <f t="shared" si="8"/>
        <v>0</v>
      </c>
      <c r="L132" s="180"/>
      <c r="M132" s="181"/>
      <c r="N132" s="183">
        <f t="shared" si="9"/>
        <v>0</v>
      </c>
      <c r="O132" s="273"/>
      <c r="P132" s="181"/>
      <c r="Q132" s="183">
        <f t="shared" si="10"/>
        <v>0</v>
      </c>
      <c r="R132" s="273"/>
      <c r="S132" s="181"/>
      <c r="T132" s="183">
        <f t="shared" si="11"/>
        <v>0</v>
      </c>
    </row>
    <row r="133" spans="1:20">
      <c r="A133" s="176" t="s">
        <v>165</v>
      </c>
      <c r="B133" s="172"/>
      <c r="C133" s="180"/>
      <c r="D133" s="181"/>
      <c r="E133" s="182">
        <f t="shared" si="6"/>
        <v>0</v>
      </c>
      <c r="F133" s="180"/>
      <c r="G133" s="181"/>
      <c r="H133" s="182">
        <f t="shared" si="7"/>
        <v>0</v>
      </c>
      <c r="I133" s="180"/>
      <c r="J133" s="181"/>
      <c r="K133" s="182">
        <f t="shared" si="8"/>
        <v>0</v>
      </c>
      <c r="L133" s="180"/>
      <c r="M133" s="181"/>
      <c r="N133" s="183">
        <f t="shared" si="9"/>
        <v>0</v>
      </c>
      <c r="O133" s="273"/>
      <c r="P133" s="181"/>
      <c r="Q133" s="183">
        <f t="shared" si="10"/>
        <v>0</v>
      </c>
      <c r="R133" s="273"/>
      <c r="S133" s="181"/>
      <c r="T133" s="183">
        <f t="shared" si="11"/>
        <v>0</v>
      </c>
    </row>
    <row r="134" spans="1:20">
      <c r="A134" s="185"/>
      <c r="B134" s="172"/>
      <c r="C134" s="180"/>
      <c r="D134" s="181"/>
      <c r="E134" s="182"/>
      <c r="F134" s="180"/>
      <c r="G134" s="181"/>
      <c r="H134" s="182"/>
      <c r="I134" s="180"/>
      <c r="J134" s="181"/>
      <c r="K134" s="182"/>
      <c r="L134" s="180"/>
      <c r="M134" s="181"/>
      <c r="N134" s="183"/>
      <c r="O134" s="273"/>
      <c r="P134" s="181"/>
      <c r="Q134" s="183"/>
      <c r="R134" s="273"/>
      <c r="S134" s="181"/>
      <c r="T134" s="183"/>
    </row>
    <row r="135" spans="1:20">
      <c r="A135" s="171" t="s">
        <v>190</v>
      </c>
      <c r="B135" s="177"/>
      <c r="C135" s="180"/>
      <c r="D135" s="181"/>
      <c r="E135" s="182"/>
      <c r="F135" s="180"/>
      <c r="G135" s="181"/>
      <c r="H135" s="182"/>
      <c r="I135" s="180"/>
      <c r="J135" s="181"/>
      <c r="K135" s="182"/>
      <c r="L135" s="180"/>
      <c r="M135" s="181"/>
      <c r="N135" s="183"/>
      <c r="O135" s="273"/>
      <c r="P135" s="181"/>
      <c r="Q135" s="183"/>
      <c r="R135" s="273"/>
      <c r="S135" s="181"/>
      <c r="T135" s="183"/>
    </row>
    <row r="136" spans="1:20">
      <c r="A136" s="176" t="s">
        <v>165</v>
      </c>
      <c r="B136" s="177"/>
      <c r="C136" s="180"/>
      <c r="D136" s="181"/>
      <c r="E136" s="182">
        <f t="shared" si="6"/>
        <v>0</v>
      </c>
      <c r="F136" s="180"/>
      <c r="G136" s="181"/>
      <c r="H136" s="182">
        <f t="shared" si="7"/>
        <v>0</v>
      </c>
      <c r="I136" s="180"/>
      <c r="J136" s="181"/>
      <c r="K136" s="182">
        <f t="shared" si="8"/>
        <v>0</v>
      </c>
      <c r="L136" s="180"/>
      <c r="M136" s="181"/>
      <c r="N136" s="183">
        <f t="shared" si="9"/>
        <v>0</v>
      </c>
      <c r="O136" s="273"/>
      <c r="P136" s="181"/>
      <c r="Q136" s="183">
        <f t="shared" si="10"/>
        <v>0</v>
      </c>
      <c r="R136" s="273"/>
      <c r="S136" s="181"/>
      <c r="T136" s="183">
        <f t="shared" si="11"/>
        <v>0</v>
      </c>
    </row>
    <row r="137" spans="1:20">
      <c r="A137" s="176" t="s">
        <v>165</v>
      </c>
      <c r="B137" s="177"/>
      <c r="C137" s="180"/>
      <c r="D137" s="181"/>
      <c r="E137" s="182">
        <f t="shared" si="6"/>
        <v>0</v>
      </c>
      <c r="F137" s="180"/>
      <c r="G137" s="181"/>
      <c r="H137" s="182">
        <f t="shared" si="7"/>
        <v>0</v>
      </c>
      <c r="I137" s="180"/>
      <c r="J137" s="181"/>
      <c r="K137" s="182">
        <f t="shared" si="8"/>
        <v>0</v>
      </c>
      <c r="L137" s="180"/>
      <c r="M137" s="181"/>
      <c r="N137" s="183">
        <f t="shared" si="9"/>
        <v>0</v>
      </c>
      <c r="O137" s="273"/>
      <c r="P137" s="181"/>
      <c r="Q137" s="183">
        <f t="shared" si="10"/>
        <v>0</v>
      </c>
      <c r="R137" s="273"/>
      <c r="S137" s="181"/>
      <c r="T137" s="183">
        <f t="shared" si="11"/>
        <v>0</v>
      </c>
    </row>
    <row r="138" spans="1:20">
      <c r="A138" s="176" t="s">
        <v>165</v>
      </c>
      <c r="B138" s="177"/>
      <c r="C138" s="180"/>
      <c r="D138" s="181"/>
      <c r="E138" s="182">
        <f t="shared" si="6"/>
        <v>0</v>
      </c>
      <c r="F138" s="180"/>
      <c r="G138" s="181"/>
      <c r="H138" s="182">
        <f t="shared" si="7"/>
        <v>0</v>
      </c>
      <c r="I138" s="180"/>
      <c r="J138" s="181"/>
      <c r="K138" s="182">
        <f t="shared" si="8"/>
        <v>0</v>
      </c>
      <c r="L138" s="180"/>
      <c r="M138" s="181"/>
      <c r="N138" s="183">
        <f t="shared" si="9"/>
        <v>0</v>
      </c>
      <c r="O138" s="273"/>
      <c r="P138" s="181"/>
      <c r="Q138" s="183">
        <f t="shared" si="10"/>
        <v>0</v>
      </c>
      <c r="R138" s="273"/>
      <c r="S138" s="181"/>
      <c r="T138" s="183">
        <f t="shared" si="11"/>
        <v>0</v>
      </c>
    </row>
    <row r="139" spans="1:20">
      <c r="A139" s="176" t="s">
        <v>165</v>
      </c>
      <c r="B139" s="177"/>
      <c r="C139" s="180"/>
      <c r="D139" s="181"/>
      <c r="E139" s="182">
        <f t="shared" si="6"/>
        <v>0</v>
      </c>
      <c r="F139" s="180"/>
      <c r="G139" s="181"/>
      <c r="H139" s="182">
        <f t="shared" si="7"/>
        <v>0</v>
      </c>
      <c r="I139" s="180"/>
      <c r="J139" s="181"/>
      <c r="K139" s="182">
        <f t="shared" si="8"/>
        <v>0</v>
      </c>
      <c r="L139" s="180"/>
      <c r="M139" s="181"/>
      <c r="N139" s="183">
        <f t="shared" si="9"/>
        <v>0</v>
      </c>
      <c r="O139" s="273"/>
      <c r="P139" s="181"/>
      <c r="Q139" s="183">
        <f t="shared" si="10"/>
        <v>0</v>
      </c>
      <c r="R139" s="273"/>
      <c r="S139" s="181"/>
      <c r="T139" s="183">
        <f t="shared" si="11"/>
        <v>0</v>
      </c>
    </row>
    <row r="140" spans="1:20">
      <c r="A140" s="176" t="s">
        <v>165</v>
      </c>
      <c r="B140" s="184"/>
      <c r="C140" s="180"/>
      <c r="D140" s="181"/>
      <c r="E140" s="182">
        <f t="shared" si="6"/>
        <v>0</v>
      </c>
      <c r="F140" s="180"/>
      <c r="G140" s="181"/>
      <c r="H140" s="182">
        <f t="shared" si="7"/>
        <v>0</v>
      </c>
      <c r="I140" s="180"/>
      <c r="J140" s="181"/>
      <c r="K140" s="182">
        <f t="shared" si="8"/>
        <v>0</v>
      </c>
      <c r="L140" s="180"/>
      <c r="M140" s="181"/>
      <c r="N140" s="183">
        <f t="shared" si="9"/>
        <v>0</v>
      </c>
      <c r="O140" s="273"/>
      <c r="P140" s="181"/>
      <c r="Q140" s="183">
        <f t="shared" si="10"/>
        <v>0</v>
      </c>
      <c r="R140" s="273"/>
      <c r="S140" s="181"/>
      <c r="T140" s="183">
        <f t="shared" si="11"/>
        <v>0</v>
      </c>
    </row>
    <row r="141" spans="1:20">
      <c r="A141" s="176" t="s">
        <v>165</v>
      </c>
      <c r="B141" s="184"/>
      <c r="C141" s="180"/>
      <c r="D141" s="181"/>
      <c r="E141" s="182">
        <f t="shared" ref="E141:E204" si="12">C141*D141</f>
        <v>0</v>
      </c>
      <c r="F141" s="180"/>
      <c r="G141" s="181"/>
      <c r="H141" s="182">
        <f t="shared" ref="H141:H204" si="13">F141*G141</f>
        <v>0</v>
      </c>
      <c r="I141" s="180"/>
      <c r="J141" s="181"/>
      <c r="K141" s="182">
        <f t="shared" ref="K141:K204" si="14">I141*J141</f>
        <v>0</v>
      </c>
      <c r="L141" s="180"/>
      <c r="M141" s="181"/>
      <c r="N141" s="183">
        <f t="shared" ref="N141:N204" si="15">L141*M141</f>
        <v>0</v>
      </c>
      <c r="O141" s="273"/>
      <c r="P141" s="181"/>
      <c r="Q141" s="183">
        <f t="shared" ref="Q141:Q204" si="16">O141*P141</f>
        <v>0</v>
      </c>
      <c r="R141" s="273"/>
      <c r="S141" s="181"/>
      <c r="T141" s="183">
        <f t="shared" ref="T141:T204" si="17">R141*S141</f>
        <v>0</v>
      </c>
    </row>
    <row r="142" spans="1:20">
      <c r="A142" s="176" t="s">
        <v>165</v>
      </c>
      <c r="B142" s="177"/>
      <c r="C142" s="180"/>
      <c r="D142" s="181"/>
      <c r="E142" s="182">
        <f t="shared" si="12"/>
        <v>0</v>
      </c>
      <c r="F142" s="180"/>
      <c r="G142" s="181"/>
      <c r="H142" s="182">
        <f t="shared" si="13"/>
        <v>0</v>
      </c>
      <c r="I142" s="180"/>
      <c r="J142" s="181"/>
      <c r="K142" s="182">
        <f t="shared" si="14"/>
        <v>0</v>
      </c>
      <c r="L142" s="180"/>
      <c r="M142" s="181"/>
      <c r="N142" s="183">
        <f t="shared" si="15"/>
        <v>0</v>
      </c>
      <c r="O142" s="273"/>
      <c r="P142" s="181"/>
      <c r="Q142" s="183">
        <f t="shared" si="16"/>
        <v>0</v>
      </c>
      <c r="R142" s="273"/>
      <c r="S142" s="181"/>
      <c r="T142" s="183">
        <f t="shared" si="17"/>
        <v>0</v>
      </c>
    </row>
    <row r="143" spans="1:20">
      <c r="A143" s="176" t="s">
        <v>165</v>
      </c>
      <c r="B143" s="177"/>
      <c r="C143" s="180"/>
      <c r="D143" s="181"/>
      <c r="E143" s="182">
        <f t="shared" si="12"/>
        <v>0</v>
      </c>
      <c r="F143" s="180"/>
      <c r="G143" s="181"/>
      <c r="H143" s="182">
        <f t="shared" si="13"/>
        <v>0</v>
      </c>
      <c r="I143" s="180"/>
      <c r="J143" s="181"/>
      <c r="K143" s="182">
        <f t="shared" si="14"/>
        <v>0</v>
      </c>
      <c r="L143" s="180"/>
      <c r="M143" s="181"/>
      <c r="N143" s="183">
        <f t="shared" si="15"/>
        <v>0</v>
      </c>
      <c r="O143" s="273"/>
      <c r="P143" s="181"/>
      <c r="Q143" s="183">
        <f t="shared" si="16"/>
        <v>0</v>
      </c>
      <c r="R143" s="273"/>
      <c r="S143" s="181"/>
      <c r="T143" s="183">
        <f t="shared" si="17"/>
        <v>0</v>
      </c>
    </row>
    <row r="144" spans="1:20">
      <c r="A144" s="176" t="s">
        <v>165</v>
      </c>
      <c r="B144" s="177"/>
      <c r="C144" s="180"/>
      <c r="D144" s="181"/>
      <c r="E144" s="182">
        <f t="shared" si="12"/>
        <v>0</v>
      </c>
      <c r="F144" s="180"/>
      <c r="G144" s="181"/>
      <c r="H144" s="182">
        <f t="shared" si="13"/>
        <v>0</v>
      </c>
      <c r="I144" s="180"/>
      <c r="J144" s="181"/>
      <c r="K144" s="182">
        <f t="shared" si="14"/>
        <v>0</v>
      </c>
      <c r="L144" s="180"/>
      <c r="M144" s="181"/>
      <c r="N144" s="183">
        <f t="shared" si="15"/>
        <v>0</v>
      </c>
      <c r="O144" s="273"/>
      <c r="P144" s="181"/>
      <c r="Q144" s="183">
        <f t="shared" si="16"/>
        <v>0</v>
      </c>
      <c r="R144" s="273"/>
      <c r="S144" s="181"/>
      <c r="T144" s="183">
        <f t="shared" si="17"/>
        <v>0</v>
      </c>
    </row>
    <row r="145" spans="1:20">
      <c r="A145" s="176" t="s">
        <v>165</v>
      </c>
      <c r="B145" s="177"/>
      <c r="C145" s="180"/>
      <c r="D145" s="181"/>
      <c r="E145" s="182">
        <f t="shared" si="12"/>
        <v>0</v>
      </c>
      <c r="F145" s="180"/>
      <c r="G145" s="181"/>
      <c r="H145" s="182">
        <f t="shared" si="13"/>
        <v>0</v>
      </c>
      <c r="I145" s="180"/>
      <c r="J145" s="181"/>
      <c r="K145" s="182">
        <f t="shared" si="14"/>
        <v>0</v>
      </c>
      <c r="L145" s="180"/>
      <c r="M145" s="181"/>
      <c r="N145" s="183">
        <f t="shared" si="15"/>
        <v>0</v>
      </c>
      <c r="O145" s="273"/>
      <c r="P145" s="181"/>
      <c r="Q145" s="183">
        <f t="shared" si="16"/>
        <v>0</v>
      </c>
      <c r="R145" s="273"/>
      <c r="S145" s="181"/>
      <c r="T145" s="183">
        <f t="shared" si="17"/>
        <v>0</v>
      </c>
    </row>
    <row r="146" spans="1:20">
      <c r="A146" s="176" t="s">
        <v>165</v>
      </c>
      <c r="B146" s="177"/>
      <c r="C146" s="180"/>
      <c r="D146" s="181"/>
      <c r="E146" s="182">
        <f t="shared" si="12"/>
        <v>0</v>
      </c>
      <c r="F146" s="180"/>
      <c r="G146" s="181"/>
      <c r="H146" s="182">
        <f t="shared" si="13"/>
        <v>0</v>
      </c>
      <c r="I146" s="180"/>
      <c r="J146" s="181"/>
      <c r="K146" s="182">
        <f t="shared" si="14"/>
        <v>0</v>
      </c>
      <c r="L146" s="180"/>
      <c r="M146" s="181"/>
      <c r="N146" s="183">
        <f t="shared" si="15"/>
        <v>0</v>
      </c>
      <c r="O146" s="273"/>
      <c r="P146" s="181"/>
      <c r="Q146" s="183">
        <f t="shared" si="16"/>
        <v>0</v>
      </c>
      <c r="R146" s="273"/>
      <c r="S146" s="181"/>
      <c r="T146" s="183">
        <f t="shared" si="17"/>
        <v>0</v>
      </c>
    </row>
    <row r="147" spans="1:20">
      <c r="A147" s="176" t="s">
        <v>165</v>
      </c>
      <c r="B147" s="177"/>
      <c r="C147" s="180"/>
      <c r="D147" s="181"/>
      <c r="E147" s="182">
        <f t="shared" si="12"/>
        <v>0</v>
      </c>
      <c r="F147" s="180"/>
      <c r="G147" s="181"/>
      <c r="H147" s="182">
        <f t="shared" si="13"/>
        <v>0</v>
      </c>
      <c r="I147" s="180"/>
      <c r="J147" s="181"/>
      <c r="K147" s="182">
        <f t="shared" si="14"/>
        <v>0</v>
      </c>
      <c r="L147" s="180"/>
      <c r="M147" s="181"/>
      <c r="N147" s="183">
        <f t="shared" si="15"/>
        <v>0</v>
      </c>
      <c r="O147" s="273"/>
      <c r="P147" s="181"/>
      <c r="Q147" s="183">
        <f t="shared" si="16"/>
        <v>0</v>
      </c>
      <c r="R147" s="273"/>
      <c r="S147" s="181"/>
      <c r="T147" s="183">
        <f t="shared" si="17"/>
        <v>0</v>
      </c>
    </row>
    <row r="148" spans="1:20">
      <c r="A148" s="176" t="s">
        <v>165</v>
      </c>
      <c r="B148" s="177"/>
      <c r="C148" s="180"/>
      <c r="D148" s="181"/>
      <c r="E148" s="182">
        <f t="shared" si="12"/>
        <v>0</v>
      </c>
      <c r="F148" s="180"/>
      <c r="G148" s="181"/>
      <c r="H148" s="182">
        <f t="shared" si="13"/>
        <v>0</v>
      </c>
      <c r="I148" s="180"/>
      <c r="J148" s="181"/>
      <c r="K148" s="182">
        <f t="shared" si="14"/>
        <v>0</v>
      </c>
      <c r="L148" s="180"/>
      <c r="M148" s="181"/>
      <c r="N148" s="183">
        <f t="shared" si="15"/>
        <v>0</v>
      </c>
      <c r="O148" s="273"/>
      <c r="P148" s="181"/>
      <c r="Q148" s="183">
        <f t="shared" si="16"/>
        <v>0</v>
      </c>
      <c r="R148" s="273"/>
      <c r="S148" s="181"/>
      <c r="T148" s="183">
        <f t="shared" si="17"/>
        <v>0</v>
      </c>
    </row>
    <row r="149" spans="1:20">
      <c r="A149" s="185"/>
      <c r="B149" s="177"/>
      <c r="C149" s="180"/>
      <c r="D149" s="181"/>
      <c r="E149" s="182"/>
      <c r="F149" s="180"/>
      <c r="G149" s="181"/>
      <c r="H149" s="182"/>
      <c r="I149" s="180"/>
      <c r="J149" s="181"/>
      <c r="K149" s="182"/>
      <c r="L149" s="180"/>
      <c r="M149" s="181"/>
      <c r="N149" s="183"/>
      <c r="O149" s="273"/>
      <c r="P149" s="181"/>
      <c r="Q149" s="183"/>
      <c r="R149" s="273"/>
      <c r="S149" s="181"/>
      <c r="T149" s="183"/>
    </row>
    <row r="150" spans="1:20">
      <c r="A150" s="171" t="s">
        <v>190</v>
      </c>
      <c r="B150" s="177"/>
      <c r="C150" s="180"/>
      <c r="D150" s="181"/>
      <c r="E150" s="182"/>
      <c r="F150" s="180"/>
      <c r="G150" s="181"/>
      <c r="H150" s="182"/>
      <c r="I150" s="180"/>
      <c r="J150" s="181"/>
      <c r="K150" s="182"/>
      <c r="L150" s="180"/>
      <c r="M150" s="181"/>
      <c r="N150" s="183"/>
      <c r="O150" s="273"/>
      <c r="P150" s="181"/>
      <c r="Q150" s="183"/>
      <c r="R150" s="273"/>
      <c r="S150" s="181"/>
      <c r="T150" s="183"/>
    </row>
    <row r="151" spans="1:20">
      <c r="A151" s="176" t="s">
        <v>165</v>
      </c>
      <c r="B151" s="177"/>
      <c r="C151" s="180"/>
      <c r="D151" s="181"/>
      <c r="E151" s="182">
        <f t="shared" si="12"/>
        <v>0</v>
      </c>
      <c r="F151" s="180"/>
      <c r="G151" s="181"/>
      <c r="H151" s="182">
        <f t="shared" si="13"/>
        <v>0</v>
      </c>
      <c r="I151" s="180"/>
      <c r="J151" s="181"/>
      <c r="K151" s="182">
        <f t="shared" si="14"/>
        <v>0</v>
      </c>
      <c r="L151" s="180"/>
      <c r="M151" s="181"/>
      <c r="N151" s="183">
        <f t="shared" si="15"/>
        <v>0</v>
      </c>
      <c r="O151" s="273"/>
      <c r="P151" s="181"/>
      <c r="Q151" s="183">
        <f t="shared" si="16"/>
        <v>0</v>
      </c>
      <c r="R151" s="273"/>
      <c r="S151" s="181"/>
      <c r="T151" s="183">
        <f t="shared" si="17"/>
        <v>0</v>
      </c>
    </row>
    <row r="152" spans="1:20">
      <c r="A152" s="176" t="s">
        <v>165</v>
      </c>
      <c r="B152" s="177"/>
      <c r="C152" s="180"/>
      <c r="D152" s="181"/>
      <c r="E152" s="182">
        <f t="shared" si="12"/>
        <v>0</v>
      </c>
      <c r="F152" s="180"/>
      <c r="G152" s="181"/>
      <c r="H152" s="182">
        <f t="shared" si="13"/>
        <v>0</v>
      </c>
      <c r="I152" s="180"/>
      <c r="J152" s="181"/>
      <c r="K152" s="182">
        <f t="shared" si="14"/>
        <v>0</v>
      </c>
      <c r="L152" s="180"/>
      <c r="M152" s="181"/>
      <c r="N152" s="183">
        <f t="shared" si="15"/>
        <v>0</v>
      </c>
      <c r="O152" s="273"/>
      <c r="P152" s="181"/>
      <c r="Q152" s="183">
        <f t="shared" si="16"/>
        <v>0</v>
      </c>
      <c r="R152" s="273"/>
      <c r="S152" s="181"/>
      <c r="T152" s="183">
        <f t="shared" si="17"/>
        <v>0</v>
      </c>
    </row>
    <row r="153" spans="1:20">
      <c r="A153" s="176" t="s">
        <v>165</v>
      </c>
      <c r="B153" s="184"/>
      <c r="C153" s="180"/>
      <c r="D153" s="181"/>
      <c r="E153" s="182">
        <f t="shared" si="12"/>
        <v>0</v>
      </c>
      <c r="F153" s="180"/>
      <c r="G153" s="181"/>
      <c r="H153" s="182">
        <f t="shared" si="13"/>
        <v>0</v>
      </c>
      <c r="I153" s="180"/>
      <c r="J153" s="181"/>
      <c r="K153" s="182">
        <f t="shared" si="14"/>
        <v>0</v>
      </c>
      <c r="L153" s="180"/>
      <c r="M153" s="181"/>
      <c r="N153" s="183">
        <f t="shared" si="15"/>
        <v>0</v>
      </c>
      <c r="O153" s="273"/>
      <c r="P153" s="181"/>
      <c r="Q153" s="183">
        <f t="shared" si="16"/>
        <v>0</v>
      </c>
      <c r="R153" s="273"/>
      <c r="S153" s="181"/>
      <c r="T153" s="183">
        <f t="shared" si="17"/>
        <v>0</v>
      </c>
    </row>
    <row r="154" spans="1:20">
      <c r="A154" s="176" t="s">
        <v>165</v>
      </c>
      <c r="B154" s="184"/>
      <c r="C154" s="180"/>
      <c r="D154" s="181"/>
      <c r="E154" s="182">
        <f t="shared" si="12"/>
        <v>0</v>
      </c>
      <c r="F154" s="180"/>
      <c r="G154" s="181"/>
      <c r="H154" s="182">
        <f t="shared" si="13"/>
        <v>0</v>
      </c>
      <c r="I154" s="180"/>
      <c r="J154" s="181"/>
      <c r="K154" s="182">
        <f t="shared" si="14"/>
        <v>0</v>
      </c>
      <c r="L154" s="180"/>
      <c r="M154" s="181"/>
      <c r="N154" s="183">
        <f t="shared" si="15"/>
        <v>0</v>
      </c>
      <c r="O154" s="273"/>
      <c r="P154" s="181"/>
      <c r="Q154" s="183">
        <f t="shared" si="16"/>
        <v>0</v>
      </c>
      <c r="R154" s="273"/>
      <c r="S154" s="181"/>
      <c r="T154" s="183">
        <f t="shared" si="17"/>
        <v>0</v>
      </c>
    </row>
    <row r="155" spans="1:20">
      <c r="A155" s="176" t="s">
        <v>165</v>
      </c>
      <c r="B155" s="177"/>
      <c r="C155" s="180"/>
      <c r="D155" s="181"/>
      <c r="E155" s="182">
        <f t="shared" si="12"/>
        <v>0</v>
      </c>
      <c r="F155" s="180"/>
      <c r="G155" s="181"/>
      <c r="H155" s="182">
        <f t="shared" si="13"/>
        <v>0</v>
      </c>
      <c r="I155" s="180"/>
      <c r="J155" s="181"/>
      <c r="K155" s="182">
        <f t="shared" si="14"/>
        <v>0</v>
      </c>
      <c r="L155" s="180"/>
      <c r="M155" s="181"/>
      <c r="N155" s="183">
        <f t="shared" si="15"/>
        <v>0</v>
      </c>
      <c r="O155" s="273"/>
      <c r="P155" s="181"/>
      <c r="Q155" s="183">
        <f t="shared" si="16"/>
        <v>0</v>
      </c>
      <c r="R155" s="273"/>
      <c r="S155" s="181"/>
      <c r="T155" s="183">
        <f t="shared" si="17"/>
        <v>0</v>
      </c>
    </row>
    <row r="156" spans="1:20">
      <c r="A156" s="176" t="s">
        <v>165</v>
      </c>
      <c r="B156" s="177"/>
      <c r="C156" s="180"/>
      <c r="D156" s="181"/>
      <c r="E156" s="182">
        <f t="shared" si="12"/>
        <v>0</v>
      </c>
      <c r="F156" s="180"/>
      <c r="G156" s="181"/>
      <c r="H156" s="182">
        <f t="shared" si="13"/>
        <v>0</v>
      </c>
      <c r="I156" s="180"/>
      <c r="J156" s="181"/>
      <c r="K156" s="182">
        <f t="shared" si="14"/>
        <v>0</v>
      </c>
      <c r="L156" s="180"/>
      <c r="M156" s="181"/>
      <c r="N156" s="183">
        <f t="shared" si="15"/>
        <v>0</v>
      </c>
      <c r="O156" s="273"/>
      <c r="P156" s="181"/>
      <c r="Q156" s="183">
        <f t="shared" si="16"/>
        <v>0</v>
      </c>
      <c r="R156" s="273"/>
      <c r="S156" s="181"/>
      <c r="T156" s="183">
        <f t="shared" si="17"/>
        <v>0</v>
      </c>
    </row>
    <row r="157" spans="1:20">
      <c r="A157" s="176" t="s">
        <v>165</v>
      </c>
      <c r="B157" s="177"/>
      <c r="C157" s="180"/>
      <c r="D157" s="181"/>
      <c r="E157" s="182">
        <f t="shared" si="12"/>
        <v>0</v>
      </c>
      <c r="F157" s="180"/>
      <c r="G157" s="181"/>
      <c r="H157" s="182">
        <f t="shared" si="13"/>
        <v>0</v>
      </c>
      <c r="I157" s="180"/>
      <c r="J157" s="181"/>
      <c r="K157" s="182">
        <f t="shared" si="14"/>
        <v>0</v>
      </c>
      <c r="L157" s="180"/>
      <c r="M157" s="181"/>
      <c r="N157" s="183">
        <f t="shared" si="15"/>
        <v>0</v>
      </c>
      <c r="O157" s="273"/>
      <c r="P157" s="181"/>
      <c r="Q157" s="183">
        <f t="shared" si="16"/>
        <v>0</v>
      </c>
      <c r="R157" s="273"/>
      <c r="S157" s="181"/>
      <c r="T157" s="183">
        <f t="shared" si="17"/>
        <v>0</v>
      </c>
    </row>
    <row r="158" spans="1:20">
      <c r="A158" s="176" t="s">
        <v>165</v>
      </c>
      <c r="B158" s="177"/>
      <c r="C158" s="180"/>
      <c r="D158" s="181"/>
      <c r="E158" s="182">
        <f t="shared" si="12"/>
        <v>0</v>
      </c>
      <c r="F158" s="180"/>
      <c r="G158" s="181"/>
      <c r="H158" s="182">
        <f t="shared" si="13"/>
        <v>0</v>
      </c>
      <c r="I158" s="180"/>
      <c r="J158" s="181"/>
      <c r="K158" s="182">
        <f t="shared" si="14"/>
        <v>0</v>
      </c>
      <c r="L158" s="180"/>
      <c r="M158" s="181"/>
      <c r="N158" s="183">
        <f t="shared" si="15"/>
        <v>0</v>
      </c>
      <c r="O158" s="273"/>
      <c r="P158" s="181"/>
      <c r="Q158" s="183">
        <f t="shared" si="16"/>
        <v>0</v>
      </c>
      <c r="R158" s="273"/>
      <c r="S158" s="181"/>
      <c r="T158" s="183">
        <f t="shared" si="17"/>
        <v>0</v>
      </c>
    </row>
    <row r="159" spans="1:20">
      <c r="A159" s="176" t="s">
        <v>165</v>
      </c>
      <c r="B159" s="177"/>
      <c r="C159" s="180"/>
      <c r="D159" s="181"/>
      <c r="E159" s="182">
        <f t="shared" si="12"/>
        <v>0</v>
      </c>
      <c r="F159" s="180"/>
      <c r="G159" s="181"/>
      <c r="H159" s="182">
        <f t="shared" si="13"/>
        <v>0</v>
      </c>
      <c r="I159" s="180"/>
      <c r="J159" s="181"/>
      <c r="K159" s="182">
        <f t="shared" si="14"/>
        <v>0</v>
      </c>
      <c r="L159" s="180"/>
      <c r="M159" s="181"/>
      <c r="N159" s="183">
        <f t="shared" si="15"/>
        <v>0</v>
      </c>
      <c r="O159" s="273"/>
      <c r="P159" s="181"/>
      <c r="Q159" s="183">
        <f t="shared" si="16"/>
        <v>0</v>
      </c>
      <c r="R159" s="273"/>
      <c r="S159" s="181"/>
      <c r="T159" s="183">
        <f t="shared" si="17"/>
        <v>0</v>
      </c>
    </row>
    <row r="160" spans="1:20">
      <c r="A160" s="176" t="s">
        <v>165</v>
      </c>
      <c r="B160" s="177"/>
      <c r="C160" s="180"/>
      <c r="D160" s="181"/>
      <c r="E160" s="182">
        <f t="shared" si="12"/>
        <v>0</v>
      </c>
      <c r="F160" s="180"/>
      <c r="G160" s="181"/>
      <c r="H160" s="182">
        <f t="shared" si="13"/>
        <v>0</v>
      </c>
      <c r="I160" s="180"/>
      <c r="J160" s="181"/>
      <c r="K160" s="182">
        <f t="shared" si="14"/>
        <v>0</v>
      </c>
      <c r="L160" s="180"/>
      <c r="M160" s="181"/>
      <c r="N160" s="183">
        <f t="shared" si="15"/>
        <v>0</v>
      </c>
      <c r="O160" s="273"/>
      <c r="P160" s="181"/>
      <c r="Q160" s="183">
        <f t="shared" si="16"/>
        <v>0</v>
      </c>
      <c r="R160" s="273"/>
      <c r="S160" s="181"/>
      <c r="T160" s="183">
        <f t="shared" si="17"/>
        <v>0</v>
      </c>
    </row>
    <row r="161" spans="1:20">
      <c r="A161" s="176" t="s">
        <v>165</v>
      </c>
      <c r="B161" s="177"/>
      <c r="C161" s="180"/>
      <c r="D161" s="181"/>
      <c r="E161" s="182">
        <f t="shared" si="12"/>
        <v>0</v>
      </c>
      <c r="F161" s="180"/>
      <c r="G161" s="181"/>
      <c r="H161" s="182">
        <f t="shared" si="13"/>
        <v>0</v>
      </c>
      <c r="I161" s="180"/>
      <c r="J161" s="181"/>
      <c r="K161" s="182">
        <f t="shared" si="14"/>
        <v>0</v>
      </c>
      <c r="L161" s="180"/>
      <c r="M161" s="181"/>
      <c r="N161" s="183">
        <f t="shared" si="15"/>
        <v>0</v>
      </c>
      <c r="O161" s="273"/>
      <c r="P161" s="181"/>
      <c r="Q161" s="183">
        <f t="shared" si="16"/>
        <v>0</v>
      </c>
      <c r="R161" s="273"/>
      <c r="S161" s="181"/>
      <c r="T161" s="183">
        <f t="shared" si="17"/>
        <v>0</v>
      </c>
    </row>
    <row r="162" spans="1:20">
      <c r="A162" s="176" t="s">
        <v>165</v>
      </c>
      <c r="B162" s="177"/>
      <c r="C162" s="180"/>
      <c r="D162" s="181"/>
      <c r="E162" s="182">
        <f t="shared" si="12"/>
        <v>0</v>
      </c>
      <c r="F162" s="180"/>
      <c r="G162" s="181"/>
      <c r="H162" s="182">
        <f t="shared" si="13"/>
        <v>0</v>
      </c>
      <c r="I162" s="180"/>
      <c r="J162" s="181"/>
      <c r="K162" s="182">
        <f t="shared" si="14"/>
        <v>0</v>
      </c>
      <c r="L162" s="180"/>
      <c r="M162" s="181"/>
      <c r="N162" s="183">
        <f t="shared" si="15"/>
        <v>0</v>
      </c>
      <c r="O162" s="273"/>
      <c r="P162" s="181"/>
      <c r="Q162" s="183">
        <f t="shared" si="16"/>
        <v>0</v>
      </c>
      <c r="R162" s="273"/>
      <c r="S162" s="181"/>
      <c r="T162" s="183">
        <f t="shared" si="17"/>
        <v>0</v>
      </c>
    </row>
    <row r="163" spans="1:20">
      <c r="A163" s="176" t="s">
        <v>165</v>
      </c>
      <c r="B163" s="177"/>
      <c r="C163" s="180"/>
      <c r="D163" s="181"/>
      <c r="E163" s="182">
        <f t="shared" si="12"/>
        <v>0</v>
      </c>
      <c r="F163" s="180"/>
      <c r="G163" s="181"/>
      <c r="H163" s="182">
        <f t="shared" si="13"/>
        <v>0</v>
      </c>
      <c r="I163" s="180"/>
      <c r="J163" s="181"/>
      <c r="K163" s="182">
        <f t="shared" si="14"/>
        <v>0</v>
      </c>
      <c r="L163" s="180"/>
      <c r="M163" s="181"/>
      <c r="N163" s="183">
        <f t="shared" si="15"/>
        <v>0</v>
      </c>
      <c r="O163" s="273"/>
      <c r="P163" s="181"/>
      <c r="Q163" s="183">
        <f t="shared" si="16"/>
        <v>0</v>
      </c>
      <c r="R163" s="273"/>
      <c r="S163" s="181"/>
      <c r="T163" s="183">
        <f t="shared" si="17"/>
        <v>0</v>
      </c>
    </row>
    <row r="164" spans="1:20">
      <c r="A164" s="185"/>
      <c r="B164" s="177"/>
      <c r="C164" s="180"/>
      <c r="D164" s="181"/>
      <c r="E164" s="182"/>
      <c r="F164" s="180"/>
      <c r="G164" s="181"/>
      <c r="H164" s="182"/>
      <c r="I164" s="180"/>
      <c r="J164" s="181"/>
      <c r="K164" s="182"/>
      <c r="L164" s="180"/>
      <c r="M164" s="181"/>
      <c r="N164" s="183"/>
      <c r="O164" s="273"/>
      <c r="P164" s="181"/>
      <c r="Q164" s="183"/>
      <c r="R164" s="273"/>
      <c r="S164" s="181"/>
      <c r="T164" s="183"/>
    </row>
    <row r="165" spans="1:20">
      <c r="A165" s="171" t="s">
        <v>190</v>
      </c>
      <c r="B165" s="177"/>
      <c r="C165" s="180"/>
      <c r="D165" s="181"/>
      <c r="E165" s="182"/>
      <c r="F165" s="180"/>
      <c r="G165" s="181"/>
      <c r="H165" s="182"/>
      <c r="I165" s="180"/>
      <c r="J165" s="181"/>
      <c r="K165" s="182"/>
      <c r="L165" s="180"/>
      <c r="M165" s="181"/>
      <c r="N165" s="183"/>
      <c r="O165" s="273"/>
      <c r="P165" s="181"/>
      <c r="Q165" s="183"/>
      <c r="R165" s="273"/>
      <c r="S165" s="181"/>
      <c r="T165" s="183"/>
    </row>
    <row r="166" spans="1:20">
      <c r="A166" s="176" t="s">
        <v>165</v>
      </c>
      <c r="B166" s="177"/>
      <c r="C166" s="180"/>
      <c r="D166" s="181"/>
      <c r="E166" s="182">
        <f t="shared" si="12"/>
        <v>0</v>
      </c>
      <c r="F166" s="180"/>
      <c r="G166" s="181"/>
      <c r="H166" s="182">
        <f t="shared" si="13"/>
        <v>0</v>
      </c>
      <c r="I166" s="180"/>
      <c r="J166" s="181"/>
      <c r="K166" s="182">
        <f t="shared" si="14"/>
        <v>0</v>
      </c>
      <c r="L166" s="180"/>
      <c r="M166" s="181"/>
      <c r="N166" s="183">
        <f t="shared" si="15"/>
        <v>0</v>
      </c>
      <c r="O166" s="273"/>
      <c r="P166" s="181"/>
      <c r="Q166" s="183">
        <f t="shared" si="16"/>
        <v>0</v>
      </c>
      <c r="R166" s="273"/>
      <c r="S166" s="181"/>
      <c r="T166" s="183">
        <f t="shared" si="17"/>
        <v>0</v>
      </c>
    </row>
    <row r="167" spans="1:20">
      <c r="A167" s="176" t="s">
        <v>165</v>
      </c>
      <c r="B167" s="184"/>
      <c r="C167" s="180"/>
      <c r="D167" s="181"/>
      <c r="E167" s="182">
        <f t="shared" si="12"/>
        <v>0</v>
      </c>
      <c r="F167" s="180"/>
      <c r="G167" s="181"/>
      <c r="H167" s="182">
        <f t="shared" si="13"/>
        <v>0</v>
      </c>
      <c r="I167" s="180"/>
      <c r="J167" s="181"/>
      <c r="K167" s="182">
        <f t="shared" si="14"/>
        <v>0</v>
      </c>
      <c r="L167" s="180"/>
      <c r="M167" s="181"/>
      <c r="N167" s="183">
        <f t="shared" si="15"/>
        <v>0</v>
      </c>
      <c r="O167" s="273"/>
      <c r="P167" s="181"/>
      <c r="Q167" s="183">
        <f t="shared" si="16"/>
        <v>0</v>
      </c>
      <c r="R167" s="273"/>
      <c r="S167" s="181"/>
      <c r="T167" s="183">
        <f t="shared" si="17"/>
        <v>0</v>
      </c>
    </row>
    <row r="168" spans="1:20">
      <c r="A168" s="176" t="s">
        <v>165</v>
      </c>
      <c r="B168" s="184"/>
      <c r="C168" s="180"/>
      <c r="D168" s="181"/>
      <c r="E168" s="182">
        <f t="shared" si="12"/>
        <v>0</v>
      </c>
      <c r="F168" s="180"/>
      <c r="G168" s="181"/>
      <c r="H168" s="182">
        <f t="shared" si="13"/>
        <v>0</v>
      </c>
      <c r="I168" s="180"/>
      <c r="J168" s="181"/>
      <c r="K168" s="182">
        <f t="shared" si="14"/>
        <v>0</v>
      </c>
      <c r="L168" s="180"/>
      <c r="M168" s="181"/>
      <c r="N168" s="183">
        <f t="shared" si="15"/>
        <v>0</v>
      </c>
      <c r="O168" s="273"/>
      <c r="P168" s="181"/>
      <c r="Q168" s="183">
        <f t="shared" si="16"/>
        <v>0</v>
      </c>
      <c r="R168" s="273"/>
      <c r="S168" s="181"/>
      <c r="T168" s="183">
        <f t="shared" si="17"/>
        <v>0</v>
      </c>
    </row>
    <row r="169" spans="1:20">
      <c r="A169" s="176" t="s">
        <v>165</v>
      </c>
      <c r="B169" s="177"/>
      <c r="C169" s="180"/>
      <c r="D169" s="181"/>
      <c r="E169" s="182">
        <f t="shared" si="12"/>
        <v>0</v>
      </c>
      <c r="F169" s="180"/>
      <c r="G169" s="181"/>
      <c r="H169" s="182">
        <f t="shared" si="13"/>
        <v>0</v>
      </c>
      <c r="I169" s="180"/>
      <c r="J169" s="181"/>
      <c r="K169" s="182">
        <f t="shared" si="14"/>
        <v>0</v>
      </c>
      <c r="L169" s="180"/>
      <c r="M169" s="181"/>
      <c r="N169" s="183">
        <f t="shared" si="15"/>
        <v>0</v>
      </c>
      <c r="O169" s="273"/>
      <c r="P169" s="181"/>
      <c r="Q169" s="183">
        <f t="shared" si="16"/>
        <v>0</v>
      </c>
      <c r="R169" s="273"/>
      <c r="S169" s="181"/>
      <c r="T169" s="183">
        <f t="shared" si="17"/>
        <v>0</v>
      </c>
    </row>
    <row r="170" spans="1:20">
      <c r="A170" s="176" t="s">
        <v>165</v>
      </c>
      <c r="B170" s="177"/>
      <c r="C170" s="180"/>
      <c r="D170" s="181"/>
      <c r="E170" s="182">
        <f t="shared" si="12"/>
        <v>0</v>
      </c>
      <c r="F170" s="180"/>
      <c r="G170" s="181"/>
      <c r="H170" s="182">
        <f t="shared" si="13"/>
        <v>0</v>
      </c>
      <c r="I170" s="180"/>
      <c r="J170" s="181"/>
      <c r="K170" s="182">
        <f t="shared" si="14"/>
        <v>0</v>
      </c>
      <c r="L170" s="180"/>
      <c r="M170" s="181"/>
      <c r="N170" s="183">
        <f t="shared" si="15"/>
        <v>0</v>
      </c>
      <c r="O170" s="273"/>
      <c r="P170" s="181"/>
      <c r="Q170" s="183">
        <f t="shared" si="16"/>
        <v>0</v>
      </c>
      <c r="R170" s="273"/>
      <c r="S170" s="181"/>
      <c r="T170" s="183">
        <f t="shared" si="17"/>
        <v>0</v>
      </c>
    </row>
    <row r="171" spans="1:20">
      <c r="A171" s="176" t="s">
        <v>165</v>
      </c>
      <c r="B171" s="177"/>
      <c r="C171" s="180"/>
      <c r="D171" s="181"/>
      <c r="E171" s="182">
        <f t="shared" si="12"/>
        <v>0</v>
      </c>
      <c r="F171" s="180"/>
      <c r="G171" s="181"/>
      <c r="H171" s="182">
        <f t="shared" si="13"/>
        <v>0</v>
      </c>
      <c r="I171" s="180"/>
      <c r="J171" s="181"/>
      <c r="K171" s="182">
        <f t="shared" si="14"/>
        <v>0</v>
      </c>
      <c r="L171" s="180"/>
      <c r="M171" s="181"/>
      <c r="N171" s="183">
        <f t="shared" si="15"/>
        <v>0</v>
      </c>
      <c r="O171" s="273"/>
      <c r="P171" s="181"/>
      <c r="Q171" s="183">
        <f t="shared" si="16"/>
        <v>0</v>
      </c>
      <c r="R171" s="273"/>
      <c r="S171" s="181"/>
      <c r="T171" s="183">
        <f t="shared" si="17"/>
        <v>0</v>
      </c>
    </row>
    <row r="172" spans="1:20">
      <c r="A172" s="176" t="s">
        <v>165</v>
      </c>
      <c r="B172" s="177"/>
      <c r="C172" s="180"/>
      <c r="D172" s="181"/>
      <c r="E172" s="182">
        <f t="shared" si="12"/>
        <v>0</v>
      </c>
      <c r="F172" s="180"/>
      <c r="G172" s="181"/>
      <c r="H172" s="182">
        <f t="shared" si="13"/>
        <v>0</v>
      </c>
      <c r="I172" s="180"/>
      <c r="J172" s="181"/>
      <c r="K172" s="182">
        <f t="shared" si="14"/>
        <v>0</v>
      </c>
      <c r="L172" s="180"/>
      <c r="M172" s="181"/>
      <c r="N172" s="183">
        <f t="shared" si="15"/>
        <v>0</v>
      </c>
      <c r="O172" s="273"/>
      <c r="P172" s="181"/>
      <c r="Q172" s="183">
        <f t="shared" si="16"/>
        <v>0</v>
      </c>
      <c r="R172" s="273"/>
      <c r="S172" s="181"/>
      <c r="T172" s="183">
        <f t="shared" si="17"/>
        <v>0</v>
      </c>
    </row>
    <row r="173" spans="1:20">
      <c r="A173" s="176" t="s">
        <v>165</v>
      </c>
      <c r="B173" s="177"/>
      <c r="C173" s="180"/>
      <c r="D173" s="181"/>
      <c r="E173" s="182">
        <f t="shared" si="12"/>
        <v>0</v>
      </c>
      <c r="F173" s="180"/>
      <c r="G173" s="181"/>
      <c r="H173" s="182">
        <f t="shared" si="13"/>
        <v>0</v>
      </c>
      <c r="I173" s="180"/>
      <c r="J173" s="181"/>
      <c r="K173" s="182">
        <f t="shared" si="14"/>
        <v>0</v>
      </c>
      <c r="L173" s="180"/>
      <c r="M173" s="181"/>
      <c r="N173" s="183">
        <f t="shared" si="15"/>
        <v>0</v>
      </c>
      <c r="O173" s="273"/>
      <c r="P173" s="181"/>
      <c r="Q173" s="183">
        <f t="shared" si="16"/>
        <v>0</v>
      </c>
      <c r="R173" s="273"/>
      <c r="S173" s="181"/>
      <c r="T173" s="183">
        <f t="shared" si="17"/>
        <v>0</v>
      </c>
    </row>
    <row r="174" spans="1:20">
      <c r="A174" s="176" t="s">
        <v>165</v>
      </c>
      <c r="B174" s="177"/>
      <c r="C174" s="180"/>
      <c r="D174" s="181"/>
      <c r="E174" s="182">
        <f t="shared" si="12"/>
        <v>0</v>
      </c>
      <c r="F174" s="180"/>
      <c r="G174" s="181"/>
      <c r="H174" s="182">
        <f t="shared" si="13"/>
        <v>0</v>
      </c>
      <c r="I174" s="180"/>
      <c r="J174" s="181"/>
      <c r="K174" s="182">
        <f t="shared" si="14"/>
        <v>0</v>
      </c>
      <c r="L174" s="180"/>
      <c r="M174" s="181"/>
      <c r="N174" s="183">
        <f t="shared" si="15"/>
        <v>0</v>
      </c>
      <c r="O174" s="273"/>
      <c r="P174" s="181"/>
      <c r="Q174" s="183">
        <f t="shared" si="16"/>
        <v>0</v>
      </c>
      <c r="R174" s="273"/>
      <c r="S174" s="181"/>
      <c r="T174" s="183">
        <f t="shared" si="17"/>
        <v>0</v>
      </c>
    </row>
    <row r="175" spans="1:20">
      <c r="A175" s="176" t="s">
        <v>165</v>
      </c>
      <c r="B175" s="177"/>
      <c r="C175" s="180"/>
      <c r="D175" s="181"/>
      <c r="E175" s="182">
        <f t="shared" si="12"/>
        <v>0</v>
      </c>
      <c r="F175" s="180"/>
      <c r="G175" s="181"/>
      <c r="H175" s="182">
        <f t="shared" si="13"/>
        <v>0</v>
      </c>
      <c r="I175" s="180"/>
      <c r="J175" s="181"/>
      <c r="K175" s="182">
        <f t="shared" si="14"/>
        <v>0</v>
      </c>
      <c r="L175" s="180"/>
      <c r="M175" s="181"/>
      <c r="N175" s="183">
        <f t="shared" si="15"/>
        <v>0</v>
      </c>
      <c r="O175" s="273"/>
      <c r="P175" s="181"/>
      <c r="Q175" s="183">
        <f t="shared" si="16"/>
        <v>0</v>
      </c>
      <c r="R175" s="273"/>
      <c r="S175" s="181"/>
      <c r="T175" s="183">
        <f t="shared" si="17"/>
        <v>0</v>
      </c>
    </row>
    <row r="176" spans="1:20">
      <c r="A176" s="176" t="s">
        <v>165</v>
      </c>
      <c r="B176" s="177"/>
      <c r="C176" s="180"/>
      <c r="D176" s="181"/>
      <c r="E176" s="182">
        <f t="shared" si="12"/>
        <v>0</v>
      </c>
      <c r="F176" s="180"/>
      <c r="G176" s="181"/>
      <c r="H176" s="182">
        <f t="shared" si="13"/>
        <v>0</v>
      </c>
      <c r="I176" s="180"/>
      <c r="J176" s="181"/>
      <c r="K176" s="182">
        <f t="shared" si="14"/>
        <v>0</v>
      </c>
      <c r="L176" s="180"/>
      <c r="M176" s="181"/>
      <c r="N176" s="183">
        <f t="shared" si="15"/>
        <v>0</v>
      </c>
      <c r="O176" s="273"/>
      <c r="P176" s="181"/>
      <c r="Q176" s="183">
        <f t="shared" si="16"/>
        <v>0</v>
      </c>
      <c r="R176" s="273"/>
      <c r="S176" s="181"/>
      <c r="T176" s="183">
        <f t="shared" si="17"/>
        <v>0</v>
      </c>
    </row>
    <row r="177" spans="1:20">
      <c r="A177" s="176" t="s">
        <v>165</v>
      </c>
      <c r="B177" s="177"/>
      <c r="C177" s="180"/>
      <c r="D177" s="181"/>
      <c r="E177" s="182">
        <f t="shared" si="12"/>
        <v>0</v>
      </c>
      <c r="F177" s="180"/>
      <c r="G177" s="181"/>
      <c r="H177" s="182">
        <f t="shared" si="13"/>
        <v>0</v>
      </c>
      <c r="I177" s="180"/>
      <c r="J177" s="181"/>
      <c r="K177" s="182">
        <f t="shared" si="14"/>
        <v>0</v>
      </c>
      <c r="L177" s="180"/>
      <c r="M177" s="181"/>
      <c r="N177" s="183">
        <f t="shared" si="15"/>
        <v>0</v>
      </c>
      <c r="O177" s="273"/>
      <c r="P177" s="181"/>
      <c r="Q177" s="183">
        <f t="shared" si="16"/>
        <v>0</v>
      </c>
      <c r="R177" s="273"/>
      <c r="S177" s="181"/>
      <c r="T177" s="183">
        <f t="shared" si="17"/>
        <v>0</v>
      </c>
    </row>
    <row r="178" spans="1:20">
      <c r="A178" s="176" t="s">
        <v>165</v>
      </c>
      <c r="B178" s="177"/>
      <c r="C178" s="180"/>
      <c r="D178" s="181"/>
      <c r="E178" s="182">
        <f t="shared" si="12"/>
        <v>0</v>
      </c>
      <c r="F178" s="180"/>
      <c r="G178" s="181"/>
      <c r="H178" s="182">
        <f t="shared" si="13"/>
        <v>0</v>
      </c>
      <c r="I178" s="180"/>
      <c r="J178" s="181"/>
      <c r="K178" s="182">
        <f t="shared" si="14"/>
        <v>0</v>
      </c>
      <c r="L178" s="180"/>
      <c r="M178" s="181"/>
      <c r="N178" s="183">
        <f t="shared" si="15"/>
        <v>0</v>
      </c>
      <c r="O178" s="273"/>
      <c r="P178" s="181"/>
      <c r="Q178" s="183">
        <f t="shared" si="16"/>
        <v>0</v>
      </c>
      <c r="R178" s="273"/>
      <c r="S178" s="181"/>
      <c r="T178" s="183">
        <f t="shared" si="17"/>
        <v>0</v>
      </c>
    </row>
    <row r="179" spans="1:20">
      <c r="A179" s="185"/>
      <c r="B179" s="177"/>
      <c r="C179" s="180"/>
      <c r="D179" s="181"/>
      <c r="E179" s="182"/>
      <c r="F179" s="180"/>
      <c r="G179" s="181"/>
      <c r="H179" s="182"/>
      <c r="I179" s="180"/>
      <c r="J179" s="181"/>
      <c r="K179" s="182"/>
      <c r="L179" s="180"/>
      <c r="M179" s="181"/>
      <c r="N179" s="183"/>
      <c r="O179" s="273"/>
      <c r="P179" s="181"/>
      <c r="Q179" s="183"/>
      <c r="R179" s="273"/>
      <c r="S179" s="181"/>
      <c r="T179" s="183"/>
    </row>
    <row r="180" spans="1:20">
      <c r="A180" s="171" t="s">
        <v>190</v>
      </c>
      <c r="B180" s="184"/>
      <c r="C180" s="180"/>
      <c r="D180" s="181"/>
      <c r="E180" s="182"/>
      <c r="F180" s="180"/>
      <c r="G180" s="181"/>
      <c r="H180" s="182"/>
      <c r="I180" s="180"/>
      <c r="J180" s="181"/>
      <c r="K180" s="182"/>
      <c r="L180" s="180"/>
      <c r="M180" s="181"/>
      <c r="N180" s="183"/>
      <c r="O180" s="273"/>
      <c r="P180" s="181"/>
      <c r="Q180" s="183"/>
      <c r="R180" s="273"/>
      <c r="S180" s="181"/>
      <c r="T180" s="183"/>
    </row>
    <row r="181" spans="1:20">
      <c r="A181" s="176" t="s">
        <v>165</v>
      </c>
      <c r="B181" s="177"/>
      <c r="C181" s="180"/>
      <c r="D181" s="181"/>
      <c r="E181" s="182">
        <f t="shared" si="12"/>
        <v>0</v>
      </c>
      <c r="F181" s="180"/>
      <c r="G181" s="181"/>
      <c r="H181" s="182">
        <f t="shared" si="13"/>
        <v>0</v>
      </c>
      <c r="I181" s="180"/>
      <c r="J181" s="181"/>
      <c r="K181" s="182">
        <f t="shared" si="14"/>
        <v>0</v>
      </c>
      <c r="L181" s="180"/>
      <c r="M181" s="181"/>
      <c r="N181" s="183">
        <f t="shared" si="15"/>
        <v>0</v>
      </c>
      <c r="O181" s="273"/>
      <c r="P181" s="181"/>
      <c r="Q181" s="183">
        <f t="shared" si="16"/>
        <v>0</v>
      </c>
      <c r="R181" s="273"/>
      <c r="S181" s="181"/>
      <c r="T181" s="183">
        <f t="shared" si="17"/>
        <v>0</v>
      </c>
    </row>
    <row r="182" spans="1:20">
      <c r="A182" s="176" t="s">
        <v>165</v>
      </c>
      <c r="B182" s="177"/>
      <c r="C182" s="180"/>
      <c r="D182" s="181"/>
      <c r="E182" s="182">
        <f t="shared" si="12"/>
        <v>0</v>
      </c>
      <c r="F182" s="180"/>
      <c r="G182" s="181"/>
      <c r="H182" s="182">
        <f t="shared" si="13"/>
        <v>0</v>
      </c>
      <c r="I182" s="180"/>
      <c r="J182" s="181"/>
      <c r="K182" s="182">
        <f t="shared" si="14"/>
        <v>0</v>
      </c>
      <c r="L182" s="180"/>
      <c r="M182" s="181"/>
      <c r="N182" s="183">
        <f t="shared" si="15"/>
        <v>0</v>
      </c>
      <c r="O182" s="273"/>
      <c r="P182" s="181"/>
      <c r="Q182" s="183">
        <f t="shared" si="16"/>
        <v>0</v>
      </c>
      <c r="R182" s="273"/>
      <c r="S182" s="181"/>
      <c r="T182" s="183">
        <f t="shared" si="17"/>
        <v>0</v>
      </c>
    </row>
    <row r="183" spans="1:20">
      <c r="A183" s="176" t="s">
        <v>165</v>
      </c>
      <c r="B183" s="177"/>
      <c r="C183" s="180"/>
      <c r="D183" s="181"/>
      <c r="E183" s="182">
        <f t="shared" si="12"/>
        <v>0</v>
      </c>
      <c r="F183" s="180"/>
      <c r="G183" s="181"/>
      <c r="H183" s="182">
        <f t="shared" si="13"/>
        <v>0</v>
      </c>
      <c r="I183" s="180"/>
      <c r="J183" s="181"/>
      <c r="K183" s="182">
        <f t="shared" si="14"/>
        <v>0</v>
      </c>
      <c r="L183" s="180"/>
      <c r="M183" s="181"/>
      <c r="N183" s="183">
        <f t="shared" si="15"/>
        <v>0</v>
      </c>
      <c r="O183" s="273"/>
      <c r="P183" s="181"/>
      <c r="Q183" s="183">
        <f t="shared" si="16"/>
        <v>0</v>
      </c>
      <c r="R183" s="273"/>
      <c r="S183" s="181"/>
      <c r="T183" s="183">
        <f t="shared" si="17"/>
        <v>0</v>
      </c>
    </row>
    <row r="184" spans="1:20">
      <c r="A184" s="176" t="s">
        <v>165</v>
      </c>
      <c r="B184" s="177"/>
      <c r="C184" s="180"/>
      <c r="D184" s="181"/>
      <c r="E184" s="182">
        <f t="shared" si="12"/>
        <v>0</v>
      </c>
      <c r="F184" s="180"/>
      <c r="G184" s="181"/>
      <c r="H184" s="182">
        <f t="shared" si="13"/>
        <v>0</v>
      </c>
      <c r="I184" s="180"/>
      <c r="J184" s="181"/>
      <c r="K184" s="182">
        <f t="shared" si="14"/>
        <v>0</v>
      </c>
      <c r="L184" s="180"/>
      <c r="M184" s="181"/>
      <c r="N184" s="183">
        <f t="shared" si="15"/>
        <v>0</v>
      </c>
      <c r="O184" s="273"/>
      <c r="P184" s="181"/>
      <c r="Q184" s="183">
        <f t="shared" si="16"/>
        <v>0</v>
      </c>
      <c r="R184" s="273"/>
      <c r="S184" s="181"/>
      <c r="T184" s="183">
        <f t="shared" si="17"/>
        <v>0</v>
      </c>
    </row>
    <row r="185" spans="1:20">
      <c r="A185" s="176" t="s">
        <v>165</v>
      </c>
      <c r="B185" s="177"/>
      <c r="C185" s="180"/>
      <c r="D185" s="181"/>
      <c r="E185" s="182">
        <f t="shared" si="12"/>
        <v>0</v>
      </c>
      <c r="F185" s="180"/>
      <c r="G185" s="181"/>
      <c r="H185" s="182">
        <f t="shared" si="13"/>
        <v>0</v>
      </c>
      <c r="I185" s="180"/>
      <c r="J185" s="181"/>
      <c r="K185" s="182">
        <f t="shared" si="14"/>
        <v>0</v>
      </c>
      <c r="L185" s="180"/>
      <c r="M185" s="181"/>
      <c r="N185" s="183">
        <f t="shared" si="15"/>
        <v>0</v>
      </c>
      <c r="O185" s="273"/>
      <c r="P185" s="181"/>
      <c r="Q185" s="183">
        <f t="shared" si="16"/>
        <v>0</v>
      </c>
      <c r="R185" s="273"/>
      <c r="S185" s="181"/>
      <c r="T185" s="183">
        <f t="shared" si="17"/>
        <v>0</v>
      </c>
    </row>
    <row r="186" spans="1:20">
      <c r="A186" s="176" t="s">
        <v>165</v>
      </c>
      <c r="B186" s="177"/>
      <c r="C186" s="180"/>
      <c r="D186" s="181"/>
      <c r="E186" s="182">
        <f t="shared" si="12"/>
        <v>0</v>
      </c>
      <c r="F186" s="180"/>
      <c r="G186" s="181"/>
      <c r="H186" s="182">
        <f t="shared" si="13"/>
        <v>0</v>
      </c>
      <c r="I186" s="180"/>
      <c r="J186" s="181"/>
      <c r="K186" s="182">
        <f t="shared" si="14"/>
        <v>0</v>
      </c>
      <c r="L186" s="180"/>
      <c r="M186" s="181"/>
      <c r="N186" s="183">
        <f t="shared" si="15"/>
        <v>0</v>
      </c>
      <c r="O186" s="273"/>
      <c r="P186" s="181"/>
      <c r="Q186" s="183">
        <f t="shared" si="16"/>
        <v>0</v>
      </c>
      <c r="R186" s="273"/>
      <c r="S186" s="181"/>
      <c r="T186" s="183">
        <f t="shared" si="17"/>
        <v>0</v>
      </c>
    </row>
    <row r="187" spans="1:20">
      <c r="A187" s="176" t="s">
        <v>165</v>
      </c>
      <c r="B187" s="177"/>
      <c r="C187" s="180"/>
      <c r="D187" s="181"/>
      <c r="E187" s="182">
        <f t="shared" si="12"/>
        <v>0</v>
      </c>
      <c r="F187" s="180"/>
      <c r="G187" s="181"/>
      <c r="H187" s="182">
        <f t="shared" si="13"/>
        <v>0</v>
      </c>
      <c r="I187" s="180"/>
      <c r="J187" s="181"/>
      <c r="K187" s="182">
        <f t="shared" si="14"/>
        <v>0</v>
      </c>
      <c r="L187" s="180"/>
      <c r="M187" s="181"/>
      <c r="N187" s="183">
        <f t="shared" si="15"/>
        <v>0</v>
      </c>
      <c r="O187" s="273"/>
      <c r="P187" s="181"/>
      <c r="Q187" s="183">
        <f t="shared" si="16"/>
        <v>0</v>
      </c>
      <c r="R187" s="273"/>
      <c r="S187" s="181"/>
      <c r="T187" s="183">
        <f t="shared" si="17"/>
        <v>0</v>
      </c>
    </row>
    <row r="188" spans="1:20">
      <c r="A188" s="176" t="s">
        <v>165</v>
      </c>
      <c r="B188" s="184"/>
      <c r="C188" s="180"/>
      <c r="D188" s="181"/>
      <c r="E188" s="182">
        <f t="shared" si="12"/>
        <v>0</v>
      </c>
      <c r="F188" s="180"/>
      <c r="G188" s="181"/>
      <c r="H188" s="182">
        <f t="shared" si="13"/>
        <v>0</v>
      </c>
      <c r="I188" s="180"/>
      <c r="J188" s="181"/>
      <c r="K188" s="182">
        <f t="shared" si="14"/>
        <v>0</v>
      </c>
      <c r="L188" s="180"/>
      <c r="M188" s="181"/>
      <c r="N188" s="183">
        <f t="shared" si="15"/>
        <v>0</v>
      </c>
      <c r="O188" s="273"/>
      <c r="P188" s="181"/>
      <c r="Q188" s="183">
        <f t="shared" si="16"/>
        <v>0</v>
      </c>
      <c r="R188" s="273"/>
      <c r="S188" s="181"/>
      <c r="T188" s="183">
        <f t="shared" si="17"/>
        <v>0</v>
      </c>
    </row>
    <row r="189" spans="1:20">
      <c r="A189" s="176" t="s">
        <v>165</v>
      </c>
      <c r="B189" s="177"/>
      <c r="C189" s="180"/>
      <c r="D189" s="181"/>
      <c r="E189" s="182">
        <f t="shared" si="12"/>
        <v>0</v>
      </c>
      <c r="F189" s="180"/>
      <c r="G189" s="181"/>
      <c r="H189" s="182">
        <f t="shared" si="13"/>
        <v>0</v>
      </c>
      <c r="I189" s="180"/>
      <c r="J189" s="181"/>
      <c r="K189" s="182">
        <f t="shared" si="14"/>
        <v>0</v>
      </c>
      <c r="L189" s="180"/>
      <c r="M189" s="181"/>
      <c r="N189" s="183">
        <f t="shared" si="15"/>
        <v>0</v>
      </c>
      <c r="O189" s="273"/>
      <c r="P189" s="181"/>
      <c r="Q189" s="183">
        <f t="shared" si="16"/>
        <v>0</v>
      </c>
      <c r="R189" s="273"/>
      <c r="S189" s="181"/>
      <c r="T189" s="183">
        <f t="shared" si="17"/>
        <v>0</v>
      </c>
    </row>
    <row r="190" spans="1:20">
      <c r="A190" s="176" t="s">
        <v>165</v>
      </c>
      <c r="B190" s="177"/>
      <c r="C190" s="180"/>
      <c r="D190" s="181"/>
      <c r="E190" s="182">
        <f t="shared" si="12"/>
        <v>0</v>
      </c>
      <c r="F190" s="180"/>
      <c r="G190" s="181"/>
      <c r="H190" s="182">
        <f t="shared" si="13"/>
        <v>0</v>
      </c>
      <c r="I190" s="180"/>
      <c r="J190" s="181"/>
      <c r="K190" s="182">
        <f t="shared" si="14"/>
        <v>0</v>
      </c>
      <c r="L190" s="180"/>
      <c r="M190" s="181"/>
      <c r="N190" s="183">
        <f t="shared" si="15"/>
        <v>0</v>
      </c>
      <c r="O190" s="273"/>
      <c r="P190" s="181"/>
      <c r="Q190" s="183">
        <f t="shared" si="16"/>
        <v>0</v>
      </c>
      <c r="R190" s="273"/>
      <c r="S190" s="181"/>
      <c r="T190" s="183">
        <f t="shared" si="17"/>
        <v>0</v>
      </c>
    </row>
    <row r="191" spans="1:20">
      <c r="A191" s="176" t="s">
        <v>165</v>
      </c>
      <c r="B191" s="177"/>
      <c r="C191" s="180"/>
      <c r="D191" s="181"/>
      <c r="E191" s="182">
        <f t="shared" si="12"/>
        <v>0</v>
      </c>
      <c r="F191" s="180"/>
      <c r="G191" s="181"/>
      <c r="H191" s="182">
        <f t="shared" si="13"/>
        <v>0</v>
      </c>
      <c r="I191" s="180"/>
      <c r="J191" s="181"/>
      <c r="K191" s="182">
        <f t="shared" si="14"/>
        <v>0</v>
      </c>
      <c r="L191" s="180"/>
      <c r="M191" s="181"/>
      <c r="N191" s="183">
        <f t="shared" si="15"/>
        <v>0</v>
      </c>
      <c r="O191" s="273"/>
      <c r="P191" s="181"/>
      <c r="Q191" s="183">
        <f t="shared" si="16"/>
        <v>0</v>
      </c>
      <c r="R191" s="273"/>
      <c r="S191" s="181"/>
      <c r="T191" s="183">
        <f t="shared" si="17"/>
        <v>0</v>
      </c>
    </row>
    <row r="192" spans="1:20">
      <c r="A192" s="176" t="s">
        <v>165</v>
      </c>
      <c r="B192" s="177"/>
      <c r="C192" s="180"/>
      <c r="D192" s="181"/>
      <c r="E192" s="182">
        <f t="shared" si="12"/>
        <v>0</v>
      </c>
      <c r="F192" s="180"/>
      <c r="G192" s="181"/>
      <c r="H192" s="182">
        <f t="shared" si="13"/>
        <v>0</v>
      </c>
      <c r="I192" s="180"/>
      <c r="J192" s="181"/>
      <c r="K192" s="182">
        <f t="shared" si="14"/>
        <v>0</v>
      </c>
      <c r="L192" s="180"/>
      <c r="M192" s="181"/>
      <c r="N192" s="183">
        <f t="shared" si="15"/>
        <v>0</v>
      </c>
      <c r="O192" s="273"/>
      <c r="P192" s="181"/>
      <c r="Q192" s="183">
        <f t="shared" si="16"/>
        <v>0</v>
      </c>
      <c r="R192" s="273"/>
      <c r="S192" s="181"/>
      <c r="T192" s="183">
        <f t="shared" si="17"/>
        <v>0</v>
      </c>
    </row>
    <row r="193" spans="1:20">
      <c r="A193" s="176" t="s">
        <v>165</v>
      </c>
      <c r="B193" s="177"/>
      <c r="C193" s="180"/>
      <c r="D193" s="181"/>
      <c r="E193" s="182">
        <f t="shared" si="12"/>
        <v>0</v>
      </c>
      <c r="F193" s="180"/>
      <c r="G193" s="181"/>
      <c r="H193" s="182">
        <f t="shared" si="13"/>
        <v>0</v>
      </c>
      <c r="I193" s="180"/>
      <c r="J193" s="181"/>
      <c r="K193" s="182">
        <f t="shared" si="14"/>
        <v>0</v>
      </c>
      <c r="L193" s="180"/>
      <c r="M193" s="181"/>
      <c r="N193" s="183">
        <f t="shared" si="15"/>
        <v>0</v>
      </c>
      <c r="O193" s="273"/>
      <c r="P193" s="181"/>
      <c r="Q193" s="183">
        <f t="shared" si="16"/>
        <v>0</v>
      </c>
      <c r="R193" s="273"/>
      <c r="S193" s="181"/>
      <c r="T193" s="183">
        <f t="shared" si="17"/>
        <v>0</v>
      </c>
    </row>
    <row r="194" spans="1:20">
      <c r="A194" s="185"/>
      <c r="B194" s="177"/>
      <c r="C194" s="180"/>
      <c r="D194" s="181"/>
      <c r="E194" s="182"/>
      <c r="F194" s="180"/>
      <c r="G194" s="181"/>
      <c r="H194" s="182"/>
      <c r="I194" s="180"/>
      <c r="J194" s="181"/>
      <c r="K194" s="182"/>
      <c r="L194" s="180"/>
      <c r="M194" s="181"/>
      <c r="N194" s="183"/>
      <c r="O194" s="273"/>
      <c r="P194" s="181"/>
      <c r="Q194" s="183"/>
      <c r="R194" s="273"/>
      <c r="S194" s="181"/>
      <c r="T194" s="183"/>
    </row>
    <row r="195" spans="1:20">
      <c r="A195" s="171" t="s">
        <v>190</v>
      </c>
      <c r="B195" s="177"/>
      <c r="C195" s="180"/>
      <c r="D195" s="181"/>
      <c r="E195" s="182"/>
      <c r="F195" s="180"/>
      <c r="G195" s="181"/>
      <c r="H195" s="182"/>
      <c r="I195" s="180"/>
      <c r="J195" s="181"/>
      <c r="K195" s="182"/>
      <c r="L195" s="180"/>
      <c r="M195" s="181"/>
      <c r="N195" s="183"/>
      <c r="O195" s="273"/>
      <c r="P195" s="181"/>
      <c r="Q195" s="183"/>
      <c r="R195" s="273"/>
      <c r="S195" s="181"/>
      <c r="T195" s="183"/>
    </row>
    <row r="196" spans="1:20">
      <c r="A196" s="176" t="s">
        <v>165</v>
      </c>
      <c r="B196" s="184"/>
      <c r="C196" s="180"/>
      <c r="D196" s="181"/>
      <c r="E196" s="182">
        <f t="shared" si="12"/>
        <v>0</v>
      </c>
      <c r="F196" s="180"/>
      <c r="G196" s="181"/>
      <c r="H196" s="182">
        <f t="shared" si="13"/>
        <v>0</v>
      </c>
      <c r="I196" s="180"/>
      <c r="J196" s="181"/>
      <c r="K196" s="182">
        <f t="shared" si="14"/>
        <v>0</v>
      </c>
      <c r="L196" s="180"/>
      <c r="M196" s="181"/>
      <c r="N196" s="183">
        <f t="shared" si="15"/>
        <v>0</v>
      </c>
      <c r="O196" s="273"/>
      <c r="P196" s="181"/>
      <c r="Q196" s="183">
        <f t="shared" si="16"/>
        <v>0</v>
      </c>
      <c r="R196" s="273"/>
      <c r="S196" s="181"/>
      <c r="T196" s="183">
        <f t="shared" si="17"/>
        <v>0</v>
      </c>
    </row>
    <row r="197" spans="1:20">
      <c r="A197" s="176" t="s">
        <v>165</v>
      </c>
      <c r="B197" s="177"/>
      <c r="C197" s="180"/>
      <c r="D197" s="181"/>
      <c r="E197" s="182">
        <f t="shared" si="12"/>
        <v>0</v>
      </c>
      <c r="F197" s="180"/>
      <c r="G197" s="181"/>
      <c r="H197" s="182">
        <f t="shared" si="13"/>
        <v>0</v>
      </c>
      <c r="I197" s="180"/>
      <c r="J197" s="181"/>
      <c r="K197" s="182">
        <f t="shared" si="14"/>
        <v>0</v>
      </c>
      <c r="L197" s="180"/>
      <c r="M197" s="181"/>
      <c r="N197" s="183">
        <f t="shared" si="15"/>
        <v>0</v>
      </c>
      <c r="O197" s="273"/>
      <c r="P197" s="181"/>
      <c r="Q197" s="183">
        <f t="shared" si="16"/>
        <v>0</v>
      </c>
      <c r="R197" s="273"/>
      <c r="S197" s="181"/>
      <c r="T197" s="183">
        <f t="shared" si="17"/>
        <v>0</v>
      </c>
    </row>
    <row r="198" spans="1:20">
      <c r="A198" s="176" t="s">
        <v>165</v>
      </c>
      <c r="B198" s="177"/>
      <c r="C198" s="180"/>
      <c r="D198" s="181"/>
      <c r="E198" s="182">
        <f t="shared" si="12"/>
        <v>0</v>
      </c>
      <c r="F198" s="180"/>
      <c r="G198" s="181"/>
      <c r="H198" s="182">
        <f t="shared" si="13"/>
        <v>0</v>
      </c>
      <c r="I198" s="180"/>
      <c r="J198" s="181"/>
      <c r="K198" s="182">
        <f t="shared" si="14"/>
        <v>0</v>
      </c>
      <c r="L198" s="180"/>
      <c r="M198" s="181"/>
      <c r="N198" s="183">
        <f t="shared" si="15"/>
        <v>0</v>
      </c>
      <c r="O198" s="273"/>
      <c r="P198" s="181"/>
      <c r="Q198" s="183">
        <f t="shared" si="16"/>
        <v>0</v>
      </c>
      <c r="R198" s="273"/>
      <c r="S198" s="181"/>
      <c r="T198" s="183">
        <f t="shared" si="17"/>
        <v>0</v>
      </c>
    </row>
    <row r="199" spans="1:20">
      <c r="A199" s="176" t="s">
        <v>165</v>
      </c>
      <c r="B199" s="177"/>
      <c r="C199" s="180"/>
      <c r="D199" s="181"/>
      <c r="E199" s="182">
        <f t="shared" si="12"/>
        <v>0</v>
      </c>
      <c r="F199" s="180"/>
      <c r="G199" s="181"/>
      <c r="H199" s="182">
        <f t="shared" si="13"/>
        <v>0</v>
      </c>
      <c r="I199" s="180"/>
      <c r="J199" s="181"/>
      <c r="K199" s="182">
        <f t="shared" si="14"/>
        <v>0</v>
      </c>
      <c r="L199" s="180"/>
      <c r="M199" s="181"/>
      <c r="N199" s="183">
        <f t="shared" si="15"/>
        <v>0</v>
      </c>
      <c r="O199" s="273"/>
      <c r="P199" s="181"/>
      <c r="Q199" s="183">
        <f t="shared" si="16"/>
        <v>0</v>
      </c>
      <c r="R199" s="273"/>
      <c r="S199" s="181"/>
      <c r="T199" s="183">
        <f t="shared" si="17"/>
        <v>0</v>
      </c>
    </row>
    <row r="200" spans="1:20">
      <c r="A200" s="176" t="s">
        <v>165</v>
      </c>
      <c r="B200" s="177"/>
      <c r="C200" s="180"/>
      <c r="D200" s="181"/>
      <c r="E200" s="182">
        <f t="shared" si="12"/>
        <v>0</v>
      </c>
      <c r="F200" s="180"/>
      <c r="G200" s="181"/>
      <c r="H200" s="182">
        <f t="shared" si="13"/>
        <v>0</v>
      </c>
      <c r="I200" s="180"/>
      <c r="J200" s="181"/>
      <c r="K200" s="182">
        <f t="shared" si="14"/>
        <v>0</v>
      </c>
      <c r="L200" s="180"/>
      <c r="M200" s="181"/>
      <c r="N200" s="183">
        <f t="shared" si="15"/>
        <v>0</v>
      </c>
      <c r="O200" s="273"/>
      <c r="P200" s="181"/>
      <c r="Q200" s="183">
        <f t="shared" si="16"/>
        <v>0</v>
      </c>
      <c r="R200" s="273"/>
      <c r="S200" s="181"/>
      <c r="T200" s="183">
        <f t="shared" si="17"/>
        <v>0</v>
      </c>
    </row>
    <row r="201" spans="1:20">
      <c r="A201" s="176" t="s">
        <v>165</v>
      </c>
      <c r="B201" s="177"/>
      <c r="C201" s="180"/>
      <c r="D201" s="181"/>
      <c r="E201" s="182">
        <f t="shared" si="12"/>
        <v>0</v>
      </c>
      <c r="F201" s="180"/>
      <c r="G201" s="181"/>
      <c r="H201" s="182">
        <f t="shared" si="13"/>
        <v>0</v>
      </c>
      <c r="I201" s="180"/>
      <c r="J201" s="181"/>
      <c r="K201" s="182">
        <f t="shared" si="14"/>
        <v>0</v>
      </c>
      <c r="L201" s="180"/>
      <c r="M201" s="181"/>
      <c r="N201" s="183">
        <f t="shared" si="15"/>
        <v>0</v>
      </c>
      <c r="O201" s="273"/>
      <c r="P201" s="181"/>
      <c r="Q201" s="183">
        <f t="shared" si="16"/>
        <v>0</v>
      </c>
      <c r="R201" s="273"/>
      <c r="S201" s="181"/>
      <c r="T201" s="183">
        <f t="shared" si="17"/>
        <v>0</v>
      </c>
    </row>
    <row r="202" spans="1:20">
      <c r="A202" s="176" t="s">
        <v>165</v>
      </c>
      <c r="B202" s="177"/>
      <c r="C202" s="180"/>
      <c r="D202" s="181"/>
      <c r="E202" s="182">
        <f t="shared" si="12"/>
        <v>0</v>
      </c>
      <c r="F202" s="180"/>
      <c r="G202" s="181"/>
      <c r="H202" s="182">
        <f t="shared" si="13"/>
        <v>0</v>
      </c>
      <c r="I202" s="180"/>
      <c r="J202" s="181"/>
      <c r="K202" s="182">
        <f t="shared" si="14"/>
        <v>0</v>
      </c>
      <c r="L202" s="180"/>
      <c r="M202" s="181"/>
      <c r="N202" s="183">
        <f t="shared" si="15"/>
        <v>0</v>
      </c>
      <c r="O202" s="273"/>
      <c r="P202" s="181"/>
      <c r="Q202" s="183">
        <f t="shared" si="16"/>
        <v>0</v>
      </c>
      <c r="R202" s="273"/>
      <c r="S202" s="181"/>
      <c r="T202" s="183">
        <f t="shared" si="17"/>
        <v>0</v>
      </c>
    </row>
    <row r="203" spans="1:20">
      <c r="A203" s="176" t="s">
        <v>165</v>
      </c>
      <c r="B203" s="177"/>
      <c r="C203" s="180"/>
      <c r="D203" s="181"/>
      <c r="E203" s="182">
        <f t="shared" si="12"/>
        <v>0</v>
      </c>
      <c r="F203" s="180"/>
      <c r="G203" s="181"/>
      <c r="H203" s="182">
        <f t="shared" si="13"/>
        <v>0</v>
      </c>
      <c r="I203" s="180"/>
      <c r="J203" s="181"/>
      <c r="K203" s="182">
        <f t="shared" si="14"/>
        <v>0</v>
      </c>
      <c r="L203" s="180"/>
      <c r="M203" s="181"/>
      <c r="N203" s="183">
        <f t="shared" si="15"/>
        <v>0</v>
      </c>
      <c r="O203" s="273"/>
      <c r="P203" s="181"/>
      <c r="Q203" s="183">
        <f t="shared" si="16"/>
        <v>0</v>
      </c>
      <c r="R203" s="273"/>
      <c r="S203" s="181"/>
      <c r="T203" s="183">
        <f t="shared" si="17"/>
        <v>0</v>
      </c>
    </row>
    <row r="204" spans="1:20">
      <c r="A204" s="176" t="s">
        <v>165</v>
      </c>
      <c r="B204" s="184"/>
      <c r="C204" s="180"/>
      <c r="D204" s="181"/>
      <c r="E204" s="182">
        <f t="shared" si="12"/>
        <v>0</v>
      </c>
      <c r="F204" s="180"/>
      <c r="G204" s="181"/>
      <c r="H204" s="182">
        <f t="shared" si="13"/>
        <v>0</v>
      </c>
      <c r="I204" s="180"/>
      <c r="J204" s="181"/>
      <c r="K204" s="182">
        <f t="shared" si="14"/>
        <v>0</v>
      </c>
      <c r="L204" s="180"/>
      <c r="M204" s="181"/>
      <c r="N204" s="183">
        <f t="shared" si="15"/>
        <v>0</v>
      </c>
      <c r="O204" s="273"/>
      <c r="P204" s="181"/>
      <c r="Q204" s="183">
        <f t="shared" si="16"/>
        <v>0</v>
      </c>
      <c r="R204" s="273"/>
      <c r="S204" s="181"/>
      <c r="T204" s="183">
        <f t="shared" si="17"/>
        <v>0</v>
      </c>
    </row>
    <row r="205" spans="1:20">
      <c r="A205" s="176" t="s">
        <v>165</v>
      </c>
      <c r="B205" s="177"/>
      <c r="C205" s="180"/>
      <c r="D205" s="181"/>
      <c r="E205" s="182">
        <f t="shared" ref="E205:E208" si="18">C205*D205</f>
        <v>0</v>
      </c>
      <c r="F205" s="180"/>
      <c r="G205" s="181"/>
      <c r="H205" s="182">
        <f t="shared" ref="H205:H208" si="19">F205*G205</f>
        <v>0</v>
      </c>
      <c r="I205" s="180"/>
      <c r="J205" s="181"/>
      <c r="K205" s="182">
        <f t="shared" ref="K205:K208" si="20">I205*J205</f>
        <v>0</v>
      </c>
      <c r="L205" s="180"/>
      <c r="M205" s="181"/>
      <c r="N205" s="183">
        <f t="shared" ref="N205:N208" si="21">L205*M205</f>
        <v>0</v>
      </c>
      <c r="O205" s="273"/>
      <c r="P205" s="181"/>
      <c r="Q205" s="183">
        <f t="shared" ref="Q205:Q208" si="22">O205*P205</f>
        <v>0</v>
      </c>
      <c r="R205" s="273"/>
      <c r="S205" s="181"/>
      <c r="T205" s="183">
        <f t="shared" ref="T205:T208" si="23">R205*S205</f>
        <v>0</v>
      </c>
    </row>
    <row r="206" spans="1:20">
      <c r="A206" s="176" t="s">
        <v>165</v>
      </c>
      <c r="B206" s="177"/>
      <c r="C206" s="180"/>
      <c r="D206" s="181"/>
      <c r="E206" s="182">
        <f t="shared" si="18"/>
        <v>0</v>
      </c>
      <c r="F206" s="180"/>
      <c r="G206" s="181"/>
      <c r="H206" s="182">
        <f t="shared" si="19"/>
        <v>0</v>
      </c>
      <c r="I206" s="180"/>
      <c r="J206" s="181"/>
      <c r="K206" s="182">
        <f t="shared" si="20"/>
        <v>0</v>
      </c>
      <c r="L206" s="180"/>
      <c r="M206" s="181"/>
      <c r="N206" s="183">
        <f t="shared" si="21"/>
        <v>0</v>
      </c>
      <c r="O206" s="273"/>
      <c r="P206" s="181"/>
      <c r="Q206" s="183">
        <f t="shared" si="22"/>
        <v>0</v>
      </c>
      <c r="R206" s="273"/>
      <c r="S206" s="181"/>
      <c r="T206" s="183">
        <f t="shared" si="23"/>
        <v>0</v>
      </c>
    </row>
    <row r="207" spans="1:20">
      <c r="A207" s="176" t="s">
        <v>165</v>
      </c>
      <c r="B207" s="177"/>
      <c r="C207" s="180"/>
      <c r="D207" s="181"/>
      <c r="E207" s="182">
        <f t="shared" si="18"/>
        <v>0</v>
      </c>
      <c r="F207" s="180"/>
      <c r="G207" s="181"/>
      <c r="H207" s="182">
        <f t="shared" si="19"/>
        <v>0</v>
      </c>
      <c r="I207" s="180"/>
      <c r="J207" s="181"/>
      <c r="K207" s="182">
        <f t="shared" si="20"/>
        <v>0</v>
      </c>
      <c r="L207" s="180"/>
      <c r="M207" s="181"/>
      <c r="N207" s="183">
        <f t="shared" si="21"/>
        <v>0</v>
      </c>
      <c r="O207" s="273"/>
      <c r="P207" s="181"/>
      <c r="Q207" s="183">
        <f t="shared" si="22"/>
        <v>0</v>
      </c>
      <c r="R207" s="273"/>
      <c r="S207" s="181"/>
      <c r="T207" s="183">
        <f t="shared" si="23"/>
        <v>0</v>
      </c>
    </row>
    <row r="208" spans="1:20">
      <c r="A208" s="176" t="s">
        <v>165</v>
      </c>
      <c r="B208" s="177"/>
      <c r="C208" s="180"/>
      <c r="D208" s="181"/>
      <c r="E208" s="182">
        <f t="shared" si="18"/>
        <v>0</v>
      </c>
      <c r="F208" s="180"/>
      <c r="G208" s="181"/>
      <c r="H208" s="182">
        <f t="shared" si="19"/>
        <v>0</v>
      </c>
      <c r="I208" s="180"/>
      <c r="J208" s="181"/>
      <c r="K208" s="182">
        <f t="shared" si="20"/>
        <v>0</v>
      </c>
      <c r="L208" s="180"/>
      <c r="M208" s="181"/>
      <c r="N208" s="183">
        <f t="shared" si="21"/>
        <v>0</v>
      </c>
      <c r="O208" s="273"/>
      <c r="P208" s="181"/>
      <c r="Q208" s="183">
        <f t="shared" si="22"/>
        <v>0</v>
      </c>
      <c r="R208" s="273"/>
      <c r="S208" s="181"/>
      <c r="T208" s="183">
        <f t="shared" si="23"/>
        <v>0</v>
      </c>
    </row>
    <row r="209" spans="1:20">
      <c r="A209" s="176"/>
      <c r="B209" s="177"/>
      <c r="C209" s="180"/>
      <c r="D209" s="181"/>
      <c r="E209" s="182"/>
      <c r="F209" s="180"/>
      <c r="G209" s="181"/>
      <c r="H209" s="182"/>
      <c r="I209" s="180"/>
      <c r="J209" s="181"/>
      <c r="K209" s="182"/>
      <c r="L209" s="180"/>
      <c r="M209" s="181"/>
      <c r="N209" s="183"/>
      <c r="O209" s="273"/>
      <c r="P209" s="181"/>
      <c r="Q209" s="183"/>
      <c r="R209" s="273"/>
      <c r="S209" s="181"/>
      <c r="T209" s="183"/>
    </row>
  </sheetData>
  <mergeCells count="7">
    <mergeCell ref="R7:T7"/>
    <mergeCell ref="O7:Q7"/>
    <mergeCell ref="A7:B7"/>
    <mergeCell ref="C7:E7"/>
    <mergeCell ref="F7:H7"/>
    <mergeCell ref="I7:K7"/>
    <mergeCell ref="L7:N7"/>
  </mergeCells>
  <dataValidations count="1">
    <dataValidation type="list" allowBlank="1" showInputMessage="1" showErrorMessage="1" sqref="B83:B97 B142:B152 B155:B166 B100:B109 B112:B124 B127:B139 B169:B179 B10:B80" xr:uid="{00000000-0002-0000-0300-000000000000}">
      <formula1>INDIRECT("Labor_Categories[Labor Categories]")</formula1>
    </dataValidation>
  </dataValidations>
  <pageMargins left="0.7" right="0.7" top="0.75" bottom="0.75" header="0.3" footer="0.3"/>
  <pageSetup orientation="portrait" r:id="rId1"/>
  <headerFooter>
    <oddHeader>&amp;A</oddHeader>
    <oddFoote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2" tint="-9.9978637043366805E-2"/>
  </sheetPr>
  <dimension ref="A1:HK1443"/>
  <sheetViews>
    <sheetView tabSelected="1" topLeftCell="C1" zoomScale="82" zoomScaleNormal="90" workbookViewId="0">
      <selection activeCell="P1" sqref="P1"/>
    </sheetView>
  </sheetViews>
  <sheetFormatPr defaultColWidth="9.140625" defaultRowHeight="15.75"/>
  <cols>
    <col min="1" max="1" width="100.5703125" style="28" customWidth="1"/>
    <col min="2" max="2" width="11.85546875" style="230" customWidth="1"/>
    <col min="3" max="3" width="20" style="28" customWidth="1"/>
    <col min="4" max="4" width="9" style="230" customWidth="1"/>
    <col min="5" max="5" width="9.28515625" style="230" customWidth="1"/>
    <col min="6" max="6" width="16.5703125" style="28" customWidth="1"/>
    <col min="7" max="7" width="16" style="28" customWidth="1"/>
    <col min="8" max="8" width="16.28515625" style="28" customWidth="1"/>
    <col min="9" max="9" width="17.140625" style="28" customWidth="1"/>
    <col min="10" max="10" width="16.28515625" style="28" customWidth="1"/>
    <col min="11" max="11" width="17.140625" style="28" customWidth="1"/>
    <col min="12" max="12" width="16" style="28" customWidth="1"/>
    <col min="13" max="13" width="17.140625" style="28" customWidth="1"/>
    <col min="14" max="14" width="16" style="28" customWidth="1"/>
    <col min="15" max="15" width="17.140625" style="28" customWidth="1"/>
    <col min="16" max="16" width="16" style="28" hidden="1" customWidth="1"/>
    <col min="17" max="17" width="17.140625" style="28" hidden="1" customWidth="1"/>
    <col min="18" max="18" width="17.140625" style="28" customWidth="1"/>
    <col min="19" max="19" width="12.7109375" style="28" customWidth="1"/>
    <col min="20" max="20" width="12.5703125" style="28" bestFit="1" customWidth="1"/>
    <col min="21" max="21" width="9.140625" style="28"/>
    <col min="22" max="22" width="112.28515625" style="28" customWidth="1"/>
    <col min="23" max="23" width="7.5703125" style="28" customWidth="1"/>
    <col min="24" max="16384" width="9.140625" style="28"/>
  </cols>
  <sheetData>
    <row r="1" spans="1:219" ht="16.5" thickBot="1"/>
    <row r="2" spans="1:219" ht="48" thickBot="1">
      <c r="A2" s="186" t="s">
        <v>235</v>
      </c>
      <c r="B2" s="187" t="s">
        <v>236</v>
      </c>
      <c r="C2" s="187" t="s">
        <v>118</v>
      </c>
      <c r="D2" s="187" t="s">
        <v>237</v>
      </c>
      <c r="E2" s="187" t="s">
        <v>238</v>
      </c>
      <c r="F2" s="188" t="s">
        <v>239</v>
      </c>
      <c r="G2" s="188" t="s">
        <v>240</v>
      </c>
      <c r="H2" s="188" t="s">
        <v>241</v>
      </c>
      <c r="I2" s="188" t="s">
        <v>242</v>
      </c>
      <c r="J2" s="188" t="s">
        <v>243</v>
      </c>
      <c r="K2" s="188" t="s">
        <v>244</v>
      </c>
      <c r="L2" s="188" t="s">
        <v>245</v>
      </c>
      <c r="M2" s="189" t="s">
        <v>246</v>
      </c>
      <c r="N2" s="188" t="s">
        <v>247</v>
      </c>
      <c r="O2" s="189" t="s">
        <v>248</v>
      </c>
      <c r="P2" s="188" t="s">
        <v>249</v>
      </c>
      <c r="Q2" s="189" t="s">
        <v>250</v>
      </c>
      <c r="R2" s="233" t="s">
        <v>251</v>
      </c>
      <c r="S2" s="234" t="s">
        <v>252</v>
      </c>
      <c r="T2" s="235" t="s">
        <v>253</v>
      </c>
      <c r="U2" s="440" t="s">
        <v>156</v>
      </c>
      <c r="V2" s="440" t="s">
        <v>157</v>
      </c>
    </row>
    <row r="3" spans="1:219" s="193" customFormat="1">
      <c r="A3" s="453" t="s">
        <v>254</v>
      </c>
      <c r="B3" s="190" t="s">
        <v>255</v>
      </c>
      <c r="C3" s="190" t="s">
        <v>256</v>
      </c>
      <c r="D3" s="190" t="s">
        <v>257</v>
      </c>
      <c r="E3" s="190" t="s">
        <v>258</v>
      </c>
      <c r="F3" s="190">
        <v>475</v>
      </c>
      <c r="G3"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 s="190">
        <v>535</v>
      </c>
      <c r="I3"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 s="190">
        <v>559</v>
      </c>
      <c r="K3"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 s="190">
        <v>500</v>
      </c>
      <c r="M3"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 s="190">
        <v>425</v>
      </c>
      <c r="O3"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 s="190"/>
      <c r="Q3"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3" s="236">
        <f ca="1">Table66[[#This Row],[Year 1 (Specified in RFO) - N/A]]+Table66[[#This Row],[Year 2 (Specified in RFO) - N/A]]+Table66[[#This Row],[Year 3 (Specified in RFO) - N/A]]+Table66[[#This Row],[Year 4 (Specified in RFO) - N/A]]+Table66[[#This Row],[Year 5 (Specified in RFO) - N/A]]+Table66[[#This Row],[Year 6 (Specified in RFO) - N/A]]</f>
        <v>2494</v>
      </c>
      <c r="S3" s="402">
        <f ca="1">Table66[[#This Row],[Year 1  (Proposed)]]+Table66[[#This Row],[Year 2 (Proposed)]]+Table66[[#This Row],[Year 3 (Proposed)]]+Table66[[#This Row],[Year 4 (Proposed)]]+Table66[[#This Row],[Year 5 (Proposed)]]+Table66[[#This Row],[Year 6 (Proposed)]]</f>
        <v>0</v>
      </c>
      <c r="T3" s="443" t="b">
        <f ca="1">Table66[[#This Row],[Total Specifed in RFO - N/A]]=Table66[[#This Row],[Total Proposed]]</f>
        <v>0</v>
      </c>
      <c r="U3" s="442"/>
      <c r="V3" s="441"/>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28"/>
      <c r="DA3" s="28"/>
      <c r="DB3" s="28"/>
      <c r="DC3" s="28"/>
      <c r="DD3" s="28"/>
      <c r="DE3" s="28"/>
      <c r="DF3" s="28"/>
      <c r="DG3" s="28"/>
      <c r="DH3" s="28"/>
      <c r="DI3" s="28"/>
      <c r="DJ3" s="28"/>
      <c r="DK3" s="28"/>
      <c r="DL3" s="28"/>
      <c r="DM3" s="28"/>
      <c r="DN3" s="28"/>
      <c r="DO3" s="28"/>
      <c r="DP3" s="28"/>
      <c r="DQ3" s="28"/>
      <c r="DR3" s="28"/>
      <c r="DS3" s="28"/>
      <c r="DT3" s="28"/>
      <c r="DU3" s="28"/>
      <c r="DV3" s="28"/>
      <c r="DW3" s="28"/>
      <c r="DX3" s="28"/>
      <c r="DY3" s="28"/>
      <c r="DZ3" s="28"/>
      <c r="EA3" s="28"/>
      <c r="EB3" s="28"/>
      <c r="EC3" s="28"/>
      <c r="ED3" s="28"/>
      <c r="EE3" s="28"/>
      <c r="EF3" s="28"/>
      <c r="EG3" s="28"/>
      <c r="EH3" s="28"/>
      <c r="EI3" s="28"/>
      <c r="EJ3" s="28"/>
      <c r="EK3" s="28"/>
      <c r="EL3" s="28"/>
      <c r="EM3" s="28"/>
      <c r="EN3" s="28"/>
      <c r="EO3" s="28"/>
      <c r="EP3" s="28"/>
      <c r="EQ3" s="28"/>
      <c r="ER3" s="28"/>
      <c r="ES3" s="28"/>
      <c r="ET3" s="28"/>
      <c r="EU3" s="28"/>
      <c r="EV3" s="28"/>
      <c r="EW3" s="28"/>
      <c r="EX3" s="28"/>
      <c r="EY3" s="28"/>
      <c r="EZ3" s="28"/>
      <c r="FA3" s="28"/>
      <c r="FB3" s="28"/>
      <c r="FC3" s="28"/>
      <c r="FD3" s="28"/>
      <c r="FE3" s="28"/>
      <c r="FF3" s="28"/>
      <c r="FG3" s="28"/>
      <c r="FH3" s="28"/>
      <c r="FI3" s="28"/>
      <c r="FJ3" s="28"/>
      <c r="FK3" s="28"/>
      <c r="FL3" s="28"/>
      <c r="FM3" s="28"/>
      <c r="FN3" s="28"/>
      <c r="FO3" s="28"/>
      <c r="FP3" s="28"/>
      <c r="FQ3" s="28"/>
      <c r="FR3" s="28"/>
      <c r="FS3" s="28"/>
      <c r="FT3" s="28"/>
      <c r="FU3" s="28"/>
      <c r="FV3" s="28"/>
      <c r="FW3" s="28"/>
      <c r="FX3" s="28"/>
      <c r="FY3" s="28"/>
      <c r="FZ3" s="28"/>
      <c r="GA3" s="28"/>
      <c r="GB3" s="28"/>
      <c r="GC3" s="28"/>
      <c r="GD3" s="28"/>
      <c r="GE3" s="28"/>
      <c r="GF3" s="28"/>
      <c r="GG3" s="28"/>
      <c r="GH3" s="28"/>
      <c r="GI3" s="28"/>
      <c r="GJ3" s="28"/>
      <c r="GK3" s="28"/>
      <c r="GL3" s="28"/>
      <c r="GM3" s="28"/>
      <c r="GN3" s="28"/>
      <c r="GO3" s="28"/>
      <c r="GP3" s="28"/>
      <c r="GQ3" s="28"/>
      <c r="GR3" s="28"/>
      <c r="GS3" s="28"/>
      <c r="GT3" s="28"/>
      <c r="GU3" s="28"/>
      <c r="GV3" s="28"/>
      <c r="GW3" s="28"/>
      <c r="GX3" s="28"/>
      <c r="GY3" s="28"/>
      <c r="GZ3" s="28"/>
      <c r="HA3" s="28"/>
      <c r="HB3" s="28"/>
      <c r="HC3" s="28"/>
      <c r="HD3" s="28"/>
      <c r="HE3" s="28"/>
      <c r="HF3" s="28"/>
      <c r="HG3" s="28"/>
      <c r="HH3" s="28"/>
      <c r="HI3" s="28"/>
      <c r="HJ3" s="28"/>
      <c r="HK3" s="28"/>
    </row>
    <row r="4" spans="1:219" s="193" customFormat="1">
      <c r="A4" s="453" t="s">
        <v>254</v>
      </c>
      <c r="B4" s="449" t="s">
        <v>96</v>
      </c>
      <c r="C4" s="448"/>
      <c r="D4" s="449"/>
      <c r="E4" s="449"/>
      <c r="F4" s="190"/>
      <c r="G4"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 s="190"/>
      <c r="I4"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 s="190"/>
      <c r="K4"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 s="190"/>
      <c r="M4"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 s="190"/>
      <c r="O4"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 s="190"/>
      <c r="Q4"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4" s="192">
        <f ca="1">Table66[[#This Row],[Year 1 (Specified in RFO) - N/A]]+Table66[[#This Row],[Year 2 (Specified in RFO) - N/A]]+Table66[[#This Row],[Year 3 (Specified in RFO) - N/A]]+Table66[[#This Row],[Year 4 (Specified in RFO) - N/A]]+Table66[[#This Row],[Year 5 (Specified in RFO) - N/A]]+Table66[[#This Row],[Year 6 (Specified in RFO) - N/A]]</f>
        <v>0</v>
      </c>
      <c r="S4" s="410">
        <f ca="1">Table66[[#This Row],[Year 1  (Proposed)]]+Table66[[#This Row],[Year 2 (Proposed)]]+Table66[[#This Row],[Year 3 (Proposed)]]+Table66[[#This Row],[Year 4 (Proposed)]]+Table66[[#This Row],[Year 5 (Proposed)]]+Table66[[#This Row],[Year 6 (Proposed)]]</f>
        <v>0</v>
      </c>
      <c r="T4" s="411" t="b">
        <f ca="1">Table66[[#This Row],[Total Specifed in RFO - N/A]]=Table66[[#This Row],[Total Proposed]]</f>
        <v>1</v>
      </c>
      <c r="U4" s="442"/>
      <c r="V4" s="441">
        <f ca="1">Table66[[#This Row],[Year 6 (Specified in RFO) - N/A]]-Table66[[#This Row],[Column1]]</f>
        <v>0</v>
      </c>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c r="GB4" s="28"/>
      <c r="GC4" s="28"/>
      <c r="GD4" s="28"/>
      <c r="GE4" s="28"/>
      <c r="GF4" s="28"/>
      <c r="GG4" s="28"/>
      <c r="GH4" s="28"/>
      <c r="GI4" s="28"/>
      <c r="GJ4" s="28"/>
      <c r="GK4" s="28"/>
      <c r="GL4" s="28"/>
      <c r="GM4" s="28"/>
      <c r="GN4" s="28"/>
      <c r="GO4" s="28"/>
      <c r="GP4" s="28"/>
      <c r="GQ4" s="28"/>
      <c r="GR4" s="28"/>
      <c r="GS4" s="28"/>
      <c r="GT4" s="28"/>
      <c r="GU4" s="28"/>
      <c r="GV4" s="28"/>
      <c r="GW4" s="28"/>
      <c r="GX4" s="28"/>
      <c r="GY4" s="28"/>
      <c r="GZ4" s="28"/>
      <c r="HA4" s="28"/>
      <c r="HB4" s="28"/>
      <c r="HC4" s="28"/>
      <c r="HD4" s="28"/>
      <c r="HE4" s="28"/>
      <c r="HF4" s="28"/>
      <c r="HG4" s="28"/>
      <c r="HH4" s="28"/>
      <c r="HI4" s="28"/>
      <c r="HJ4" s="28"/>
      <c r="HK4" s="28"/>
    </row>
    <row r="5" spans="1:219" s="193" customFormat="1">
      <c r="A5" s="453" t="s">
        <v>259</v>
      </c>
      <c r="B5" s="190" t="s">
        <v>255</v>
      </c>
      <c r="C5" s="190" t="s">
        <v>256</v>
      </c>
      <c r="D5" s="190" t="s">
        <v>257</v>
      </c>
      <c r="E5" s="190" t="s">
        <v>258</v>
      </c>
      <c r="F5" s="190">
        <v>477</v>
      </c>
      <c r="G5"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 s="190">
        <v>465</v>
      </c>
      <c r="I5"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 s="190">
        <v>491</v>
      </c>
      <c r="K5"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 s="190">
        <v>603</v>
      </c>
      <c r="M5"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 s="190">
        <v>734</v>
      </c>
      <c r="O5"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 s="190"/>
      <c r="Q5"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5" s="192">
        <f ca="1">Table66[[#This Row],[Year 1 (Specified in RFO) - N/A]]+Table66[[#This Row],[Year 2 (Specified in RFO) - N/A]]+Table66[[#This Row],[Year 3 (Specified in RFO) - N/A]]+Table66[[#This Row],[Year 4 (Specified in RFO) - N/A]]+Table66[[#This Row],[Year 5 (Specified in RFO) - N/A]]+Table66[[#This Row],[Year 6 (Specified in RFO) - N/A]]</f>
        <v>2770</v>
      </c>
      <c r="S5" s="410">
        <f ca="1">Table66[[#This Row],[Year 1  (Proposed)]]+Table66[[#This Row],[Year 2 (Proposed)]]+Table66[[#This Row],[Year 3 (Proposed)]]+Table66[[#This Row],[Year 4 (Proposed)]]+Table66[[#This Row],[Year 5 (Proposed)]]+Table66[[#This Row],[Year 6 (Proposed)]]</f>
        <v>0</v>
      </c>
      <c r="T5" s="444" t="b">
        <f ca="1">Table66[[#This Row],[Total Specifed in RFO - N/A]]=Table66[[#This Row],[Total Proposed]]</f>
        <v>0</v>
      </c>
      <c r="U5" s="442"/>
      <c r="V5" s="441"/>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c r="EP5" s="28"/>
      <c r="EQ5" s="28"/>
      <c r="ER5" s="28"/>
      <c r="ES5" s="28"/>
      <c r="ET5" s="28"/>
      <c r="EU5" s="28"/>
      <c r="EV5" s="28"/>
      <c r="EW5" s="28"/>
      <c r="EX5" s="28"/>
      <c r="EY5" s="28"/>
      <c r="EZ5" s="28"/>
      <c r="FA5" s="28"/>
      <c r="FB5" s="28"/>
      <c r="FC5" s="28"/>
      <c r="FD5" s="28"/>
      <c r="FE5" s="28"/>
      <c r="FF5" s="28"/>
      <c r="FG5" s="28"/>
      <c r="FH5" s="28"/>
      <c r="FI5" s="28"/>
      <c r="FJ5" s="28"/>
      <c r="FK5" s="28"/>
      <c r="FL5" s="28"/>
      <c r="FM5" s="28"/>
      <c r="FN5" s="28"/>
      <c r="FO5" s="28"/>
      <c r="FP5" s="28"/>
      <c r="FQ5" s="28"/>
      <c r="FR5" s="28"/>
      <c r="FS5" s="28"/>
      <c r="FT5" s="28"/>
      <c r="FU5" s="28"/>
      <c r="FV5" s="28"/>
      <c r="FW5" s="28"/>
      <c r="FX5" s="28"/>
      <c r="FY5" s="28"/>
      <c r="FZ5" s="28"/>
      <c r="GA5" s="28"/>
      <c r="GB5" s="28"/>
      <c r="GC5" s="28"/>
      <c r="GD5" s="28"/>
      <c r="GE5" s="28"/>
      <c r="GF5" s="28"/>
      <c r="GG5" s="28"/>
      <c r="GH5" s="28"/>
      <c r="GI5" s="28"/>
      <c r="GJ5" s="28"/>
      <c r="GK5" s="28"/>
      <c r="GL5" s="28"/>
      <c r="GM5" s="28"/>
      <c r="GN5" s="28"/>
      <c r="GO5" s="28"/>
      <c r="GP5" s="28"/>
      <c r="GQ5" s="28"/>
      <c r="GR5" s="28"/>
      <c r="GS5" s="28"/>
      <c r="GT5" s="28"/>
      <c r="GU5" s="28"/>
      <c r="GV5" s="28"/>
      <c r="GW5" s="28"/>
      <c r="GX5" s="28"/>
      <c r="GY5" s="28"/>
      <c r="GZ5" s="28"/>
      <c r="HA5" s="28"/>
      <c r="HB5" s="28"/>
      <c r="HC5" s="28"/>
      <c r="HD5" s="28"/>
      <c r="HE5" s="28"/>
      <c r="HF5" s="28"/>
      <c r="HG5" s="28"/>
      <c r="HH5" s="28"/>
      <c r="HI5" s="28"/>
      <c r="HJ5" s="28"/>
      <c r="HK5" s="28"/>
    </row>
    <row r="6" spans="1:219" s="193" customFormat="1">
      <c r="A6" s="453" t="s">
        <v>259</v>
      </c>
      <c r="B6" s="449" t="s">
        <v>96</v>
      </c>
      <c r="C6" s="448"/>
      <c r="D6" s="449"/>
      <c r="E6" s="449"/>
      <c r="F6" s="190"/>
      <c r="G6"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 s="190"/>
      <c r="I6"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6" s="190"/>
      <c r="K6"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6" s="190"/>
      <c r="M6"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6" s="190"/>
      <c r="O6"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6" s="190"/>
      <c r="Q6"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6" s="192">
        <f ca="1">Table66[[#This Row],[Year 1 (Specified in RFO) - N/A]]+Table66[[#This Row],[Year 2 (Specified in RFO) - N/A]]+Table66[[#This Row],[Year 3 (Specified in RFO) - N/A]]+Table66[[#This Row],[Year 4 (Specified in RFO) - N/A]]+Table66[[#This Row],[Year 5 (Specified in RFO) - N/A]]+Table66[[#This Row],[Year 6 (Specified in RFO) - N/A]]</f>
        <v>0</v>
      </c>
      <c r="S6" s="410">
        <f ca="1">Table66[[#This Row],[Year 1  (Proposed)]]+Table66[[#This Row],[Year 2 (Proposed)]]+Table66[[#This Row],[Year 3 (Proposed)]]+Table66[[#This Row],[Year 4 (Proposed)]]+Table66[[#This Row],[Year 5 (Proposed)]]+Table66[[#This Row],[Year 6 (Proposed)]]</f>
        <v>0</v>
      </c>
      <c r="T6" s="411" t="b">
        <f ca="1">Table66[[#This Row],[Total Specifed in RFO - N/A]]=Table66[[#This Row],[Total Proposed]]</f>
        <v>1</v>
      </c>
      <c r="U6" s="442"/>
      <c r="V6" s="441">
        <f ca="1">Table66[[#This Row],[Year 6 (Specified in RFO) - N/A]]-Table66[[#This Row],[Column1]]</f>
        <v>0</v>
      </c>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c r="FO6" s="28"/>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c r="GP6" s="28"/>
      <c r="GQ6" s="28"/>
      <c r="GR6" s="28"/>
      <c r="GS6" s="28"/>
      <c r="GT6" s="28"/>
      <c r="GU6" s="28"/>
      <c r="GV6" s="28"/>
      <c r="GW6" s="28"/>
      <c r="GX6" s="28"/>
      <c r="GY6" s="28"/>
      <c r="GZ6" s="28"/>
      <c r="HA6" s="28"/>
      <c r="HB6" s="28"/>
      <c r="HC6" s="28"/>
      <c r="HD6" s="28"/>
      <c r="HE6" s="28"/>
      <c r="HF6" s="28"/>
      <c r="HG6" s="28"/>
      <c r="HH6" s="28"/>
      <c r="HI6" s="28"/>
      <c r="HJ6" s="28"/>
      <c r="HK6" s="28"/>
    </row>
    <row r="7" spans="1:219" s="193" customFormat="1">
      <c r="A7" s="453" t="s">
        <v>260</v>
      </c>
      <c r="B7" s="190" t="s">
        <v>255</v>
      </c>
      <c r="C7" s="190" t="s">
        <v>256</v>
      </c>
      <c r="D7" s="190" t="s">
        <v>257</v>
      </c>
      <c r="E7" s="190" t="s">
        <v>258</v>
      </c>
      <c r="F7" s="190">
        <v>8</v>
      </c>
      <c r="G7"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 s="190">
        <v>8</v>
      </c>
      <c r="I7"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7" s="190">
        <v>8</v>
      </c>
      <c r="K7"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7" s="190">
        <v>8</v>
      </c>
      <c r="M7"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7" s="190">
        <v>8</v>
      </c>
      <c r="O7"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7" s="190"/>
      <c r="Q7"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7" s="192">
        <f ca="1">Table66[[#This Row],[Year 1 (Specified in RFO) - N/A]]+Table66[[#This Row],[Year 2 (Specified in RFO) - N/A]]+Table66[[#This Row],[Year 3 (Specified in RFO) - N/A]]+Table66[[#This Row],[Year 4 (Specified in RFO) - N/A]]+Table66[[#This Row],[Year 5 (Specified in RFO) - N/A]]+Table66[[#This Row],[Year 6 (Specified in RFO) - N/A]]</f>
        <v>40</v>
      </c>
      <c r="S7" s="402">
        <f ca="1">Table66[[#This Row],[Year 1  (Proposed)]]+Table66[[#This Row],[Year 2 (Proposed)]]+Table66[[#This Row],[Year 3 (Proposed)]]+Table66[[#This Row],[Year 4 (Proposed)]]+Table66[[#This Row],[Year 5 (Proposed)]]+Table66[[#This Row],[Year 6 (Proposed)]]</f>
        <v>0</v>
      </c>
      <c r="T7" s="443" t="b">
        <f ca="1">Table66[[#This Row],[Total Specifed in RFO - N/A]]=Table66[[#This Row],[Total Proposed]]</f>
        <v>0</v>
      </c>
      <c r="U7" s="442"/>
      <c r="V7" s="441"/>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c r="GQ7" s="28"/>
      <c r="GR7" s="28"/>
      <c r="GS7" s="28"/>
      <c r="GT7" s="28"/>
      <c r="GU7" s="28"/>
      <c r="GV7" s="28"/>
      <c r="GW7" s="28"/>
      <c r="GX7" s="28"/>
      <c r="GY7" s="28"/>
      <c r="GZ7" s="28"/>
      <c r="HA7" s="28"/>
      <c r="HB7" s="28"/>
      <c r="HC7" s="28"/>
      <c r="HD7" s="28"/>
      <c r="HE7" s="28"/>
      <c r="HF7" s="28"/>
      <c r="HG7" s="28"/>
      <c r="HH7" s="28"/>
      <c r="HI7" s="28"/>
      <c r="HJ7" s="28"/>
      <c r="HK7" s="28"/>
    </row>
    <row r="8" spans="1:219" s="193" customFormat="1">
      <c r="A8" s="453" t="s">
        <v>260</v>
      </c>
      <c r="B8" s="449" t="s">
        <v>96</v>
      </c>
      <c r="C8" s="448"/>
      <c r="D8" s="449"/>
      <c r="E8" s="449"/>
      <c r="F8" s="190"/>
      <c r="G8"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 s="190"/>
      <c r="I8"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8" s="190"/>
      <c r="K8"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8" s="190"/>
      <c r="M8"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8" s="190"/>
      <c r="O8"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8" s="190"/>
      <c r="Q8"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8" s="192">
        <f ca="1">Table66[[#This Row],[Year 1 (Specified in RFO) - N/A]]+Table66[[#This Row],[Year 2 (Specified in RFO) - N/A]]+Table66[[#This Row],[Year 3 (Specified in RFO) - N/A]]+Table66[[#This Row],[Year 4 (Specified in RFO) - N/A]]+Table66[[#This Row],[Year 5 (Specified in RFO) - N/A]]+Table66[[#This Row],[Year 6 (Specified in RFO) - N/A]]</f>
        <v>0</v>
      </c>
      <c r="S8" s="410">
        <f ca="1">Table66[[#This Row],[Year 1  (Proposed)]]+Table66[[#This Row],[Year 2 (Proposed)]]+Table66[[#This Row],[Year 3 (Proposed)]]+Table66[[#This Row],[Year 4 (Proposed)]]+Table66[[#This Row],[Year 5 (Proposed)]]+Table66[[#This Row],[Year 6 (Proposed)]]</f>
        <v>0</v>
      </c>
      <c r="T8" s="411" t="b">
        <f ca="1">Table66[[#This Row],[Total Specifed in RFO - N/A]]=Table66[[#This Row],[Total Proposed]]</f>
        <v>1</v>
      </c>
      <c r="U8" s="442"/>
      <c r="V8" s="441">
        <f ca="1">Table66[[#This Row],[Year 6 (Specified in RFO) - N/A]]-Table66[[#This Row],[Column1]]</f>
        <v>0</v>
      </c>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row>
    <row r="9" spans="1:219" s="193" customFormat="1">
      <c r="A9" s="453" t="s">
        <v>261</v>
      </c>
      <c r="B9" s="190" t="s">
        <v>255</v>
      </c>
      <c r="C9" s="190" t="s">
        <v>256</v>
      </c>
      <c r="D9" s="190" t="s">
        <v>257</v>
      </c>
      <c r="E9" s="190" t="s">
        <v>258</v>
      </c>
      <c r="F9" s="190">
        <v>220</v>
      </c>
      <c r="G9"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 s="190">
        <v>250</v>
      </c>
      <c r="I9"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9" s="190">
        <v>257</v>
      </c>
      <c r="K9"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9" s="190">
        <v>310</v>
      </c>
      <c r="M9"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9" s="190">
        <v>269</v>
      </c>
      <c r="O9"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9" s="190"/>
      <c r="Q9"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9" s="192">
        <f ca="1">Table66[[#This Row],[Year 1 (Specified in RFO) - N/A]]+Table66[[#This Row],[Year 2 (Specified in RFO) - N/A]]+Table66[[#This Row],[Year 3 (Specified in RFO) - N/A]]+Table66[[#This Row],[Year 4 (Specified in RFO) - N/A]]+Table66[[#This Row],[Year 5 (Specified in RFO) - N/A]]+Table66[[#This Row],[Year 6 (Specified in RFO) - N/A]]</f>
        <v>1306</v>
      </c>
      <c r="S9" s="410">
        <f ca="1">Table66[[#This Row],[Year 1  (Proposed)]]+Table66[[#This Row],[Year 2 (Proposed)]]+Table66[[#This Row],[Year 3 (Proposed)]]+Table66[[#This Row],[Year 4 (Proposed)]]+Table66[[#This Row],[Year 5 (Proposed)]]+Table66[[#This Row],[Year 6 (Proposed)]]</f>
        <v>0</v>
      </c>
      <c r="T9" s="444" t="b">
        <f ca="1">Table66[[#This Row],[Total Specifed in RFO - N/A]]=Table66[[#This Row],[Total Proposed]]</f>
        <v>0</v>
      </c>
      <c r="U9" s="442"/>
      <c r="V9" s="441"/>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row>
    <row r="10" spans="1:219" s="193" customFormat="1">
      <c r="A10" s="453" t="s">
        <v>261</v>
      </c>
      <c r="B10" s="449" t="s">
        <v>96</v>
      </c>
      <c r="C10" s="448"/>
      <c r="D10" s="449"/>
      <c r="E10" s="449"/>
      <c r="F10" s="190"/>
      <c r="G10"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 s="190"/>
      <c r="I10"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0" s="190"/>
      <c r="K10"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0" s="190"/>
      <c r="M10"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0" s="190"/>
      <c r="O10"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0" s="190"/>
      <c r="Q10"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10" s="192">
        <f ca="1">Table66[[#This Row],[Year 1 (Specified in RFO) - N/A]]+Table66[[#This Row],[Year 2 (Specified in RFO) - N/A]]+Table66[[#This Row],[Year 3 (Specified in RFO) - N/A]]+Table66[[#This Row],[Year 4 (Specified in RFO) - N/A]]+Table66[[#This Row],[Year 5 (Specified in RFO) - N/A]]+Table66[[#This Row],[Year 6 (Specified in RFO) - N/A]]</f>
        <v>0</v>
      </c>
      <c r="S10" s="410">
        <f ca="1">Table66[[#This Row],[Year 1  (Proposed)]]+Table66[[#This Row],[Year 2 (Proposed)]]+Table66[[#This Row],[Year 3 (Proposed)]]+Table66[[#This Row],[Year 4 (Proposed)]]+Table66[[#This Row],[Year 5 (Proposed)]]+Table66[[#This Row],[Year 6 (Proposed)]]</f>
        <v>0</v>
      </c>
      <c r="T10" s="411" t="b">
        <f ca="1">Table66[[#This Row],[Total Specifed in RFO - N/A]]=Table66[[#This Row],[Total Proposed]]</f>
        <v>1</v>
      </c>
      <c r="U10" s="442"/>
      <c r="V10" s="441">
        <f ca="1">Table66[[#This Row],[Year 6 (Specified in RFO) - N/A]]-Table66[[#This Row],[Column1]]</f>
        <v>0</v>
      </c>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row>
    <row r="11" spans="1:219" s="193" customFormat="1">
      <c r="A11" s="453" t="s">
        <v>262</v>
      </c>
      <c r="B11" s="190" t="s">
        <v>255</v>
      </c>
      <c r="C11" s="190" t="s">
        <v>256</v>
      </c>
      <c r="D11" s="190" t="s">
        <v>257</v>
      </c>
      <c r="E11" s="190" t="s">
        <v>258</v>
      </c>
      <c r="F11" s="190">
        <v>247</v>
      </c>
      <c r="G11"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 s="190">
        <v>247</v>
      </c>
      <c r="I11"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1" s="190">
        <v>266</v>
      </c>
      <c r="K11"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1" s="190">
        <v>240</v>
      </c>
      <c r="M11"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1" s="190">
        <v>309</v>
      </c>
      <c r="O11"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1" s="190"/>
      <c r="Q11"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11" s="192">
        <f ca="1">Table66[[#This Row],[Year 1 (Specified in RFO) - N/A]]+Table66[[#This Row],[Year 2 (Specified in RFO) - N/A]]+Table66[[#This Row],[Year 3 (Specified in RFO) - N/A]]+Table66[[#This Row],[Year 4 (Specified in RFO) - N/A]]+Table66[[#This Row],[Year 5 (Specified in RFO) - N/A]]+Table66[[#This Row],[Year 6 (Specified in RFO) - N/A]]</f>
        <v>1309</v>
      </c>
      <c r="S11" s="404">
        <f ca="1">Table66[[#This Row],[Year 1  (Proposed)]]+Table66[[#This Row],[Year 2 (Proposed)]]+Table66[[#This Row],[Year 3 (Proposed)]]+Table66[[#This Row],[Year 4 (Proposed)]]+Table66[[#This Row],[Year 5 (Proposed)]]+Table66[[#This Row],[Year 6 (Proposed)]]</f>
        <v>0</v>
      </c>
      <c r="T11" s="445" t="b">
        <f ca="1">Table66[[#This Row],[Total Specifed in RFO - N/A]]=Table66[[#This Row],[Total Proposed]]</f>
        <v>0</v>
      </c>
      <c r="U11" s="442"/>
      <c r="V11" s="441"/>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row>
    <row r="12" spans="1:219" s="193" customFormat="1">
      <c r="A12" s="453" t="s">
        <v>262</v>
      </c>
      <c r="B12" s="449" t="s">
        <v>96</v>
      </c>
      <c r="C12" s="448"/>
      <c r="D12" s="449"/>
      <c r="E12" s="449"/>
      <c r="F12" s="190"/>
      <c r="G12"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 s="190"/>
      <c r="I12"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2" s="190"/>
      <c r="K12"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2" s="190"/>
      <c r="M12"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2" s="190"/>
      <c r="O12"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2" s="190"/>
      <c r="Q12"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12" s="192">
        <f ca="1">Table66[[#This Row],[Year 1 (Specified in RFO) - N/A]]+Table66[[#This Row],[Year 2 (Specified in RFO) - N/A]]+Table66[[#This Row],[Year 3 (Specified in RFO) - N/A]]+Table66[[#This Row],[Year 4 (Specified in RFO) - N/A]]+Table66[[#This Row],[Year 5 (Specified in RFO) - N/A]]+Table66[[#This Row],[Year 6 (Specified in RFO) - N/A]]</f>
        <v>0</v>
      </c>
      <c r="S12" s="410">
        <f ca="1">Table66[[#This Row],[Year 1  (Proposed)]]+Table66[[#This Row],[Year 2 (Proposed)]]+Table66[[#This Row],[Year 3 (Proposed)]]+Table66[[#This Row],[Year 4 (Proposed)]]+Table66[[#This Row],[Year 5 (Proposed)]]+Table66[[#This Row],[Year 6 (Proposed)]]</f>
        <v>0</v>
      </c>
      <c r="T12" s="411" t="b">
        <f ca="1">Table66[[#This Row],[Total Specifed in RFO - N/A]]=Table66[[#This Row],[Total Proposed]]</f>
        <v>1</v>
      </c>
      <c r="U12" s="442"/>
      <c r="V12" s="441">
        <f ca="1">Table66[[#This Row],[Year 6 (Specified in RFO) - N/A]]-Table66[[#This Row],[Column1]]</f>
        <v>0</v>
      </c>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row>
    <row r="13" spans="1:219" s="193" customFormat="1">
      <c r="A13" s="453" t="s">
        <v>263</v>
      </c>
      <c r="B13" s="190" t="s">
        <v>255</v>
      </c>
      <c r="C13" s="190" t="s">
        <v>256</v>
      </c>
      <c r="D13" s="190" t="s">
        <v>257</v>
      </c>
      <c r="E13" s="190" t="s">
        <v>258</v>
      </c>
      <c r="F13" s="190">
        <v>13</v>
      </c>
      <c r="G13"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 s="190">
        <v>7</v>
      </c>
      <c r="I13"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3" s="190">
        <v>7</v>
      </c>
      <c r="K13"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3" s="190">
        <v>7</v>
      </c>
      <c r="M13"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3" s="190">
        <v>7</v>
      </c>
      <c r="O13"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3" s="190"/>
      <c r="Q13"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13" s="192">
        <f ca="1">Table66[[#This Row],[Year 1 (Specified in RFO) - N/A]]+Table66[[#This Row],[Year 2 (Specified in RFO) - N/A]]+Table66[[#This Row],[Year 3 (Specified in RFO) - N/A]]+Table66[[#This Row],[Year 4 (Specified in RFO) - N/A]]+Table66[[#This Row],[Year 5 (Specified in RFO) - N/A]]+Table66[[#This Row],[Year 6 (Specified in RFO) - N/A]]</f>
        <v>41</v>
      </c>
      <c r="S13" s="410">
        <f ca="1">Table66[[#This Row],[Year 1  (Proposed)]]+Table66[[#This Row],[Year 2 (Proposed)]]+Table66[[#This Row],[Year 3 (Proposed)]]+Table66[[#This Row],[Year 4 (Proposed)]]+Table66[[#This Row],[Year 5 (Proposed)]]+Table66[[#This Row],[Year 6 (Proposed)]]</f>
        <v>0</v>
      </c>
      <c r="T13" s="444" t="b">
        <f ca="1">Table66[[#This Row],[Total Specifed in RFO - N/A]]=Table66[[#This Row],[Total Proposed]]</f>
        <v>0</v>
      </c>
      <c r="U13" s="442"/>
      <c r="V13" s="441"/>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c r="GB13" s="28"/>
      <c r="GC13" s="28"/>
      <c r="GD13" s="28"/>
      <c r="GE13" s="28"/>
      <c r="GF13" s="28"/>
      <c r="GG13" s="28"/>
      <c r="GH13" s="28"/>
      <c r="GI13" s="28"/>
      <c r="GJ13" s="28"/>
      <c r="GK13" s="28"/>
      <c r="GL13" s="28"/>
      <c r="GM13" s="28"/>
      <c r="GN13" s="28"/>
      <c r="GO13" s="28"/>
      <c r="GP13" s="28"/>
      <c r="GQ13" s="28"/>
      <c r="GR13" s="28"/>
      <c r="GS13" s="28"/>
      <c r="GT13" s="28"/>
      <c r="GU13" s="28"/>
      <c r="GV13" s="28"/>
      <c r="GW13" s="28"/>
      <c r="GX13" s="28"/>
      <c r="GY13" s="28"/>
      <c r="GZ13" s="28"/>
      <c r="HA13" s="28"/>
      <c r="HB13" s="28"/>
      <c r="HC13" s="28"/>
      <c r="HD13" s="28"/>
      <c r="HE13" s="28"/>
      <c r="HF13" s="28"/>
      <c r="HG13" s="28"/>
      <c r="HH13" s="28"/>
      <c r="HI13" s="28"/>
      <c r="HJ13" s="28"/>
      <c r="HK13" s="28"/>
    </row>
    <row r="14" spans="1:219" s="193" customFormat="1">
      <c r="A14" s="453" t="s">
        <v>263</v>
      </c>
      <c r="B14" s="449" t="s">
        <v>96</v>
      </c>
      <c r="C14" s="448"/>
      <c r="D14" s="449"/>
      <c r="E14" s="449"/>
      <c r="F14" s="190"/>
      <c r="G14"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 s="190"/>
      <c r="I14"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4" s="190"/>
      <c r="K14"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4" s="190"/>
      <c r="M14"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4" s="190"/>
      <c r="O14"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4" s="190"/>
      <c r="Q14"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14" s="192">
        <f ca="1">Table66[[#This Row],[Year 1 (Specified in RFO) - N/A]]+Table66[[#This Row],[Year 2 (Specified in RFO) - N/A]]+Table66[[#This Row],[Year 3 (Specified in RFO) - N/A]]+Table66[[#This Row],[Year 4 (Specified in RFO) - N/A]]+Table66[[#This Row],[Year 5 (Specified in RFO) - N/A]]+Table66[[#This Row],[Year 6 (Specified in RFO) - N/A]]</f>
        <v>0</v>
      </c>
      <c r="S14" s="410">
        <f ca="1">Table66[[#This Row],[Year 1  (Proposed)]]+Table66[[#This Row],[Year 2 (Proposed)]]+Table66[[#This Row],[Year 3 (Proposed)]]+Table66[[#This Row],[Year 4 (Proposed)]]+Table66[[#This Row],[Year 5 (Proposed)]]+Table66[[#This Row],[Year 6 (Proposed)]]</f>
        <v>0</v>
      </c>
      <c r="T14" s="411" t="b">
        <f ca="1">Table66[[#This Row],[Total Specifed in RFO - N/A]]=Table66[[#This Row],[Total Proposed]]</f>
        <v>1</v>
      </c>
      <c r="U14" s="442"/>
      <c r="V14" s="441">
        <f ca="1">Table66[[#This Row],[Year 6 (Specified in RFO) - N/A]]-Table66[[#This Row],[Column1]]</f>
        <v>0</v>
      </c>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row>
    <row r="15" spans="1:219" s="193" customFormat="1">
      <c r="A15" s="453" t="s">
        <v>264</v>
      </c>
      <c r="B15" s="190" t="s">
        <v>255</v>
      </c>
      <c r="C15" s="190" t="s">
        <v>256</v>
      </c>
      <c r="D15" s="190" t="s">
        <v>257</v>
      </c>
      <c r="E15" s="190" t="s">
        <v>258</v>
      </c>
      <c r="F15" s="190">
        <v>480</v>
      </c>
      <c r="G15"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 s="190">
        <v>504</v>
      </c>
      <c r="I15"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5" s="190">
        <v>530</v>
      </c>
      <c r="K15"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5" s="190">
        <v>557</v>
      </c>
      <c r="M15"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5" s="190">
        <v>585</v>
      </c>
      <c r="O15"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5" s="190"/>
      <c r="Q15"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15" s="192">
        <f ca="1">Table66[[#This Row],[Year 1 (Specified in RFO) - N/A]]+Table66[[#This Row],[Year 2 (Specified in RFO) - N/A]]+Table66[[#This Row],[Year 3 (Specified in RFO) - N/A]]+Table66[[#This Row],[Year 4 (Specified in RFO) - N/A]]+Table66[[#This Row],[Year 5 (Specified in RFO) - N/A]]+Table66[[#This Row],[Year 6 (Specified in RFO) - N/A]]</f>
        <v>2656</v>
      </c>
      <c r="S15" s="404">
        <f ca="1">Table66[[#This Row],[Year 1  (Proposed)]]+Table66[[#This Row],[Year 2 (Proposed)]]+Table66[[#This Row],[Year 3 (Proposed)]]+Table66[[#This Row],[Year 4 (Proposed)]]+Table66[[#This Row],[Year 5 (Proposed)]]+Table66[[#This Row],[Year 6 (Proposed)]]</f>
        <v>0</v>
      </c>
      <c r="T15" s="445" t="b">
        <f ca="1">Table66[[#This Row],[Total Specifed in RFO - N/A]]=Table66[[#This Row],[Total Proposed]]</f>
        <v>0</v>
      </c>
      <c r="U15" s="442"/>
      <c r="V15" s="441"/>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row>
    <row r="16" spans="1:219" s="193" customFormat="1">
      <c r="A16" s="453" t="s">
        <v>264</v>
      </c>
      <c r="B16" s="449" t="s">
        <v>96</v>
      </c>
      <c r="C16" s="448"/>
      <c r="D16" s="449"/>
      <c r="E16" s="449"/>
      <c r="F16" s="190"/>
      <c r="G16"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 s="190"/>
      <c r="I16"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6" s="190"/>
      <c r="K16"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6" s="190"/>
      <c r="M16"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6" s="190"/>
      <c r="O16"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6" s="190"/>
      <c r="Q16"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16" s="192">
        <f ca="1">Table66[[#This Row],[Year 1 (Specified in RFO) - N/A]]+Table66[[#This Row],[Year 2 (Specified in RFO) - N/A]]+Table66[[#This Row],[Year 3 (Specified in RFO) - N/A]]+Table66[[#This Row],[Year 4 (Specified in RFO) - N/A]]+Table66[[#This Row],[Year 5 (Specified in RFO) - N/A]]+Table66[[#This Row],[Year 6 (Specified in RFO) - N/A]]</f>
        <v>0</v>
      </c>
      <c r="S16" s="410">
        <f ca="1">Table66[[#This Row],[Year 1  (Proposed)]]+Table66[[#This Row],[Year 2 (Proposed)]]+Table66[[#This Row],[Year 3 (Proposed)]]+Table66[[#This Row],[Year 4 (Proposed)]]+Table66[[#This Row],[Year 5 (Proposed)]]+Table66[[#This Row],[Year 6 (Proposed)]]</f>
        <v>0</v>
      </c>
      <c r="T16" s="411" t="b">
        <f ca="1">Table66[[#This Row],[Total Specifed in RFO - N/A]]=Table66[[#This Row],[Total Proposed]]</f>
        <v>1</v>
      </c>
      <c r="U16" s="442"/>
      <c r="V16" s="441">
        <f ca="1">Table66[[#This Row],[Year 6 (Specified in RFO) - N/A]]-Table66[[#This Row],[Column1]]</f>
        <v>0</v>
      </c>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row>
    <row r="17" spans="1:219" s="193" customFormat="1">
      <c r="A17" s="453" t="s">
        <v>265</v>
      </c>
      <c r="B17" s="190" t="s">
        <v>255</v>
      </c>
      <c r="C17" s="190" t="s">
        <v>256</v>
      </c>
      <c r="D17" s="190" t="s">
        <v>257</v>
      </c>
      <c r="E17" s="190" t="s">
        <v>258</v>
      </c>
      <c r="F17" s="190">
        <v>1920</v>
      </c>
      <c r="G17"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 s="190">
        <v>2016</v>
      </c>
      <c r="I17"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7" s="190">
        <v>2116</v>
      </c>
      <c r="K17"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7" s="190">
        <v>2222</v>
      </c>
      <c r="M17"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7" s="190">
        <v>2333</v>
      </c>
      <c r="O17"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7" s="190"/>
      <c r="Q17"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17" s="192">
        <f ca="1">Table66[[#This Row],[Year 1 (Specified in RFO) - N/A]]+Table66[[#This Row],[Year 2 (Specified in RFO) - N/A]]+Table66[[#This Row],[Year 3 (Specified in RFO) - N/A]]+Table66[[#This Row],[Year 4 (Specified in RFO) - N/A]]+Table66[[#This Row],[Year 5 (Specified in RFO) - N/A]]+Table66[[#This Row],[Year 6 (Specified in RFO) - N/A]]</f>
        <v>10607</v>
      </c>
      <c r="S17" s="410">
        <f ca="1">Table66[[#This Row],[Year 1  (Proposed)]]+Table66[[#This Row],[Year 2 (Proposed)]]+Table66[[#This Row],[Year 3 (Proposed)]]+Table66[[#This Row],[Year 4 (Proposed)]]+Table66[[#This Row],[Year 5 (Proposed)]]+Table66[[#This Row],[Year 6 (Proposed)]]</f>
        <v>0</v>
      </c>
      <c r="T17" s="444" t="b">
        <f ca="1">Table66[[#This Row],[Total Specifed in RFO - N/A]]=Table66[[#This Row],[Total Proposed]]</f>
        <v>0</v>
      </c>
      <c r="U17" s="442"/>
      <c r="V17" s="441"/>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row>
    <row r="18" spans="1:219" s="193" customFormat="1">
      <c r="A18" s="453" t="s">
        <v>265</v>
      </c>
      <c r="B18" s="449" t="s">
        <v>96</v>
      </c>
      <c r="C18" s="448"/>
      <c r="D18" s="449"/>
      <c r="E18" s="449"/>
      <c r="F18" s="190"/>
      <c r="G18"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 s="190"/>
      <c r="I18"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8" s="190"/>
      <c r="K18"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8" s="190"/>
      <c r="M18"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8" s="190"/>
      <c r="O18"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8" s="190"/>
      <c r="Q18"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18" s="192">
        <f ca="1">Table66[[#This Row],[Year 1 (Specified in RFO) - N/A]]+Table66[[#This Row],[Year 2 (Specified in RFO) - N/A]]+Table66[[#This Row],[Year 3 (Specified in RFO) - N/A]]+Table66[[#This Row],[Year 4 (Specified in RFO) - N/A]]+Table66[[#This Row],[Year 5 (Specified in RFO) - N/A]]+Table66[[#This Row],[Year 6 (Specified in RFO) - N/A]]</f>
        <v>0</v>
      </c>
      <c r="S18" s="410">
        <f ca="1">Table66[[#This Row],[Year 1  (Proposed)]]+Table66[[#This Row],[Year 2 (Proposed)]]+Table66[[#This Row],[Year 3 (Proposed)]]+Table66[[#This Row],[Year 4 (Proposed)]]+Table66[[#This Row],[Year 5 (Proposed)]]+Table66[[#This Row],[Year 6 (Proposed)]]</f>
        <v>0</v>
      </c>
      <c r="T18" s="411" t="b">
        <f ca="1">Table66[[#This Row],[Total Specifed in RFO - N/A]]=Table66[[#This Row],[Total Proposed]]</f>
        <v>1</v>
      </c>
      <c r="U18" s="442"/>
      <c r="V18" s="441">
        <f ca="1">Table66[[#This Row],[Year 6 (Specified in RFO) - N/A]]-Table66[[#This Row],[Column1]]</f>
        <v>0</v>
      </c>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row>
    <row r="19" spans="1:219" s="193" customFormat="1">
      <c r="A19" s="453" t="s">
        <v>266</v>
      </c>
      <c r="B19" s="190" t="s">
        <v>255</v>
      </c>
      <c r="C19" s="190" t="s">
        <v>256</v>
      </c>
      <c r="D19" s="190" t="s">
        <v>257</v>
      </c>
      <c r="E19" s="190" t="s">
        <v>258</v>
      </c>
      <c r="F19" s="190">
        <v>88</v>
      </c>
      <c r="G19"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 s="190">
        <v>88</v>
      </c>
      <c r="I19"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9" s="190">
        <v>100</v>
      </c>
      <c r="K19"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9" s="190">
        <v>105</v>
      </c>
      <c r="M19"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9" s="190">
        <v>115</v>
      </c>
      <c r="O19"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9" s="190"/>
      <c r="Q19"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19" s="192">
        <f ca="1">Table66[[#This Row],[Year 1 (Specified in RFO) - N/A]]+Table66[[#This Row],[Year 2 (Specified in RFO) - N/A]]+Table66[[#This Row],[Year 3 (Specified in RFO) - N/A]]+Table66[[#This Row],[Year 4 (Specified in RFO) - N/A]]+Table66[[#This Row],[Year 5 (Specified in RFO) - N/A]]+Table66[[#This Row],[Year 6 (Specified in RFO) - N/A]]</f>
        <v>496</v>
      </c>
      <c r="S19" s="402">
        <f ca="1">Table66[[#This Row],[Year 1  (Proposed)]]+Table66[[#This Row],[Year 2 (Proposed)]]+Table66[[#This Row],[Year 3 (Proposed)]]+Table66[[#This Row],[Year 4 (Proposed)]]+Table66[[#This Row],[Year 5 (Proposed)]]+Table66[[#This Row],[Year 6 (Proposed)]]</f>
        <v>0</v>
      </c>
      <c r="T19" s="443" t="b">
        <f ca="1">Table66[[#This Row],[Total Specifed in RFO - N/A]]=Table66[[#This Row],[Total Proposed]]</f>
        <v>0</v>
      </c>
      <c r="U19" s="442"/>
      <c r="V19" s="441"/>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row>
    <row r="20" spans="1:219" s="193" customFormat="1">
      <c r="A20" s="453" t="s">
        <v>266</v>
      </c>
      <c r="B20" s="449" t="s">
        <v>96</v>
      </c>
      <c r="C20" s="448"/>
      <c r="D20" s="449"/>
      <c r="E20" s="449"/>
      <c r="F20" s="190"/>
      <c r="G20"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 s="190"/>
      <c r="I20"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0" s="190"/>
      <c r="K20"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0" s="190"/>
      <c r="M20"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0" s="190"/>
      <c r="O20"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0" s="190"/>
      <c r="Q20"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20" s="192">
        <f ca="1">Table66[[#This Row],[Year 1 (Specified in RFO) - N/A]]+Table66[[#This Row],[Year 2 (Specified in RFO) - N/A]]+Table66[[#This Row],[Year 3 (Specified in RFO) - N/A]]+Table66[[#This Row],[Year 4 (Specified in RFO) - N/A]]+Table66[[#This Row],[Year 5 (Specified in RFO) - N/A]]+Table66[[#This Row],[Year 6 (Specified in RFO) - N/A]]</f>
        <v>0</v>
      </c>
      <c r="S20" s="410">
        <f ca="1">Table66[[#This Row],[Year 1  (Proposed)]]+Table66[[#This Row],[Year 2 (Proposed)]]+Table66[[#This Row],[Year 3 (Proposed)]]+Table66[[#This Row],[Year 4 (Proposed)]]+Table66[[#This Row],[Year 5 (Proposed)]]+Table66[[#This Row],[Year 6 (Proposed)]]</f>
        <v>0</v>
      </c>
      <c r="T20" s="411" t="b">
        <f ca="1">Table66[[#This Row],[Total Specifed in RFO - N/A]]=Table66[[#This Row],[Total Proposed]]</f>
        <v>1</v>
      </c>
      <c r="U20" s="442"/>
      <c r="V20" s="441">
        <f ca="1">Table66[[#This Row],[Year 6 (Specified in RFO) - N/A]]-Table66[[#This Row],[Column1]]</f>
        <v>0</v>
      </c>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row>
    <row r="21" spans="1:219" s="193" customFormat="1">
      <c r="A21" s="453" t="s">
        <v>267</v>
      </c>
      <c r="B21" s="190" t="s">
        <v>255</v>
      </c>
      <c r="C21" s="190" t="s">
        <v>256</v>
      </c>
      <c r="D21" s="190" t="s">
        <v>257</v>
      </c>
      <c r="E21" s="190" t="s">
        <v>258</v>
      </c>
      <c r="F21" s="190">
        <v>480</v>
      </c>
      <c r="G21"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 s="190">
        <v>504</v>
      </c>
      <c r="I21"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1" s="190">
        <v>530</v>
      </c>
      <c r="K21"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1" s="190">
        <v>557</v>
      </c>
      <c r="M21"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1" s="190">
        <v>585</v>
      </c>
      <c r="O21"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1" s="190"/>
      <c r="Q21"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21" s="192">
        <f ca="1">Table66[[#This Row],[Year 1 (Specified in RFO) - N/A]]+Table66[[#This Row],[Year 2 (Specified in RFO) - N/A]]+Table66[[#This Row],[Year 3 (Specified in RFO) - N/A]]+Table66[[#This Row],[Year 4 (Specified in RFO) - N/A]]+Table66[[#This Row],[Year 5 (Specified in RFO) - N/A]]+Table66[[#This Row],[Year 6 (Specified in RFO) - N/A]]</f>
        <v>2656</v>
      </c>
      <c r="S21" s="410">
        <f ca="1">Table66[[#This Row],[Year 1  (Proposed)]]+Table66[[#This Row],[Year 2 (Proposed)]]+Table66[[#This Row],[Year 3 (Proposed)]]+Table66[[#This Row],[Year 4 (Proposed)]]+Table66[[#This Row],[Year 5 (Proposed)]]+Table66[[#This Row],[Year 6 (Proposed)]]</f>
        <v>0</v>
      </c>
      <c r="T21" s="444" t="b">
        <f ca="1">Table66[[#This Row],[Total Specifed in RFO - N/A]]=Table66[[#This Row],[Total Proposed]]</f>
        <v>0</v>
      </c>
      <c r="U21" s="442"/>
      <c r="V21" s="441"/>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c r="GZ21" s="28"/>
      <c r="HA21" s="28"/>
      <c r="HB21" s="28"/>
      <c r="HC21" s="28"/>
      <c r="HD21" s="28"/>
      <c r="HE21" s="28"/>
      <c r="HF21" s="28"/>
      <c r="HG21" s="28"/>
      <c r="HH21" s="28"/>
      <c r="HI21" s="28"/>
      <c r="HJ21" s="28"/>
      <c r="HK21" s="28"/>
    </row>
    <row r="22" spans="1:219" s="193" customFormat="1">
      <c r="A22" s="453" t="s">
        <v>267</v>
      </c>
      <c r="B22" s="449" t="s">
        <v>96</v>
      </c>
      <c r="C22" s="448"/>
      <c r="D22" s="449"/>
      <c r="E22" s="449"/>
      <c r="F22" s="190"/>
      <c r="G22"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 s="190"/>
      <c r="I22"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2" s="190"/>
      <c r="K22"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2" s="190"/>
      <c r="M22"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2" s="190"/>
      <c r="O22"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2" s="190"/>
      <c r="Q22"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22" s="192">
        <f ca="1">Table66[[#This Row],[Year 1 (Specified in RFO) - N/A]]+Table66[[#This Row],[Year 2 (Specified in RFO) - N/A]]+Table66[[#This Row],[Year 3 (Specified in RFO) - N/A]]+Table66[[#This Row],[Year 4 (Specified in RFO) - N/A]]+Table66[[#This Row],[Year 5 (Specified in RFO) - N/A]]+Table66[[#This Row],[Year 6 (Specified in RFO) - N/A]]</f>
        <v>0</v>
      </c>
      <c r="S22" s="410">
        <f ca="1">Table66[[#This Row],[Year 1  (Proposed)]]+Table66[[#This Row],[Year 2 (Proposed)]]+Table66[[#This Row],[Year 3 (Proposed)]]+Table66[[#This Row],[Year 4 (Proposed)]]+Table66[[#This Row],[Year 5 (Proposed)]]+Table66[[#This Row],[Year 6 (Proposed)]]</f>
        <v>0</v>
      </c>
      <c r="T22" s="411" t="b">
        <f ca="1">Table66[[#This Row],[Total Specifed in RFO - N/A]]=Table66[[#This Row],[Total Proposed]]</f>
        <v>1</v>
      </c>
      <c r="U22" s="442"/>
      <c r="V22" s="441">
        <f ca="1">Table66[[#This Row],[Year 6 (Specified in RFO) - N/A]]-Table66[[#This Row],[Column1]]</f>
        <v>0</v>
      </c>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c r="GZ22" s="28"/>
      <c r="HA22" s="28"/>
      <c r="HB22" s="28"/>
      <c r="HC22" s="28"/>
      <c r="HD22" s="28"/>
      <c r="HE22" s="28"/>
      <c r="HF22" s="28"/>
      <c r="HG22" s="28"/>
      <c r="HH22" s="28"/>
      <c r="HI22" s="28"/>
      <c r="HJ22" s="28"/>
      <c r="HK22" s="28"/>
    </row>
    <row r="23" spans="1:219" s="193" customFormat="1">
      <c r="A23" s="453" t="s">
        <v>268</v>
      </c>
      <c r="B23" s="190" t="s">
        <v>255</v>
      </c>
      <c r="C23" s="190" t="s">
        <v>256</v>
      </c>
      <c r="D23" s="190" t="s">
        <v>257</v>
      </c>
      <c r="E23" s="190" t="s">
        <v>258</v>
      </c>
      <c r="F23" s="190">
        <v>20</v>
      </c>
      <c r="G23"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 s="190">
        <v>20</v>
      </c>
      <c r="I23"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3" s="190">
        <v>22</v>
      </c>
      <c r="K23"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3" s="190">
        <v>22</v>
      </c>
      <c r="M23"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3" s="190">
        <v>22</v>
      </c>
      <c r="O23"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3" s="190"/>
      <c r="Q23"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23" s="192">
        <f ca="1">Table66[[#This Row],[Year 1 (Specified in RFO) - N/A]]+Table66[[#This Row],[Year 2 (Specified in RFO) - N/A]]+Table66[[#This Row],[Year 3 (Specified in RFO) - N/A]]+Table66[[#This Row],[Year 4 (Specified in RFO) - N/A]]+Table66[[#This Row],[Year 5 (Specified in RFO) - N/A]]+Table66[[#This Row],[Year 6 (Specified in RFO) - N/A]]</f>
        <v>106</v>
      </c>
      <c r="S23" s="404">
        <f ca="1">Table66[[#This Row],[Year 1  (Proposed)]]+Table66[[#This Row],[Year 2 (Proposed)]]+Table66[[#This Row],[Year 3 (Proposed)]]+Table66[[#This Row],[Year 4 (Proposed)]]+Table66[[#This Row],[Year 5 (Proposed)]]+Table66[[#This Row],[Year 6 (Proposed)]]</f>
        <v>0</v>
      </c>
      <c r="T23" s="445" t="b">
        <f ca="1">Table66[[#This Row],[Total Specifed in RFO - N/A]]=Table66[[#This Row],[Total Proposed]]</f>
        <v>0</v>
      </c>
      <c r="U23" s="442"/>
      <c r="V23" s="441"/>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row>
    <row r="24" spans="1:219" s="193" customFormat="1">
      <c r="A24" s="453" t="s">
        <v>268</v>
      </c>
      <c r="B24" s="449" t="s">
        <v>96</v>
      </c>
      <c r="C24" s="448"/>
      <c r="D24" s="449"/>
      <c r="E24" s="449"/>
      <c r="F24" s="190"/>
      <c r="G24"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 s="190"/>
      <c r="I24"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4" s="190"/>
      <c r="K24"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4" s="190"/>
      <c r="M24"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4" s="190"/>
      <c r="O24"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4" s="190"/>
      <c r="Q24"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24" s="192">
        <f ca="1">Table66[[#This Row],[Year 1 (Specified in RFO) - N/A]]+Table66[[#This Row],[Year 2 (Specified in RFO) - N/A]]+Table66[[#This Row],[Year 3 (Specified in RFO) - N/A]]+Table66[[#This Row],[Year 4 (Specified in RFO) - N/A]]+Table66[[#This Row],[Year 5 (Specified in RFO) - N/A]]+Table66[[#This Row],[Year 6 (Specified in RFO) - N/A]]</f>
        <v>0</v>
      </c>
      <c r="S24" s="410">
        <f ca="1">Table66[[#This Row],[Year 1  (Proposed)]]+Table66[[#This Row],[Year 2 (Proposed)]]+Table66[[#This Row],[Year 3 (Proposed)]]+Table66[[#This Row],[Year 4 (Proposed)]]+Table66[[#This Row],[Year 5 (Proposed)]]+Table66[[#This Row],[Year 6 (Proposed)]]</f>
        <v>0</v>
      </c>
      <c r="T24" s="411" t="b">
        <f ca="1">Table66[[#This Row],[Total Specifed in RFO - N/A]]=Table66[[#This Row],[Total Proposed]]</f>
        <v>1</v>
      </c>
      <c r="U24" s="442"/>
      <c r="V24" s="441">
        <f ca="1">Table66[[#This Row],[Year 6 (Specified in RFO) - N/A]]-Table66[[#This Row],[Column1]]</f>
        <v>0</v>
      </c>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row>
    <row r="25" spans="1:219" s="193" customFormat="1">
      <c r="A25" s="453" t="s">
        <v>269</v>
      </c>
      <c r="B25" s="190" t="s">
        <v>255</v>
      </c>
      <c r="C25" s="190" t="s">
        <v>256</v>
      </c>
      <c r="D25" s="190" t="s">
        <v>257</v>
      </c>
      <c r="E25" s="190" t="s">
        <v>258</v>
      </c>
      <c r="F25" s="190">
        <v>700</v>
      </c>
      <c r="G25"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5" s="190">
        <v>724</v>
      </c>
      <c r="I25"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5" s="190">
        <v>760</v>
      </c>
      <c r="K25"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5" s="190">
        <v>787</v>
      </c>
      <c r="M25"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5" s="190">
        <v>815</v>
      </c>
      <c r="O25"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5" s="190"/>
      <c r="Q25"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25" s="192">
        <f ca="1">Table66[[#This Row],[Year 1 (Specified in RFO) - N/A]]+Table66[[#This Row],[Year 2 (Specified in RFO) - N/A]]+Table66[[#This Row],[Year 3 (Specified in RFO) - N/A]]+Table66[[#This Row],[Year 4 (Specified in RFO) - N/A]]+Table66[[#This Row],[Year 5 (Specified in RFO) - N/A]]+Table66[[#This Row],[Year 6 (Specified in RFO) - N/A]]</f>
        <v>3786</v>
      </c>
      <c r="S25" s="410">
        <f ca="1">Table66[[#This Row],[Year 1  (Proposed)]]+Table66[[#This Row],[Year 2 (Proposed)]]+Table66[[#This Row],[Year 3 (Proposed)]]+Table66[[#This Row],[Year 4 (Proposed)]]+Table66[[#This Row],[Year 5 (Proposed)]]+Table66[[#This Row],[Year 6 (Proposed)]]</f>
        <v>0</v>
      </c>
      <c r="T25" s="444" t="b">
        <f ca="1">Table66[[#This Row],[Total Specifed in RFO - N/A]]=Table66[[#This Row],[Total Proposed]]</f>
        <v>0</v>
      </c>
      <c r="U25" s="442"/>
      <c r="V25" s="441"/>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row>
    <row r="26" spans="1:219" s="193" customFormat="1">
      <c r="A26" s="453" t="s">
        <v>269</v>
      </c>
      <c r="B26" s="449" t="s">
        <v>96</v>
      </c>
      <c r="C26" s="448"/>
      <c r="D26" s="449"/>
      <c r="E26" s="449"/>
      <c r="F26" s="190"/>
      <c r="G26"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6" s="190"/>
      <c r="I26"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6" s="190"/>
      <c r="K26"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6" s="190"/>
      <c r="M26"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6" s="190"/>
      <c r="O26"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6" s="190"/>
      <c r="Q26"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26" s="192">
        <f ca="1">Table66[[#This Row],[Year 1 (Specified in RFO) - N/A]]+Table66[[#This Row],[Year 2 (Specified in RFO) - N/A]]+Table66[[#This Row],[Year 3 (Specified in RFO) - N/A]]+Table66[[#This Row],[Year 4 (Specified in RFO) - N/A]]+Table66[[#This Row],[Year 5 (Specified in RFO) - N/A]]+Table66[[#This Row],[Year 6 (Specified in RFO) - N/A]]</f>
        <v>0</v>
      </c>
      <c r="S26" s="410">
        <f ca="1">Table66[[#This Row],[Year 1  (Proposed)]]+Table66[[#This Row],[Year 2 (Proposed)]]+Table66[[#This Row],[Year 3 (Proposed)]]+Table66[[#This Row],[Year 4 (Proposed)]]+Table66[[#This Row],[Year 5 (Proposed)]]+Table66[[#This Row],[Year 6 (Proposed)]]</f>
        <v>0</v>
      </c>
      <c r="T26" s="411" t="b">
        <f ca="1">Table66[[#This Row],[Total Specifed in RFO - N/A]]=Table66[[#This Row],[Total Proposed]]</f>
        <v>1</v>
      </c>
      <c r="U26" s="442"/>
      <c r="V26" s="441">
        <f ca="1">Table66[[#This Row],[Year 6 (Specified in RFO) - N/A]]-Table66[[#This Row],[Column1]]</f>
        <v>0</v>
      </c>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row>
    <row r="27" spans="1:219" s="195" customFormat="1">
      <c r="A27" s="453" t="s">
        <v>270</v>
      </c>
      <c r="B27" s="190" t="s">
        <v>255</v>
      </c>
      <c r="C27" s="190" t="s">
        <v>256</v>
      </c>
      <c r="D27" s="190" t="s">
        <v>257</v>
      </c>
      <c r="E27" s="190" t="s">
        <v>258</v>
      </c>
      <c r="F27" s="190">
        <v>490</v>
      </c>
      <c r="G27"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7" s="190">
        <v>504</v>
      </c>
      <c r="I27"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7" s="190">
        <v>530</v>
      </c>
      <c r="K27"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7" s="190">
        <v>1111</v>
      </c>
      <c r="M27"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7" s="190">
        <v>1167</v>
      </c>
      <c r="O27"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7" s="190"/>
      <c r="Q27"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27" s="192">
        <f ca="1">Table66[[#This Row],[Year 1 (Specified in RFO) - N/A]]+Table66[[#This Row],[Year 2 (Specified in RFO) - N/A]]+Table66[[#This Row],[Year 3 (Specified in RFO) - N/A]]+Table66[[#This Row],[Year 4 (Specified in RFO) - N/A]]+Table66[[#This Row],[Year 5 (Specified in RFO) - N/A]]+Table66[[#This Row],[Year 6 (Specified in RFO) - N/A]]</f>
        <v>3802</v>
      </c>
      <c r="S27" s="402">
        <f ca="1">Table66[[#This Row],[Year 1  (Proposed)]]+Table66[[#This Row],[Year 2 (Proposed)]]+Table66[[#This Row],[Year 3 (Proposed)]]+Table66[[#This Row],[Year 4 (Proposed)]]+Table66[[#This Row],[Year 5 (Proposed)]]+Table66[[#This Row],[Year 6 (Proposed)]]</f>
        <v>0</v>
      </c>
      <c r="T27" s="443" t="b">
        <f ca="1">Table66[[#This Row],[Total Specifed in RFO - N/A]]=Table66[[#This Row],[Total Proposed]]</f>
        <v>0</v>
      </c>
      <c r="U27" s="442"/>
      <c r="V27" s="441"/>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c r="GV27" s="28"/>
      <c r="GW27" s="28"/>
      <c r="GX27" s="28"/>
      <c r="GY27" s="28"/>
      <c r="GZ27" s="28"/>
      <c r="HA27" s="28"/>
      <c r="HB27" s="28"/>
      <c r="HC27" s="28"/>
      <c r="HD27" s="28"/>
      <c r="HE27" s="28"/>
      <c r="HF27" s="28"/>
      <c r="HG27" s="28"/>
      <c r="HH27" s="28"/>
      <c r="HI27" s="28"/>
      <c r="HJ27" s="28"/>
      <c r="HK27" s="28"/>
    </row>
    <row r="28" spans="1:219" s="195" customFormat="1">
      <c r="A28" s="453" t="s">
        <v>270</v>
      </c>
      <c r="B28" s="449" t="s">
        <v>96</v>
      </c>
      <c r="C28" s="448"/>
      <c r="D28" s="449"/>
      <c r="E28" s="449"/>
      <c r="F28" s="190"/>
      <c r="G28"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8" s="190"/>
      <c r="I28"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8" s="190"/>
      <c r="K28"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8" s="190"/>
      <c r="M28"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8" s="190"/>
      <c r="O28"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8" s="190"/>
      <c r="Q28"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28" s="192">
        <f ca="1">Table66[[#This Row],[Year 1 (Specified in RFO) - N/A]]+Table66[[#This Row],[Year 2 (Specified in RFO) - N/A]]+Table66[[#This Row],[Year 3 (Specified in RFO) - N/A]]+Table66[[#This Row],[Year 4 (Specified in RFO) - N/A]]+Table66[[#This Row],[Year 5 (Specified in RFO) - N/A]]+Table66[[#This Row],[Year 6 (Specified in RFO) - N/A]]</f>
        <v>0</v>
      </c>
      <c r="S28" s="410">
        <f ca="1">Table66[[#This Row],[Year 1  (Proposed)]]+Table66[[#This Row],[Year 2 (Proposed)]]+Table66[[#This Row],[Year 3 (Proposed)]]+Table66[[#This Row],[Year 4 (Proposed)]]+Table66[[#This Row],[Year 5 (Proposed)]]+Table66[[#This Row],[Year 6 (Proposed)]]</f>
        <v>0</v>
      </c>
      <c r="T28" s="411" t="b">
        <f ca="1">Table66[[#This Row],[Total Specifed in RFO - N/A]]=Table66[[#This Row],[Total Proposed]]</f>
        <v>1</v>
      </c>
      <c r="U28" s="442"/>
      <c r="V28" s="441">
        <f ca="1">Table66[[#This Row],[Year 6 (Specified in RFO) - N/A]]-Table66[[#This Row],[Column1]]</f>
        <v>0</v>
      </c>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c r="GV28" s="28"/>
      <c r="GW28" s="28"/>
      <c r="GX28" s="28"/>
      <c r="GY28" s="28"/>
      <c r="GZ28" s="28"/>
      <c r="HA28" s="28"/>
      <c r="HB28" s="28"/>
      <c r="HC28" s="28"/>
      <c r="HD28" s="28"/>
      <c r="HE28" s="28"/>
      <c r="HF28" s="28"/>
      <c r="HG28" s="28"/>
      <c r="HH28" s="28"/>
      <c r="HI28" s="28"/>
      <c r="HJ28" s="28"/>
      <c r="HK28" s="28"/>
    </row>
    <row r="29" spans="1:219" s="195" customFormat="1">
      <c r="A29" s="453" t="s">
        <v>271</v>
      </c>
      <c r="B29" s="190" t="s">
        <v>255</v>
      </c>
      <c r="C29" s="190" t="s">
        <v>256</v>
      </c>
      <c r="D29" s="190" t="s">
        <v>257</v>
      </c>
      <c r="E29" s="190" t="s">
        <v>258</v>
      </c>
      <c r="F29" s="190">
        <v>210</v>
      </c>
      <c r="G29"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9" s="190">
        <v>210</v>
      </c>
      <c r="I29"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9" s="190">
        <v>210</v>
      </c>
      <c r="K29"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9" s="190">
        <v>210</v>
      </c>
      <c r="M29"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9" s="190">
        <v>210</v>
      </c>
      <c r="O29"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9" s="190"/>
      <c r="Q29"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29" s="192">
        <f ca="1">Table66[[#This Row],[Year 1 (Specified in RFO) - N/A]]+Table66[[#This Row],[Year 2 (Specified in RFO) - N/A]]+Table66[[#This Row],[Year 3 (Specified in RFO) - N/A]]+Table66[[#This Row],[Year 4 (Specified in RFO) - N/A]]+Table66[[#This Row],[Year 5 (Specified in RFO) - N/A]]+Table66[[#This Row],[Year 6 (Specified in RFO) - N/A]]</f>
        <v>1050</v>
      </c>
      <c r="S29" s="410">
        <f ca="1">Table66[[#This Row],[Year 1  (Proposed)]]+Table66[[#This Row],[Year 2 (Proposed)]]+Table66[[#This Row],[Year 3 (Proposed)]]+Table66[[#This Row],[Year 4 (Proposed)]]+Table66[[#This Row],[Year 5 (Proposed)]]+Table66[[#This Row],[Year 6 (Proposed)]]</f>
        <v>0</v>
      </c>
      <c r="T29" s="444" t="b">
        <f ca="1">Table66[[#This Row],[Total Specifed in RFO - N/A]]=Table66[[#This Row],[Total Proposed]]</f>
        <v>0</v>
      </c>
      <c r="U29" s="442"/>
      <c r="V29" s="441"/>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row>
    <row r="30" spans="1:219" s="195" customFormat="1">
      <c r="A30" s="453" t="s">
        <v>271</v>
      </c>
      <c r="B30" s="449" t="s">
        <v>96</v>
      </c>
      <c r="C30" s="448"/>
      <c r="D30" s="449"/>
      <c r="E30" s="449"/>
      <c r="F30" s="190"/>
      <c r="G30"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0" s="190"/>
      <c r="I30"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0" s="190"/>
      <c r="K30"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0" s="190"/>
      <c r="M30"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0" s="190"/>
      <c r="O30"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0" s="190"/>
      <c r="Q30"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30" s="192">
        <f ca="1">Table66[[#This Row],[Year 1 (Specified in RFO) - N/A]]+Table66[[#This Row],[Year 2 (Specified in RFO) - N/A]]+Table66[[#This Row],[Year 3 (Specified in RFO) - N/A]]+Table66[[#This Row],[Year 4 (Specified in RFO) - N/A]]+Table66[[#This Row],[Year 5 (Specified in RFO) - N/A]]+Table66[[#This Row],[Year 6 (Specified in RFO) - N/A]]</f>
        <v>0</v>
      </c>
      <c r="S30" s="410">
        <f ca="1">Table66[[#This Row],[Year 1  (Proposed)]]+Table66[[#This Row],[Year 2 (Proposed)]]+Table66[[#This Row],[Year 3 (Proposed)]]+Table66[[#This Row],[Year 4 (Proposed)]]+Table66[[#This Row],[Year 5 (Proposed)]]+Table66[[#This Row],[Year 6 (Proposed)]]</f>
        <v>0</v>
      </c>
      <c r="T30" s="411" t="b">
        <f ca="1">Table66[[#This Row],[Total Specifed in RFO - N/A]]=Table66[[#This Row],[Total Proposed]]</f>
        <v>1</v>
      </c>
      <c r="U30" s="442"/>
      <c r="V30" s="441">
        <f ca="1">Table66[[#This Row],[Year 6 (Specified in RFO) - N/A]]-Table66[[#This Row],[Column1]]</f>
        <v>0</v>
      </c>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row>
    <row r="31" spans="1:219" s="195" customFormat="1">
      <c r="A31" s="453" t="s">
        <v>272</v>
      </c>
      <c r="B31" s="190" t="s">
        <v>255</v>
      </c>
      <c r="C31" s="190" t="s">
        <v>256</v>
      </c>
      <c r="D31" s="190" t="s">
        <v>257</v>
      </c>
      <c r="E31" s="190" t="s">
        <v>258</v>
      </c>
      <c r="F31" s="190">
        <v>270</v>
      </c>
      <c r="G31"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1" s="190">
        <v>270</v>
      </c>
      <c r="I31"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1" s="190">
        <v>270</v>
      </c>
      <c r="K31"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1" s="190">
        <v>270</v>
      </c>
      <c r="M31"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1" s="190">
        <v>270</v>
      </c>
      <c r="O31"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1" s="190"/>
      <c r="Q31"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31" s="192">
        <f ca="1">Table66[[#This Row],[Year 1 (Specified in RFO) - N/A]]+Table66[[#This Row],[Year 2 (Specified in RFO) - N/A]]+Table66[[#This Row],[Year 3 (Specified in RFO) - N/A]]+Table66[[#This Row],[Year 4 (Specified in RFO) - N/A]]+Table66[[#This Row],[Year 5 (Specified in RFO) - N/A]]+Table66[[#This Row],[Year 6 (Specified in RFO) - N/A]]</f>
        <v>1350</v>
      </c>
      <c r="S31" s="404">
        <f ca="1">Table66[[#This Row],[Year 1  (Proposed)]]+Table66[[#This Row],[Year 2 (Proposed)]]+Table66[[#This Row],[Year 3 (Proposed)]]+Table66[[#This Row],[Year 4 (Proposed)]]+Table66[[#This Row],[Year 5 (Proposed)]]+Table66[[#This Row],[Year 6 (Proposed)]]</f>
        <v>0</v>
      </c>
      <c r="T31" s="445" t="b">
        <f ca="1">Table66[[#This Row],[Total Specifed in RFO - N/A]]=Table66[[#This Row],[Total Proposed]]</f>
        <v>0</v>
      </c>
      <c r="U31" s="442"/>
      <c r="V31" s="441"/>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row>
    <row r="32" spans="1:219" s="195" customFormat="1">
      <c r="A32" s="453" t="s">
        <v>272</v>
      </c>
      <c r="B32" s="449" t="s">
        <v>96</v>
      </c>
      <c r="C32" s="448"/>
      <c r="D32" s="449"/>
      <c r="E32" s="449"/>
      <c r="F32" s="190"/>
      <c r="G32"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2" s="190"/>
      <c r="I32"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2" s="190"/>
      <c r="K32"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2" s="190"/>
      <c r="M32"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2" s="190"/>
      <c r="O32"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2" s="190"/>
      <c r="Q32"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32" s="192">
        <f ca="1">Table66[[#This Row],[Year 1 (Specified in RFO) - N/A]]+Table66[[#This Row],[Year 2 (Specified in RFO) - N/A]]+Table66[[#This Row],[Year 3 (Specified in RFO) - N/A]]+Table66[[#This Row],[Year 4 (Specified in RFO) - N/A]]+Table66[[#This Row],[Year 5 (Specified in RFO) - N/A]]+Table66[[#This Row],[Year 6 (Specified in RFO) - N/A]]</f>
        <v>0</v>
      </c>
      <c r="S32" s="410">
        <f ca="1">Table66[[#This Row],[Year 1  (Proposed)]]+Table66[[#This Row],[Year 2 (Proposed)]]+Table66[[#This Row],[Year 3 (Proposed)]]+Table66[[#This Row],[Year 4 (Proposed)]]+Table66[[#This Row],[Year 5 (Proposed)]]+Table66[[#This Row],[Year 6 (Proposed)]]</f>
        <v>0</v>
      </c>
      <c r="T32" s="411" t="b">
        <f ca="1">Table66[[#This Row],[Total Specifed in RFO - N/A]]=Table66[[#This Row],[Total Proposed]]</f>
        <v>1</v>
      </c>
      <c r="U32" s="442"/>
      <c r="V32" s="441">
        <f ca="1">Table66[[#This Row],[Year 6 (Specified in RFO) - N/A]]-Table66[[#This Row],[Column1]]</f>
        <v>0</v>
      </c>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row>
    <row r="33" spans="1:219" s="195" customFormat="1">
      <c r="A33" s="454" t="s">
        <v>273</v>
      </c>
      <c r="B33" s="190" t="s">
        <v>255</v>
      </c>
      <c r="C33" s="190" t="s">
        <v>256</v>
      </c>
      <c r="D33" s="190" t="s">
        <v>257</v>
      </c>
      <c r="E33" s="190" t="s">
        <v>258</v>
      </c>
      <c r="F33" s="190">
        <v>1920</v>
      </c>
      <c r="G33"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3" s="190">
        <v>1920</v>
      </c>
      <c r="I33"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3" s="190">
        <v>1920</v>
      </c>
      <c r="K33"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3" s="190">
        <v>1920</v>
      </c>
      <c r="M33"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3" s="190">
        <v>1920</v>
      </c>
      <c r="O33"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3" s="190"/>
      <c r="Q33"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33" s="192">
        <f ca="1">Table66[[#This Row],[Year 1 (Specified in RFO) - N/A]]+Table66[[#This Row],[Year 2 (Specified in RFO) - N/A]]+Table66[[#This Row],[Year 3 (Specified in RFO) - N/A]]+Table66[[#This Row],[Year 4 (Specified in RFO) - N/A]]+Table66[[#This Row],[Year 5 (Specified in RFO) - N/A]]+Table66[[#This Row],[Year 6 (Specified in RFO) - N/A]]</f>
        <v>9600</v>
      </c>
      <c r="S33" s="410">
        <f ca="1">Table66[[#This Row],[Year 1  (Proposed)]]+Table66[[#This Row],[Year 2 (Proposed)]]+Table66[[#This Row],[Year 3 (Proposed)]]+Table66[[#This Row],[Year 4 (Proposed)]]+Table66[[#This Row],[Year 5 (Proposed)]]+Table66[[#This Row],[Year 6 (Proposed)]]</f>
        <v>0</v>
      </c>
      <c r="T33" s="444" t="b">
        <f ca="1">Table66[[#This Row],[Total Specifed in RFO - N/A]]=Table66[[#This Row],[Total Proposed]]</f>
        <v>0</v>
      </c>
      <c r="U33" s="442"/>
      <c r="V33" s="441"/>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row>
    <row r="34" spans="1:219" s="195" customFormat="1">
      <c r="A34" s="454" t="s">
        <v>273</v>
      </c>
      <c r="B34" s="449" t="s">
        <v>96</v>
      </c>
      <c r="C34" s="448"/>
      <c r="D34" s="449"/>
      <c r="E34" s="449"/>
      <c r="F34" s="190"/>
      <c r="G34"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4" s="190"/>
      <c r="I34"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4" s="190"/>
      <c r="K34"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4" s="190"/>
      <c r="M34"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4" s="190"/>
      <c r="O34"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4" s="190"/>
      <c r="Q34"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34" s="192">
        <f ca="1">Table66[[#This Row],[Year 1 (Specified in RFO) - N/A]]+Table66[[#This Row],[Year 2 (Specified in RFO) - N/A]]+Table66[[#This Row],[Year 3 (Specified in RFO) - N/A]]+Table66[[#This Row],[Year 4 (Specified in RFO) - N/A]]+Table66[[#This Row],[Year 5 (Specified in RFO) - N/A]]+Table66[[#This Row],[Year 6 (Specified in RFO) - N/A]]</f>
        <v>0</v>
      </c>
      <c r="S34" s="410">
        <f ca="1">Table66[[#This Row],[Year 1  (Proposed)]]+Table66[[#This Row],[Year 2 (Proposed)]]+Table66[[#This Row],[Year 3 (Proposed)]]+Table66[[#This Row],[Year 4 (Proposed)]]+Table66[[#This Row],[Year 5 (Proposed)]]+Table66[[#This Row],[Year 6 (Proposed)]]</f>
        <v>0</v>
      </c>
      <c r="T34" s="411" t="b">
        <f ca="1">Table66[[#This Row],[Total Specifed in RFO - N/A]]=Table66[[#This Row],[Total Proposed]]</f>
        <v>1</v>
      </c>
      <c r="U34" s="442"/>
      <c r="V34" s="441">
        <f ca="1">Table66[[#This Row],[Year 6 (Specified in RFO) - N/A]]-Table66[[#This Row],[Column1]]</f>
        <v>0</v>
      </c>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c r="GV34" s="28"/>
      <c r="GW34" s="28"/>
      <c r="GX34" s="28"/>
      <c r="GY34" s="28"/>
      <c r="GZ34" s="28"/>
      <c r="HA34" s="28"/>
      <c r="HB34" s="28"/>
      <c r="HC34" s="28"/>
      <c r="HD34" s="28"/>
      <c r="HE34" s="28"/>
      <c r="HF34" s="28"/>
      <c r="HG34" s="28"/>
      <c r="HH34" s="28"/>
      <c r="HI34" s="28"/>
      <c r="HJ34" s="28"/>
      <c r="HK34" s="28"/>
    </row>
    <row r="35" spans="1:219" s="193" customFormat="1" ht="15" customHeight="1">
      <c r="A35" s="454" t="s">
        <v>273</v>
      </c>
      <c r="B35" s="190" t="s">
        <v>274</v>
      </c>
      <c r="C35" s="190" t="s">
        <v>256</v>
      </c>
      <c r="D35" s="190" t="s">
        <v>257</v>
      </c>
      <c r="E35" s="190" t="s">
        <v>258</v>
      </c>
      <c r="F35" s="190">
        <v>960</v>
      </c>
      <c r="G35" s="191">
        <f ca="1">IF(Table66[[#This Row],[Site]]="Govt Site",SUMIFS(Cost_Elements[Hours | 1],Cost_Elements[Site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5" s="190">
        <v>960</v>
      </c>
      <c r="I35" s="191">
        <f ca="1">IF(Table66[[#This Row],[Site]]="Govt Site",SUMIFS(Cost_Elements[Hours | 2],Cost_Elements[Site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5" s="190">
        <v>960</v>
      </c>
      <c r="K35" s="191">
        <f ca="1">IF(Table66[[#This Row],[Site]]="Govt Site",SUMIFS(Cost_Elements[Hours | 3],Cost_Elements[Site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5" s="190">
        <v>960</v>
      </c>
      <c r="M35" s="191">
        <f ca="1">IF(Table66[[#This Row],[Site]]="Govt Site",SUMIFS(Cost_Elements[Hours | 4],Cost_Elements[Site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5" s="190">
        <v>960</v>
      </c>
      <c r="O35" s="191">
        <f ca="1">IF(Table66[[#This Row],[Site]]="Govt Site",SUMIFS(Cost_Elements[Hours | 5],Cost_Elements[Site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5" s="190"/>
      <c r="Q35" s="191">
        <f ca="1">IF(Table66[[#This Row],[Site]]="Govt Site",SUMIFS(Cost_Elements[Hours | 6],Cost_Elements[Site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35" s="192">
        <f ca="1">Table66[[#This Row],[Year 1 (Specified in RFO) - N/A]]+Table66[[#This Row],[Year 2 (Specified in RFO) - N/A]]+Table66[[#This Row],[Year 3 (Specified in RFO) - N/A]]+Table66[[#This Row],[Year 4 (Specified in RFO) - N/A]]+Table66[[#This Row],[Year 5 (Specified in RFO) - N/A]]+Table66[[#This Row],[Year 6 (Specified in RFO) - N/A]]</f>
        <v>4800</v>
      </c>
      <c r="S35" s="404">
        <f ca="1">Table66[[#This Row],[Year 1  (Proposed)]]+Table66[[#This Row],[Year 2 (Proposed)]]+Table66[[#This Row],[Year 3 (Proposed)]]+Table66[[#This Row],[Year 4 (Proposed)]]+Table66[[#This Row],[Year 5 (Proposed)]]+Table66[[#This Row],[Year 6 (Proposed)]]</f>
        <v>0</v>
      </c>
      <c r="T35" s="445" t="b">
        <f ca="1">Table66[[#This Row],[Total Specifed in RFO - N/A]]=Table66[[#This Row],[Total Proposed]]</f>
        <v>0</v>
      </c>
      <c r="U35" s="442"/>
      <c r="V35" s="441"/>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c r="GV35" s="28"/>
      <c r="GW35" s="28"/>
      <c r="GX35" s="28"/>
      <c r="GY35" s="28"/>
      <c r="GZ35" s="28"/>
      <c r="HA35" s="28"/>
      <c r="HB35" s="28"/>
      <c r="HC35" s="28"/>
      <c r="HD35" s="28"/>
      <c r="HE35" s="28"/>
      <c r="HF35" s="28"/>
      <c r="HG35" s="28"/>
      <c r="HH35" s="28"/>
      <c r="HI35" s="28"/>
      <c r="HJ35" s="28"/>
      <c r="HK35" s="28"/>
    </row>
    <row r="36" spans="1:219" s="193" customFormat="1" ht="15" customHeight="1">
      <c r="A36" s="454" t="s">
        <v>273</v>
      </c>
      <c r="B36" s="190" t="s">
        <v>96</v>
      </c>
      <c r="C36" s="190"/>
      <c r="D36" s="190"/>
      <c r="E36" s="190"/>
      <c r="F36" s="190"/>
      <c r="G36"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6" s="190"/>
      <c r="I36"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6" s="190"/>
      <c r="K36"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6" s="190"/>
      <c r="M36"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6" s="190"/>
      <c r="O36"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6" s="190"/>
      <c r="Q36"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36" s="192">
        <f ca="1">Table66[[#This Row],[Year 1 (Specified in RFO) - N/A]]+Table66[[#This Row],[Year 2 (Specified in RFO) - N/A]]+Table66[[#This Row],[Year 3 (Specified in RFO) - N/A]]+Table66[[#This Row],[Year 4 (Specified in RFO) - N/A]]+Table66[[#This Row],[Year 5 (Specified in RFO) - N/A]]+Table66[[#This Row],[Year 6 (Specified in RFO) - N/A]]</f>
        <v>0</v>
      </c>
      <c r="S36" s="404">
        <f ca="1">Table66[[#This Row],[Year 1  (Proposed)]]+Table66[[#This Row],[Year 2 (Proposed)]]+Table66[[#This Row],[Year 3 (Proposed)]]+Table66[[#This Row],[Year 4 (Proposed)]]+Table66[[#This Row],[Year 5 (Proposed)]]+Table66[[#This Row],[Year 6 (Proposed)]]</f>
        <v>0</v>
      </c>
      <c r="T36" s="445" t="b">
        <f ca="1">Table66[[#This Row],[Total Specifed in RFO - N/A]]=Table66[[#This Row],[Total Proposed]]</f>
        <v>1</v>
      </c>
      <c r="U36" s="442"/>
      <c r="V36" s="441">
        <f ca="1">Table66[[#This Row],[Year 6 (Specified in RFO) - N/A]]-Table66[[#This Row],[Column1]]</f>
        <v>0</v>
      </c>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c r="GV36" s="28"/>
      <c r="GW36" s="28"/>
      <c r="GX36" s="28"/>
      <c r="GY36" s="28"/>
      <c r="GZ36" s="28"/>
      <c r="HA36" s="28"/>
      <c r="HB36" s="28"/>
      <c r="HC36" s="28"/>
      <c r="HD36" s="28"/>
      <c r="HE36" s="28"/>
      <c r="HF36" s="28"/>
      <c r="HG36" s="28"/>
      <c r="HH36" s="28"/>
      <c r="HI36" s="28"/>
      <c r="HJ36" s="28"/>
      <c r="HK36" s="28"/>
    </row>
    <row r="37" spans="1:219" s="193" customFormat="1">
      <c r="A37" s="453" t="s">
        <v>275</v>
      </c>
      <c r="B37" s="190" t="s">
        <v>255</v>
      </c>
      <c r="C37" s="190" t="s">
        <v>256</v>
      </c>
      <c r="D37" s="190" t="s">
        <v>257</v>
      </c>
      <c r="E37" s="190" t="s">
        <v>258</v>
      </c>
      <c r="F37" s="190">
        <v>270</v>
      </c>
      <c r="G37"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7" s="190">
        <v>402</v>
      </c>
      <c r="I37"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7" s="190">
        <v>574</v>
      </c>
      <c r="K37"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7" s="190">
        <v>492</v>
      </c>
      <c r="M37"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7" s="190">
        <v>551</v>
      </c>
      <c r="O37"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7" s="190"/>
      <c r="Q37"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37" s="192">
        <f ca="1">Table66[[#This Row],[Year 1 (Specified in RFO) - N/A]]+Table66[[#This Row],[Year 2 (Specified in RFO) - N/A]]+Table66[[#This Row],[Year 3 (Specified in RFO) - N/A]]+Table66[[#This Row],[Year 4 (Specified in RFO) - N/A]]+Table66[[#This Row],[Year 5 (Specified in RFO) - N/A]]+Table66[[#This Row],[Year 6 (Specified in RFO) - N/A]]</f>
        <v>2289</v>
      </c>
      <c r="S37" s="410">
        <f ca="1">Table66[[#This Row],[Year 1  (Proposed)]]+Table66[[#This Row],[Year 2 (Proposed)]]+Table66[[#This Row],[Year 3 (Proposed)]]+Table66[[#This Row],[Year 4 (Proposed)]]+Table66[[#This Row],[Year 5 (Proposed)]]+Table66[[#This Row],[Year 6 (Proposed)]]</f>
        <v>0</v>
      </c>
      <c r="T37" s="444" t="b">
        <f ca="1">Table66[[#This Row],[Total Specifed in RFO - N/A]]=Table66[[#This Row],[Total Proposed]]</f>
        <v>0</v>
      </c>
      <c r="U37" s="442"/>
      <c r="V37" s="441"/>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c r="GV37" s="28"/>
      <c r="GW37" s="28"/>
      <c r="GX37" s="28"/>
      <c r="GY37" s="28"/>
      <c r="GZ37" s="28"/>
      <c r="HA37" s="28"/>
      <c r="HB37" s="28"/>
      <c r="HC37" s="28"/>
      <c r="HD37" s="28"/>
      <c r="HE37" s="28"/>
      <c r="HF37" s="28"/>
      <c r="HG37" s="28"/>
      <c r="HH37" s="28"/>
      <c r="HI37" s="28"/>
      <c r="HJ37" s="28"/>
      <c r="HK37" s="28"/>
    </row>
    <row r="38" spans="1:219" s="193" customFormat="1">
      <c r="A38" s="453" t="s">
        <v>275</v>
      </c>
      <c r="B38" s="449" t="s">
        <v>96</v>
      </c>
      <c r="C38" s="448"/>
      <c r="D38" s="449"/>
      <c r="E38" s="449"/>
      <c r="F38" s="190"/>
      <c r="G38"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8" s="190"/>
      <c r="I38"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8" s="190"/>
      <c r="K38"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8" s="190"/>
      <c r="M38"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8" s="190"/>
      <c r="O38"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8" s="190"/>
      <c r="Q38"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38" s="192">
        <f ca="1">Table66[[#This Row],[Year 1 (Specified in RFO) - N/A]]+Table66[[#This Row],[Year 2 (Specified in RFO) - N/A]]+Table66[[#This Row],[Year 3 (Specified in RFO) - N/A]]+Table66[[#This Row],[Year 4 (Specified in RFO) - N/A]]+Table66[[#This Row],[Year 5 (Specified in RFO) - N/A]]+Table66[[#This Row],[Year 6 (Specified in RFO) - N/A]]</f>
        <v>0</v>
      </c>
      <c r="S38" s="410">
        <f ca="1">Table66[[#This Row],[Year 1  (Proposed)]]+Table66[[#This Row],[Year 2 (Proposed)]]+Table66[[#This Row],[Year 3 (Proposed)]]+Table66[[#This Row],[Year 4 (Proposed)]]+Table66[[#This Row],[Year 5 (Proposed)]]+Table66[[#This Row],[Year 6 (Proposed)]]</f>
        <v>0</v>
      </c>
      <c r="T38" s="411" t="b">
        <f ca="1">Table66[[#This Row],[Total Specifed in RFO - N/A]]=Table66[[#This Row],[Total Proposed]]</f>
        <v>1</v>
      </c>
      <c r="U38" s="442"/>
      <c r="V38" s="441">
        <f ca="1">Table66[[#This Row],[Year 6 (Specified in RFO) - N/A]]-Table66[[#This Row],[Column1]]</f>
        <v>0</v>
      </c>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c r="GV38" s="28"/>
      <c r="GW38" s="28"/>
      <c r="GX38" s="28"/>
      <c r="GY38" s="28"/>
      <c r="GZ38" s="28"/>
      <c r="HA38" s="28"/>
      <c r="HB38" s="28"/>
      <c r="HC38" s="28"/>
      <c r="HD38" s="28"/>
      <c r="HE38" s="28"/>
      <c r="HF38" s="28"/>
      <c r="HG38" s="28"/>
      <c r="HH38" s="28"/>
      <c r="HI38" s="28"/>
      <c r="HJ38" s="28"/>
      <c r="HK38" s="28"/>
    </row>
    <row r="39" spans="1:219" s="209" customFormat="1">
      <c r="A39" s="453" t="s">
        <v>276</v>
      </c>
      <c r="B39" s="190" t="s">
        <v>255</v>
      </c>
      <c r="C39" s="190" t="s">
        <v>256</v>
      </c>
      <c r="D39" s="190" t="s">
        <v>257</v>
      </c>
      <c r="E39" s="190" t="s">
        <v>258</v>
      </c>
      <c r="F39" s="190">
        <v>683</v>
      </c>
      <c r="G39"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9" s="190">
        <v>599</v>
      </c>
      <c r="I39"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9" s="190">
        <v>484</v>
      </c>
      <c r="K39"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9" s="190">
        <v>619</v>
      </c>
      <c r="M39"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9" s="190">
        <v>616</v>
      </c>
      <c r="O39"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9" s="190"/>
      <c r="Q39"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39" s="192">
        <f ca="1">Table66[[#This Row],[Year 1 (Specified in RFO) - N/A]]+Table66[[#This Row],[Year 2 (Specified in RFO) - N/A]]+Table66[[#This Row],[Year 3 (Specified in RFO) - N/A]]+Table66[[#This Row],[Year 4 (Specified in RFO) - N/A]]+Table66[[#This Row],[Year 5 (Specified in RFO) - N/A]]+Table66[[#This Row],[Year 6 (Specified in RFO) - N/A]]</f>
        <v>3001</v>
      </c>
      <c r="S39" s="402">
        <f ca="1">Table66[[#This Row],[Year 1  (Proposed)]]+Table66[[#This Row],[Year 2 (Proposed)]]+Table66[[#This Row],[Year 3 (Proposed)]]+Table66[[#This Row],[Year 4 (Proposed)]]+Table66[[#This Row],[Year 5 (Proposed)]]+Table66[[#This Row],[Year 6 (Proposed)]]</f>
        <v>0</v>
      </c>
      <c r="T39" s="443" t="b">
        <f ca="1">Table66[[#This Row],[Total Specifed in RFO - N/A]]=Table66[[#This Row],[Total Proposed]]</f>
        <v>0</v>
      </c>
      <c r="U39" s="442"/>
      <c r="V39" s="441"/>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c r="CY39" s="208"/>
      <c r="CZ39" s="208"/>
      <c r="DA39" s="208"/>
      <c r="DB39" s="208"/>
      <c r="DC39" s="208"/>
      <c r="DD39" s="208"/>
      <c r="DE39" s="208"/>
      <c r="DF39" s="208"/>
      <c r="DG39" s="208"/>
      <c r="DH39" s="208"/>
      <c r="DI39" s="208"/>
      <c r="DJ39" s="208"/>
      <c r="DK39" s="208"/>
      <c r="DL39" s="208"/>
      <c r="DM39" s="208"/>
      <c r="DN39" s="208"/>
      <c r="DO39" s="208"/>
      <c r="DP39" s="208"/>
      <c r="DQ39" s="208"/>
      <c r="DR39" s="208"/>
      <c r="DS39" s="208"/>
      <c r="DT39" s="208"/>
      <c r="DU39" s="208"/>
      <c r="DV39" s="208"/>
      <c r="DW39" s="208"/>
      <c r="DX39" s="208"/>
      <c r="DY39" s="208"/>
      <c r="DZ39" s="208"/>
      <c r="EA39" s="208"/>
      <c r="EB39" s="208"/>
      <c r="EC39" s="208"/>
      <c r="ED39" s="208"/>
      <c r="EE39" s="208"/>
      <c r="EF39" s="208"/>
      <c r="EG39" s="208"/>
      <c r="EH39" s="208"/>
      <c r="EI39" s="208"/>
      <c r="EJ39" s="208"/>
      <c r="EK39" s="208"/>
      <c r="EL39" s="208"/>
      <c r="EM39" s="208"/>
      <c r="EN39" s="208"/>
      <c r="EO39" s="208"/>
      <c r="EP39" s="208"/>
      <c r="EQ39" s="208"/>
      <c r="ER39" s="208"/>
      <c r="ES39" s="208"/>
      <c r="ET39" s="208"/>
      <c r="EU39" s="208"/>
      <c r="EV39" s="208"/>
      <c r="EW39" s="208"/>
      <c r="EX39" s="208"/>
      <c r="EY39" s="208"/>
      <c r="EZ39" s="208"/>
      <c r="FA39" s="208"/>
      <c r="FB39" s="208"/>
      <c r="FC39" s="208"/>
      <c r="FD39" s="208"/>
      <c r="FE39" s="208"/>
      <c r="FF39" s="208"/>
      <c r="FG39" s="208"/>
      <c r="FH39" s="208"/>
      <c r="FI39" s="208"/>
      <c r="FJ39" s="208"/>
      <c r="FK39" s="208"/>
      <c r="FL39" s="208"/>
      <c r="FM39" s="208"/>
      <c r="FN39" s="208"/>
      <c r="FO39" s="208"/>
      <c r="FP39" s="208"/>
      <c r="FQ39" s="208"/>
      <c r="FR39" s="208"/>
      <c r="FS39" s="208"/>
      <c r="FT39" s="208"/>
      <c r="FU39" s="208"/>
      <c r="FV39" s="208"/>
      <c r="FW39" s="208"/>
      <c r="FX39" s="208"/>
      <c r="FY39" s="208"/>
      <c r="FZ39" s="208"/>
      <c r="GA39" s="208"/>
      <c r="GB39" s="208"/>
      <c r="GC39" s="208"/>
      <c r="GD39" s="208"/>
      <c r="GE39" s="208"/>
      <c r="GF39" s="208"/>
      <c r="GG39" s="208"/>
      <c r="GH39" s="208"/>
      <c r="GI39" s="208"/>
      <c r="GJ39" s="208"/>
      <c r="GK39" s="208"/>
      <c r="GL39" s="208"/>
      <c r="GM39" s="208"/>
      <c r="GN39" s="208"/>
      <c r="GO39" s="208"/>
      <c r="GP39" s="208"/>
      <c r="GQ39" s="208"/>
      <c r="GR39" s="208"/>
      <c r="GS39" s="208"/>
      <c r="GT39" s="208"/>
      <c r="GU39" s="208"/>
      <c r="GV39" s="208"/>
      <c r="GW39" s="208"/>
      <c r="GX39" s="208"/>
      <c r="GY39" s="208"/>
      <c r="GZ39" s="208"/>
      <c r="HA39" s="208"/>
      <c r="HB39" s="208"/>
      <c r="HC39" s="208"/>
      <c r="HD39" s="208"/>
      <c r="HE39" s="208"/>
      <c r="HF39" s="208"/>
      <c r="HG39" s="208"/>
      <c r="HH39" s="208"/>
      <c r="HI39" s="208"/>
      <c r="HJ39" s="208"/>
      <c r="HK39" s="208"/>
    </row>
    <row r="40" spans="1:219" s="209" customFormat="1">
      <c r="A40" s="453" t="s">
        <v>276</v>
      </c>
      <c r="B40" s="449" t="s">
        <v>96</v>
      </c>
      <c r="C40" s="448"/>
      <c r="D40" s="449"/>
      <c r="E40" s="449"/>
      <c r="F40" s="190"/>
      <c r="G40"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0" s="190"/>
      <c r="I40"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0" s="190"/>
      <c r="K40"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0" s="190"/>
      <c r="M40"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0" s="190"/>
      <c r="O40"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0" s="190"/>
      <c r="Q40"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40" s="192">
        <f ca="1">Table66[[#This Row],[Year 1 (Specified in RFO) - N/A]]+Table66[[#This Row],[Year 2 (Specified in RFO) - N/A]]+Table66[[#This Row],[Year 3 (Specified in RFO) - N/A]]+Table66[[#This Row],[Year 4 (Specified in RFO) - N/A]]+Table66[[#This Row],[Year 5 (Specified in RFO) - N/A]]+Table66[[#This Row],[Year 6 (Specified in RFO) - N/A]]</f>
        <v>0</v>
      </c>
      <c r="S40" s="410">
        <f ca="1">Table66[[#This Row],[Year 1  (Proposed)]]+Table66[[#This Row],[Year 2 (Proposed)]]+Table66[[#This Row],[Year 3 (Proposed)]]+Table66[[#This Row],[Year 4 (Proposed)]]+Table66[[#This Row],[Year 5 (Proposed)]]+Table66[[#This Row],[Year 6 (Proposed)]]</f>
        <v>0</v>
      </c>
      <c r="T40" s="411" t="b">
        <f ca="1">Table66[[#This Row],[Total Specifed in RFO - N/A]]=Table66[[#This Row],[Total Proposed]]</f>
        <v>1</v>
      </c>
      <c r="U40" s="442"/>
      <c r="V40" s="441">
        <f ca="1">Table66[[#This Row],[Year 6 (Specified in RFO) - N/A]]-Table66[[#This Row],[Column1]]</f>
        <v>0</v>
      </c>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c r="CY40" s="208"/>
      <c r="CZ40" s="208"/>
      <c r="DA40" s="208"/>
      <c r="DB40" s="208"/>
      <c r="DC40" s="208"/>
      <c r="DD40" s="208"/>
      <c r="DE40" s="208"/>
      <c r="DF40" s="208"/>
      <c r="DG40" s="208"/>
      <c r="DH40" s="208"/>
      <c r="DI40" s="208"/>
      <c r="DJ40" s="208"/>
      <c r="DK40" s="208"/>
      <c r="DL40" s="208"/>
      <c r="DM40" s="208"/>
      <c r="DN40" s="208"/>
      <c r="DO40" s="208"/>
      <c r="DP40" s="208"/>
      <c r="DQ40" s="208"/>
      <c r="DR40" s="208"/>
      <c r="DS40" s="208"/>
      <c r="DT40" s="208"/>
      <c r="DU40" s="208"/>
      <c r="DV40" s="208"/>
      <c r="DW40" s="208"/>
      <c r="DX40" s="208"/>
      <c r="DY40" s="208"/>
      <c r="DZ40" s="208"/>
      <c r="EA40" s="208"/>
      <c r="EB40" s="208"/>
      <c r="EC40" s="208"/>
      <c r="ED40" s="208"/>
      <c r="EE40" s="208"/>
      <c r="EF40" s="208"/>
      <c r="EG40" s="208"/>
      <c r="EH40" s="208"/>
      <c r="EI40" s="208"/>
      <c r="EJ40" s="208"/>
      <c r="EK40" s="208"/>
      <c r="EL40" s="208"/>
      <c r="EM40" s="208"/>
      <c r="EN40" s="208"/>
      <c r="EO40" s="208"/>
      <c r="EP40" s="208"/>
      <c r="EQ40" s="208"/>
      <c r="ER40" s="208"/>
      <c r="ES40" s="208"/>
      <c r="ET40" s="208"/>
      <c r="EU40" s="208"/>
      <c r="EV40" s="208"/>
      <c r="EW40" s="208"/>
      <c r="EX40" s="208"/>
      <c r="EY40" s="208"/>
      <c r="EZ40" s="208"/>
      <c r="FA40" s="208"/>
      <c r="FB40" s="208"/>
      <c r="FC40" s="208"/>
      <c r="FD40" s="208"/>
      <c r="FE40" s="208"/>
      <c r="FF40" s="208"/>
      <c r="FG40" s="208"/>
      <c r="FH40" s="208"/>
      <c r="FI40" s="208"/>
      <c r="FJ40" s="208"/>
      <c r="FK40" s="208"/>
      <c r="FL40" s="208"/>
      <c r="FM40" s="208"/>
      <c r="FN40" s="208"/>
      <c r="FO40" s="208"/>
      <c r="FP40" s="208"/>
      <c r="FQ40" s="208"/>
      <c r="FR40" s="208"/>
      <c r="FS40" s="208"/>
      <c r="FT40" s="208"/>
      <c r="FU40" s="208"/>
      <c r="FV40" s="208"/>
      <c r="FW40" s="208"/>
      <c r="FX40" s="208"/>
      <c r="FY40" s="208"/>
      <c r="FZ40" s="208"/>
      <c r="GA40" s="208"/>
      <c r="GB40" s="208"/>
      <c r="GC40" s="208"/>
      <c r="GD40" s="208"/>
      <c r="GE40" s="208"/>
      <c r="GF40" s="208"/>
      <c r="GG40" s="208"/>
      <c r="GH40" s="208"/>
      <c r="GI40" s="208"/>
      <c r="GJ40" s="208"/>
      <c r="GK40" s="208"/>
      <c r="GL40" s="208"/>
      <c r="GM40" s="208"/>
      <c r="GN40" s="208"/>
      <c r="GO40" s="208"/>
      <c r="GP40" s="208"/>
      <c r="GQ40" s="208"/>
      <c r="GR40" s="208"/>
      <c r="GS40" s="208"/>
      <c r="GT40" s="208"/>
      <c r="GU40" s="208"/>
      <c r="GV40" s="208"/>
      <c r="GW40" s="208"/>
      <c r="GX40" s="208"/>
      <c r="GY40" s="208"/>
      <c r="GZ40" s="208"/>
      <c r="HA40" s="208"/>
      <c r="HB40" s="208"/>
      <c r="HC40" s="208"/>
      <c r="HD40" s="208"/>
      <c r="HE40" s="208"/>
      <c r="HF40" s="208"/>
      <c r="HG40" s="208"/>
      <c r="HH40" s="208"/>
      <c r="HI40" s="208"/>
      <c r="HJ40" s="208"/>
      <c r="HK40" s="208"/>
    </row>
    <row r="41" spans="1:219" s="209" customFormat="1">
      <c r="A41" s="453" t="s">
        <v>277</v>
      </c>
      <c r="B41" s="190" t="s">
        <v>255</v>
      </c>
      <c r="C41" s="190" t="s">
        <v>256</v>
      </c>
      <c r="D41" s="190" t="s">
        <v>257</v>
      </c>
      <c r="E41" s="190" t="s">
        <v>258</v>
      </c>
      <c r="F41" s="190">
        <v>7</v>
      </c>
      <c r="G41"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1" s="190">
        <v>7</v>
      </c>
      <c r="I41"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1" s="190"/>
      <c r="K41"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1" s="190"/>
      <c r="M41"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1" s="190"/>
      <c r="O41"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1" s="190"/>
      <c r="Q41"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41" s="192">
        <f ca="1">Table66[[#This Row],[Year 1 (Specified in RFO) - N/A]]+Table66[[#This Row],[Year 2 (Specified in RFO) - N/A]]+Table66[[#This Row],[Year 3 (Specified in RFO) - N/A]]+Table66[[#This Row],[Year 4 (Specified in RFO) - N/A]]+Table66[[#This Row],[Year 5 (Specified in RFO) - N/A]]+Table66[[#This Row],[Year 6 (Specified in RFO) - N/A]]</f>
        <v>14</v>
      </c>
      <c r="S41" s="410">
        <f ca="1">Table66[[#This Row],[Year 1  (Proposed)]]+Table66[[#This Row],[Year 2 (Proposed)]]+Table66[[#This Row],[Year 3 (Proposed)]]+Table66[[#This Row],[Year 4 (Proposed)]]+Table66[[#This Row],[Year 5 (Proposed)]]+Table66[[#This Row],[Year 6 (Proposed)]]</f>
        <v>0</v>
      </c>
      <c r="T41" s="444" t="b">
        <f ca="1">Table66[[#This Row],[Total Specifed in RFO - N/A]]=Table66[[#This Row],[Total Proposed]]</f>
        <v>0</v>
      </c>
      <c r="U41" s="442"/>
      <c r="V41" s="441"/>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c r="CY41" s="208"/>
      <c r="CZ41" s="208"/>
      <c r="DA41" s="208"/>
      <c r="DB41" s="208"/>
      <c r="DC41" s="208"/>
      <c r="DD41" s="208"/>
      <c r="DE41" s="208"/>
      <c r="DF41" s="208"/>
      <c r="DG41" s="208"/>
      <c r="DH41" s="208"/>
      <c r="DI41" s="208"/>
      <c r="DJ41" s="208"/>
      <c r="DK41" s="208"/>
      <c r="DL41" s="208"/>
      <c r="DM41" s="208"/>
      <c r="DN41" s="208"/>
      <c r="DO41" s="208"/>
      <c r="DP41" s="208"/>
      <c r="DQ41" s="208"/>
      <c r="DR41" s="208"/>
      <c r="DS41" s="208"/>
      <c r="DT41" s="208"/>
      <c r="DU41" s="208"/>
      <c r="DV41" s="208"/>
      <c r="DW41" s="208"/>
      <c r="DX41" s="208"/>
      <c r="DY41" s="208"/>
      <c r="DZ41" s="208"/>
      <c r="EA41" s="208"/>
      <c r="EB41" s="208"/>
      <c r="EC41" s="208"/>
      <c r="ED41" s="208"/>
      <c r="EE41" s="208"/>
      <c r="EF41" s="208"/>
      <c r="EG41" s="208"/>
      <c r="EH41" s="208"/>
      <c r="EI41" s="208"/>
      <c r="EJ41" s="208"/>
      <c r="EK41" s="208"/>
      <c r="EL41" s="208"/>
      <c r="EM41" s="208"/>
      <c r="EN41" s="208"/>
      <c r="EO41" s="208"/>
      <c r="EP41" s="208"/>
      <c r="EQ41" s="208"/>
      <c r="ER41" s="208"/>
      <c r="ES41" s="208"/>
      <c r="ET41" s="208"/>
      <c r="EU41" s="208"/>
      <c r="EV41" s="208"/>
      <c r="EW41" s="208"/>
      <c r="EX41" s="208"/>
      <c r="EY41" s="208"/>
      <c r="EZ41" s="208"/>
      <c r="FA41" s="208"/>
      <c r="FB41" s="208"/>
      <c r="FC41" s="208"/>
      <c r="FD41" s="208"/>
      <c r="FE41" s="208"/>
      <c r="FF41" s="208"/>
      <c r="FG41" s="208"/>
      <c r="FH41" s="208"/>
      <c r="FI41" s="208"/>
      <c r="FJ41" s="208"/>
      <c r="FK41" s="208"/>
      <c r="FL41" s="208"/>
      <c r="FM41" s="208"/>
      <c r="FN41" s="208"/>
      <c r="FO41" s="208"/>
      <c r="FP41" s="208"/>
      <c r="FQ41" s="208"/>
      <c r="FR41" s="208"/>
      <c r="FS41" s="208"/>
      <c r="FT41" s="208"/>
      <c r="FU41" s="208"/>
      <c r="FV41" s="208"/>
      <c r="FW41" s="208"/>
      <c r="FX41" s="208"/>
      <c r="FY41" s="208"/>
      <c r="FZ41" s="208"/>
      <c r="GA41" s="208"/>
      <c r="GB41" s="208"/>
      <c r="GC41" s="208"/>
      <c r="GD41" s="208"/>
      <c r="GE41" s="208"/>
      <c r="GF41" s="208"/>
      <c r="GG41" s="208"/>
      <c r="GH41" s="208"/>
      <c r="GI41" s="208"/>
      <c r="GJ41" s="208"/>
      <c r="GK41" s="208"/>
      <c r="GL41" s="208"/>
      <c r="GM41" s="208"/>
      <c r="GN41" s="208"/>
      <c r="GO41" s="208"/>
      <c r="GP41" s="208"/>
      <c r="GQ41" s="208"/>
      <c r="GR41" s="208"/>
      <c r="GS41" s="208"/>
      <c r="GT41" s="208"/>
      <c r="GU41" s="208"/>
      <c r="GV41" s="208"/>
      <c r="GW41" s="208"/>
      <c r="GX41" s="208"/>
      <c r="GY41" s="208"/>
      <c r="GZ41" s="208"/>
      <c r="HA41" s="208"/>
      <c r="HB41" s="208"/>
      <c r="HC41" s="208"/>
      <c r="HD41" s="208"/>
      <c r="HE41" s="208"/>
      <c r="HF41" s="208"/>
      <c r="HG41" s="208"/>
      <c r="HH41" s="208"/>
      <c r="HI41" s="208"/>
      <c r="HJ41" s="208"/>
      <c r="HK41" s="208"/>
    </row>
    <row r="42" spans="1:219" s="209" customFormat="1">
      <c r="A42" s="453" t="s">
        <v>277</v>
      </c>
      <c r="B42" s="449" t="s">
        <v>96</v>
      </c>
      <c r="C42" s="448"/>
      <c r="D42" s="449"/>
      <c r="E42" s="449"/>
      <c r="F42" s="190"/>
      <c r="G42"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2" s="190"/>
      <c r="I42"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2" s="190"/>
      <c r="K42"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2" s="190"/>
      <c r="M42"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2" s="190"/>
      <c r="O42"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2" s="190"/>
      <c r="Q42"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42" s="192">
        <f ca="1">Table66[[#This Row],[Year 1 (Specified in RFO) - N/A]]+Table66[[#This Row],[Year 2 (Specified in RFO) - N/A]]+Table66[[#This Row],[Year 3 (Specified in RFO) - N/A]]+Table66[[#This Row],[Year 4 (Specified in RFO) - N/A]]+Table66[[#This Row],[Year 5 (Specified in RFO) - N/A]]+Table66[[#This Row],[Year 6 (Specified in RFO) - N/A]]</f>
        <v>0</v>
      </c>
      <c r="S42" s="410">
        <f ca="1">Table66[[#This Row],[Year 1  (Proposed)]]+Table66[[#This Row],[Year 2 (Proposed)]]+Table66[[#This Row],[Year 3 (Proposed)]]+Table66[[#This Row],[Year 4 (Proposed)]]+Table66[[#This Row],[Year 5 (Proposed)]]+Table66[[#This Row],[Year 6 (Proposed)]]</f>
        <v>0</v>
      </c>
      <c r="T42" s="411" t="b">
        <f ca="1">Table66[[#This Row],[Total Specifed in RFO - N/A]]=Table66[[#This Row],[Total Proposed]]</f>
        <v>1</v>
      </c>
      <c r="U42" s="442"/>
      <c r="V42" s="441">
        <f ca="1">Table66[[#This Row],[Year 6 (Specified in RFO) - N/A]]-Table66[[#This Row],[Column1]]</f>
        <v>0</v>
      </c>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c r="CY42" s="208"/>
      <c r="CZ42" s="208"/>
      <c r="DA42" s="208"/>
      <c r="DB42" s="208"/>
      <c r="DC42" s="208"/>
      <c r="DD42" s="208"/>
      <c r="DE42" s="208"/>
      <c r="DF42" s="208"/>
      <c r="DG42" s="208"/>
      <c r="DH42" s="208"/>
      <c r="DI42" s="208"/>
      <c r="DJ42" s="208"/>
      <c r="DK42" s="208"/>
      <c r="DL42" s="208"/>
      <c r="DM42" s="208"/>
      <c r="DN42" s="208"/>
      <c r="DO42" s="208"/>
      <c r="DP42" s="208"/>
      <c r="DQ42" s="208"/>
      <c r="DR42" s="208"/>
      <c r="DS42" s="208"/>
      <c r="DT42" s="208"/>
      <c r="DU42" s="208"/>
      <c r="DV42" s="208"/>
      <c r="DW42" s="208"/>
      <c r="DX42" s="208"/>
      <c r="DY42" s="208"/>
      <c r="DZ42" s="208"/>
      <c r="EA42" s="208"/>
      <c r="EB42" s="208"/>
      <c r="EC42" s="208"/>
      <c r="ED42" s="208"/>
      <c r="EE42" s="208"/>
      <c r="EF42" s="208"/>
      <c r="EG42" s="208"/>
      <c r="EH42" s="208"/>
      <c r="EI42" s="208"/>
      <c r="EJ42" s="208"/>
      <c r="EK42" s="208"/>
      <c r="EL42" s="208"/>
      <c r="EM42" s="208"/>
      <c r="EN42" s="208"/>
      <c r="EO42" s="208"/>
      <c r="EP42" s="208"/>
      <c r="EQ42" s="208"/>
      <c r="ER42" s="208"/>
      <c r="ES42" s="208"/>
      <c r="ET42" s="208"/>
      <c r="EU42" s="208"/>
      <c r="EV42" s="208"/>
      <c r="EW42" s="208"/>
      <c r="EX42" s="208"/>
      <c r="EY42" s="208"/>
      <c r="EZ42" s="208"/>
      <c r="FA42" s="208"/>
      <c r="FB42" s="208"/>
      <c r="FC42" s="208"/>
      <c r="FD42" s="208"/>
      <c r="FE42" s="208"/>
      <c r="FF42" s="208"/>
      <c r="FG42" s="208"/>
      <c r="FH42" s="208"/>
      <c r="FI42" s="208"/>
      <c r="FJ42" s="208"/>
      <c r="FK42" s="208"/>
      <c r="FL42" s="208"/>
      <c r="FM42" s="208"/>
      <c r="FN42" s="208"/>
      <c r="FO42" s="208"/>
      <c r="FP42" s="208"/>
      <c r="FQ42" s="208"/>
      <c r="FR42" s="208"/>
      <c r="FS42" s="208"/>
      <c r="FT42" s="208"/>
      <c r="FU42" s="208"/>
      <c r="FV42" s="208"/>
      <c r="FW42" s="208"/>
      <c r="FX42" s="208"/>
      <c r="FY42" s="208"/>
      <c r="FZ42" s="208"/>
      <c r="GA42" s="208"/>
      <c r="GB42" s="208"/>
      <c r="GC42" s="208"/>
      <c r="GD42" s="208"/>
      <c r="GE42" s="208"/>
      <c r="GF42" s="208"/>
      <c r="GG42" s="208"/>
      <c r="GH42" s="208"/>
      <c r="GI42" s="208"/>
      <c r="GJ42" s="208"/>
      <c r="GK42" s="208"/>
      <c r="GL42" s="208"/>
      <c r="GM42" s="208"/>
      <c r="GN42" s="208"/>
      <c r="GO42" s="208"/>
      <c r="GP42" s="208"/>
      <c r="GQ42" s="208"/>
      <c r="GR42" s="208"/>
      <c r="GS42" s="208"/>
      <c r="GT42" s="208"/>
      <c r="GU42" s="208"/>
      <c r="GV42" s="208"/>
      <c r="GW42" s="208"/>
      <c r="GX42" s="208"/>
      <c r="GY42" s="208"/>
      <c r="GZ42" s="208"/>
      <c r="HA42" s="208"/>
      <c r="HB42" s="208"/>
      <c r="HC42" s="208"/>
      <c r="HD42" s="208"/>
      <c r="HE42" s="208"/>
      <c r="HF42" s="208"/>
      <c r="HG42" s="208"/>
      <c r="HH42" s="208"/>
      <c r="HI42" s="208"/>
      <c r="HJ42" s="208"/>
      <c r="HK42" s="208"/>
    </row>
    <row r="43" spans="1:219" s="193" customFormat="1">
      <c r="A43" s="454" t="s">
        <v>278</v>
      </c>
      <c r="B43" s="190" t="s">
        <v>255</v>
      </c>
      <c r="C43" s="190" t="s">
        <v>256</v>
      </c>
      <c r="D43" s="190" t="s">
        <v>257</v>
      </c>
      <c r="E43" s="190" t="s">
        <v>258</v>
      </c>
      <c r="F43" s="190">
        <v>960</v>
      </c>
      <c r="G43"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3" s="190">
        <v>960</v>
      </c>
      <c r="I43"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3" s="190">
        <v>960</v>
      </c>
      <c r="K43"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3" s="190">
        <v>960</v>
      </c>
      <c r="M43"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3" s="190">
        <v>960</v>
      </c>
      <c r="O43"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3" s="190"/>
      <c r="Q43"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43" s="192">
        <f ca="1">Table66[[#This Row],[Year 1 (Specified in RFO) - N/A]]+Table66[[#This Row],[Year 2 (Specified in RFO) - N/A]]+Table66[[#This Row],[Year 3 (Specified in RFO) - N/A]]+Table66[[#This Row],[Year 4 (Specified in RFO) - N/A]]+Table66[[#This Row],[Year 5 (Specified in RFO) - N/A]]+Table66[[#This Row],[Year 6 (Specified in RFO) - N/A]]</f>
        <v>4800</v>
      </c>
      <c r="S43" s="402">
        <f ca="1">Table66[[#This Row],[Year 1  (Proposed)]]+Table66[[#This Row],[Year 2 (Proposed)]]+Table66[[#This Row],[Year 3 (Proposed)]]+Table66[[#This Row],[Year 4 (Proposed)]]+Table66[[#This Row],[Year 5 (Proposed)]]+Table66[[#This Row],[Year 6 (Proposed)]]</f>
        <v>0</v>
      </c>
      <c r="T43" s="443" t="b">
        <f ca="1">Table66[[#This Row],[Total Specifed in RFO - N/A]]=Table66[[#This Row],[Total Proposed]]</f>
        <v>0</v>
      </c>
      <c r="U43" s="442"/>
      <c r="V43" s="441"/>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c r="DQ43" s="28"/>
      <c r="DR43" s="28"/>
      <c r="DS43" s="28"/>
      <c r="DT43" s="28"/>
      <c r="DU43" s="28"/>
      <c r="DV43" s="28"/>
      <c r="DW43" s="28"/>
      <c r="DX43" s="28"/>
      <c r="DY43" s="28"/>
      <c r="DZ43" s="28"/>
      <c r="EA43" s="28"/>
      <c r="EB43" s="28"/>
      <c r="EC43" s="28"/>
      <c r="ED43" s="28"/>
      <c r="EE43" s="28"/>
      <c r="EF43" s="28"/>
      <c r="EG43" s="28"/>
      <c r="EH43" s="28"/>
      <c r="EI43" s="28"/>
      <c r="EJ43" s="28"/>
      <c r="EK43" s="28"/>
      <c r="EL43" s="28"/>
      <c r="EM43" s="28"/>
      <c r="EN43" s="28"/>
      <c r="EO43" s="28"/>
      <c r="EP43" s="28"/>
      <c r="EQ43" s="28"/>
      <c r="ER43" s="28"/>
      <c r="ES43" s="28"/>
      <c r="ET43" s="28"/>
      <c r="EU43" s="28"/>
      <c r="EV43" s="28"/>
      <c r="EW43" s="28"/>
      <c r="EX43" s="28"/>
      <c r="EY43" s="28"/>
      <c r="EZ43" s="28"/>
      <c r="FA43" s="28"/>
      <c r="FB43" s="28"/>
      <c r="FC43" s="28"/>
      <c r="FD43" s="28"/>
      <c r="FE43" s="28"/>
      <c r="FF43" s="28"/>
      <c r="FG43" s="28"/>
      <c r="FH43" s="28"/>
      <c r="FI43" s="28"/>
      <c r="FJ43" s="28"/>
      <c r="FK43" s="28"/>
      <c r="FL43" s="28"/>
      <c r="FM43" s="28"/>
      <c r="FN43" s="28"/>
      <c r="FO43" s="28"/>
      <c r="FP43" s="28"/>
      <c r="FQ43" s="28"/>
      <c r="FR43" s="28"/>
      <c r="FS43" s="28"/>
      <c r="FT43" s="28"/>
      <c r="FU43" s="28"/>
      <c r="FV43" s="28"/>
      <c r="FW43" s="28"/>
      <c r="FX43" s="28"/>
      <c r="FY43" s="28"/>
      <c r="FZ43" s="28"/>
      <c r="GA43" s="28"/>
      <c r="GB43" s="28"/>
      <c r="GC43" s="28"/>
      <c r="GD43" s="28"/>
      <c r="GE43" s="28"/>
      <c r="GF43" s="28"/>
      <c r="GG43" s="28"/>
      <c r="GH43" s="28"/>
      <c r="GI43" s="28"/>
      <c r="GJ43" s="28"/>
      <c r="GK43" s="28"/>
      <c r="GL43" s="28"/>
      <c r="GM43" s="28"/>
      <c r="GN43" s="28"/>
      <c r="GO43" s="28"/>
      <c r="GP43" s="28"/>
      <c r="GQ43" s="28"/>
      <c r="GR43" s="28"/>
      <c r="GS43" s="28"/>
      <c r="GT43" s="28"/>
      <c r="GU43" s="28"/>
      <c r="GV43" s="28"/>
      <c r="GW43" s="28"/>
      <c r="GX43" s="28"/>
      <c r="GY43" s="28"/>
      <c r="GZ43" s="28"/>
      <c r="HA43" s="28"/>
      <c r="HB43" s="28"/>
      <c r="HC43" s="28"/>
      <c r="HD43" s="28"/>
      <c r="HE43" s="28"/>
      <c r="HF43" s="28"/>
      <c r="HG43" s="28"/>
      <c r="HH43" s="28"/>
      <c r="HI43" s="28"/>
      <c r="HJ43" s="28"/>
      <c r="HK43" s="28"/>
    </row>
    <row r="44" spans="1:219" s="193" customFormat="1">
      <c r="A44" s="454" t="s">
        <v>278</v>
      </c>
      <c r="B44" s="449" t="s">
        <v>96</v>
      </c>
      <c r="C44" s="448"/>
      <c r="D44" s="449"/>
      <c r="E44" s="449"/>
      <c r="F44" s="190"/>
      <c r="G44"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4" s="190"/>
      <c r="I44"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4" s="190"/>
      <c r="K44"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4" s="190"/>
      <c r="M44"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4" s="190"/>
      <c r="O44"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4" s="190"/>
      <c r="Q44"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44" s="192">
        <f ca="1">Table66[[#This Row],[Year 1 (Specified in RFO) - N/A]]+Table66[[#This Row],[Year 2 (Specified in RFO) - N/A]]+Table66[[#This Row],[Year 3 (Specified in RFO) - N/A]]+Table66[[#This Row],[Year 4 (Specified in RFO) - N/A]]+Table66[[#This Row],[Year 5 (Specified in RFO) - N/A]]+Table66[[#This Row],[Year 6 (Specified in RFO) - N/A]]</f>
        <v>0</v>
      </c>
      <c r="S44" s="410">
        <f ca="1">Table66[[#This Row],[Year 1  (Proposed)]]+Table66[[#This Row],[Year 2 (Proposed)]]+Table66[[#This Row],[Year 3 (Proposed)]]+Table66[[#This Row],[Year 4 (Proposed)]]+Table66[[#This Row],[Year 5 (Proposed)]]+Table66[[#This Row],[Year 6 (Proposed)]]</f>
        <v>0</v>
      </c>
      <c r="T44" s="411" t="b">
        <f ca="1">Table66[[#This Row],[Total Specifed in RFO - N/A]]=Table66[[#This Row],[Total Proposed]]</f>
        <v>1</v>
      </c>
      <c r="U44" s="442"/>
      <c r="V44" s="441">
        <f ca="1">Table66[[#This Row],[Year 6 (Specified in RFO) - N/A]]-Table66[[#This Row],[Column1]]</f>
        <v>0</v>
      </c>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row>
    <row r="45" spans="1:219" s="193" customFormat="1">
      <c r="A45" s="453" t="s">
        <v>279</v>
      </c>
      <c r="B45" s="190" t="s">
        <v>255</v>
      </c>
      <c r="C45" s="190" t="s">
        <v>256</v>
      </c>
      <c r="D45" s="190" t="s">
        <v>257</v>
      </c>
      <c r="E45" s="190" t="s">
        <v>258</v>
      </c>
      <c r="F45" s="190">
        <v>240</v>
      </c>
      <c r="G45"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5" s="190">
        <v>350</v>
      </c>
      <c r="I45"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5" s="190">
        <v>330</v>
      </c>
      <c r="K45"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5" s="190">
        <v>408</v>
      </c>
      <c r="M45"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5" s="190">
        <v>450</v>
      </c>
      <c r="O45"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5" s="190"/>
      <c r="Q45"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45" s="192">
        <f ca="1">Table66[[#This Row],[Year 1 (Specified in RFO) - N/A]]+Table66[[#This Row],[Year 2 (Specified in RFO) - N/A]]+Table66[[#This Row],[Year 3 (Specified in RFO) - N/A]]+Table66[[#This Row],[Year 4 (Specified in RFO) - N/A]]+Table66[[#This Row],[Year 5 (Specified in RFO) - N/A]]+Table66[[#This Row],[Year 6 (Specified in RFO) - N/A]]</f>
        <v>1778</v>
      </c>
      <c r="S45" s="410">
        <f ca="1">Table66[[#This Row],[Year 1  (Proposed)]]+Table66[[#This Row],[Year 2 (Proposed)]]+Table66[[#This Row],[Year 3 (Proposed)]]+Table66[[#This Row],[Year 4 (Proposed)]]+Table66[[#This Row],[Year 5 (Proposed)]]+Table66[[#This Row],[Year 6 (Proposed)]]</f>
        <v>0</v>
      </c>
      <c r="T45" s="444" t="b">
        <f ca="1">Table66[[#This Row],[Total Specifed in RFO - N/A]]=Table66[[#This Row],[Total Proposed]]</f>
        <v>0</v>
      </c>
      <c r="U45" s="442"/>
      <c r="V45" s="441"/>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row>
    <row r="46" spans="1:219" s="193" customFormat="1">
      <c r="A46" s="453" t="s">
        <v>279</v>
      </c>
      <c r="B46" s="449" t="s">
        <v>96</v>
      </c>
      <c r="C46" s="448"/>
      <c r="D46" s="449"/>
      <c r="E46" s="449"/>
      <c r="F46" s="190"/>
      <c r="G46"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6" s="190"/>
      <c r="I46"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6" s="190"/>
      <c r="K46"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6" s="190"/>
      <c r="M46"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6" s="190"/>
      <c r="O46"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6" s="190"/>
      <c r="Q46"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46" s="192">
        <f ca="1">Table66[[#This Row],[Year 1 (Specified in RFO) - N/A]]+Table66[[#This Row],[Year 2 (Specified in RFO) - N/A]]+Table66[[#This Row],[Year 3 (Specified in RFO) - N/A]]+Table66[[#This Row],[Year 4 (Specified in RFO) - N/A]]+Table66[[#This Row],[Year 5 (Specified in RFO) - N/A]]+Table66[[#This Row],[Year 6 (Specified in RFO) - N/A]]</f>
        <v>0</v>
      </c>
      <c r="S46" s="410">
        <f ca="1">Table66[[#This Row],[Year 1  (Proposed)]]+Table66[[#This Row],[Year 2 (Proposed)]]+Table66[[#This Row],[Year 3 (Proposed)]]+Table66[[#This Row],[Year 4 (Proposed)]]+Table66[[#This Row],[Year 5 (Proposed)]]+Table66[[#This Row],[Year 6 (Proposed)]]</f>
        <v>0</v>
      </c>
      <c r="T46" s="411" t="b">
        <f ca="1">Table66[[#This Row],[Total Specifed in RFO - N/A]]=Table66[[#This Row],[Total Proposed]]</f>
        <v>1</v>
      </c>
      <c r="U46" s="442"/>
      <c r="V46" s="441">
        <f ca="1">Table66[[#This Row],[Year 6 (Specified in RFO) - N/A]]-Table66[[#This Row],[Column1]]</f>
        <v>0</v>
      </c>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row>
    <row r="47" spans="1:219" s="193" customFormat="1">
      <c r="A47" s="453" t="s">
        <v>280</v>
      </c>
      <c r="B47" s="190" t="s">
        <v>255</v>
      </c>
      <c r="C47" s="190" t="s">
        <v>256</v>
      </c>
      <c r="D47" s="190" t="s">
        <v>257</v>
      </c>
      <c r="E47" s="190" t="s">
        <v>258</v>
      </c>
      <c r="F47" s="190">
        <v>480</v>
      </c>
      <c r="G47"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7" s="190">
        <v>504</v>
      </c>
      <c r="I47"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7" s="190">
        <v>530</v>
      </c>
      <c r="K47"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7" s="190">
        <v>557</v>
      </c>
      <c r="M47"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7" s="190">
        <v>585</v>
      </c>
      <c r="O47"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7" s="190"/>
      <c r="Q47"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47" s="192">
        <f ca="1">Table66[[#This Row],[Year 1 (Specified in RFO) - N/A]]+Table66[[#This Row],[Year 2 (Specified in RFO) - N/A]]+Table66[[#This Row],[Year 3 (Specified in RFO) - N/A]]+Table66[[#This Row],[Year 4 (Specified in RFO) - N/A]]+Table66[[#This Row],[Year 5 (Specified in RFO) - N/A]]+Table66[[#This Row],[Year 6 (Specified in RFO) - N/A]]</f>
        <v>2656</v>
      </c>
      <c r="S47" s="404">
        <f ca="1">Table66[[#This Row],[Year 1  (Proposed)]]+Table66[[#This Row],[Year 2 (Proposed)]]+Table66[[#This Row],[Year 3 (Proposed)]]+Table66[[#This Row],[Year 4 (Proposed)]]+Table66[[#This Row],[Year 5 (Proposed)]]+Table66[[#This Row],[Year 6 (Proposed)]]</f>
        <v>0</v>
      </c>
      <c r="T47" s="445" t="b">
        <f ca="1">Table66[[#This Row],[Total Specifed in RFO - N/A]]=Table66[[#This Row],[Total Proposed]]</f>
        <v>0</v>
      </c>
      <c r="U47" s="442"/>
      <c r="V47" s="441"/>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row>
    <row r="48" spans="1:219" s="193" customFormat="1">
      <c r="A48" s="453" t="s">
        <v>280</v>
      </c>
      <c r="B48" s="449" t="s">
        <v>96</v>
      </c>
      <c r="C48" s="448"/>
      <c r="D48" s="449"/>
      <c r="E48" s="449"/>
      <c r="F48" s="190"/>
      <c r="G48"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8" s="190"/>
      <c r="I48"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8" s="190"/>
      <c r="K48"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8" s="190"/>
      <c r="M48"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8" s="190"/>
      <c r="O48"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8" s="190"/>
      <c r="Q48"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48" s="192">
        <f ca="1">Table66[[#This Row],[Year 1 (Specified in RFO) - N/A]]+Table66[[#This Row],[Year 2 (Specified in RFO) - N/A]]+Table66[[#This Row],[Year 3 (Specified in RFO) - N/A]]+Table66[[#This Row],[Year 4 (Specified in RFO) - N/A]]+Table66[[#This Row],[Year 5 (Specified in RFO) - N/A]]+Table66[[#This Row],[Year 6 (Specified in RFO) - N/A]]</f>
        <v>0</v>
      </c>
      <c r="S48" s="410">
        <f ca="1">Table66[[#This Row],[Year 1  (Proposed)]]+Table66[[#This Row],[Year 2 (Proposed)]]+Table66[[#This Row],[Year 3 (Proposed)]]+Table66[[#This Row],[Year 4 (Proposed)]]+Table66[[#This Row],[Year 5 (Proposed)]]+Table66[[#This Row],[Year 6 (Proposed)]]</f>
        <v>0</v>
      </c>
      <c r="T48" s="411" t="b">
        <f ca="1">Table66[[#This Row],[Total Specifed in RFO - N/A]]=Table66[[#This Row],[Total Proposed]]</f>
        <v>1</v>
      </c>
      <c r="U48" s="442"/>
      <c r="V48" s="441">
        <f ca="1">Table66[[#This Row],[Year 6 (Specified in RFO) - N/A]]-Table66[[#This Row],[Column1]]</f>
        <v>0</v>
      </c>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row>
    <row r="49" spans="1:219" s="193" customFormat="1">
      <c r="A49" s="453" t="s">
        <v>281</v>
      </c>
      <c r="B49" s="190" t="s">
        <v>255</v>
      </c>
      <c r="C49" s="190" t="s">
        <v>256</v>
      </c>
      <c r="D49" s="190" t="s">
        <v>257</v>
      </c>
      <c r="E49" s="190" t="s">
        <v>258</v>
      </c>
      <c r="F49" s="190">
        <v>240</v>
      </c>
      <c r="G49"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9" s="190">
        <v>154</v>
      </c>
      <c r="I49"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9" s="190">
        <v>200</v>
      </c>
      <c r="K49"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9" s="190">
        <v>149</v>
      </c>
      <c r="M49"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9" s="190">
        <v>135</v>
      </c>
      <c r="O49"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9" s="190"/>
      <c r="Q49"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49" s="192">
        <f ca="1">Table66[[#This Row],[Year 1 (Specified in RFO) - N/A]]+Table66[[#This Row],[Year 2 (Specified in RFO) - N/A]]+Table66[[#This Row],[Year 3 (Specified in RFO) - N/A]]+Table66[[#This Row],[Year 4 (Specified in RFO) - N/A]]+Table66[[#This Row],[Year 5 (Specified in RFO) - N/A]]+Table66[[#This Row],[Year 6 (Specified in RFO) - N/A]]</f>
        <v>878</v>
      </c>
      <c r="S49" s="410">
        <f ca="1">Table66[[#This Row],[Year 1  (Proposed)]]+Table66[[#This Row],[Year 2 (Proposed)]]+Table66[[#This Row],[Year 3 (Proposed)]]+Table66[[#This Row],[Year 4 (Proposed)]]+Table66[[#This Row],[Year 5 (Proposed)]]+Table66[[#This Row],[Year 6 (Proposed)]]</f>
        <v>0</v>
      </c>
      <c r="T49" s="444" t="b">
        <f ca="1">Table66[[#This Row],[Total Specifed in RFO - N/A]]=Table66[[#This Row],[Total Proposed]]</f>
        <v>0</v>
      </c>
      <c r="U49" s="442"/>
      <c r="V49" s="441"/>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row>
    <row r="50" spans="1:219" s="193" customFormat="1">
      <c r="A50" s="453" t="s">
        <v>281</v>
      </c>
      <c r="B50" s="449" t="s">
        <v>96</v>
      </c>
      <c r="C50" s="448"/>
      <c r="D50" s="449"/>
      <c r="E50" s="449"/>
      <c r="F50" s="190"/>
      <c r="G50"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0" s="190"/>
      <c r="I50"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0" s="190"/>
      <c r="K50"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0" s="190"/>
      <c r="M50"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0" s="190"/>
      <c r="O50"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0" s="190"/>
      <c r="Q50"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50" s="192">
        <f ca="1">Table66[[#This Row],[Year 1 (Specified in RFO) - N/A]]+Table66[[#This Row],[Year 2 (Specified in RFO) - N/A]]+Table66[[#This Row],[Year 3 (Specified in RFO) - N/A]]+Table66[[#This Row],[Year 4 (Specified in RFO) - N/A]]+Table66[[#This Row],[Year 5 (Specified in RFO) - N/A]]+Table66[[#This Row],[Year 6 (Specified in RFO) - N/A]]</f>
        <v>0</v>
      </c>
      <c r="S50" s="410">
        <f ca="1">Table66[[#This Row],[Year 1  (Proposed)]]+Table66[[#This Row],[Year 2 (Proposed)]]+Table66[[#This Row],[Year 3 (Proposed)]]+Table66[[#This Row],[Year 4 (Proposed)]]+Table66[[#This Row],[Year 5 (Proposed)]]+Table66[[#This Row],[Year 6 (Proposed)]]</f>
        <v>0</v>
      </c>
      <c r="T50" s="411" t="b">
        <f ca="1">Table66[[#This Row],[Total Specifed in RFO - N/A]]=Table66[[#This Row],[Total Proposed]]</f>
        <v>1</v>
      </c>
      <c r="U50" s="442"/>
      <c r="V50" s="441">
        <f ca="1">Table66[[#This Row],[Year 6 (Specified in RFO) - N/A]]-Table66[[#This Row],[Column1]]</f>
        <v>0</v>
      </c>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row>
    <row r="51" spans="1:219" s="193" customFormat="1">
      <c r="A51" s="453" t="s">
        <v>282</v>
      </c>
      <c r="B51" s="190" t="s">
        <v>255</v>
      </c>
      <c r="C51" s="190" t="s">
        <v>256</v>
      </c>
      <c r="D51" s="190" t="s">
        <v>257</v>
      </c>
      <c r="E51" s="190" t="s">
        <v>258</v>
      </c>
      <c r="F51" s="190">
        <v>210</v>
      </c>
      <c r="G51"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1" s="190">
        <v>210</v>
      </c>
      <c r="I51"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1" s="190">
        <v>210</v>
      </c>
      <c r="K51"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1" s="190">
        <v>210</v>
      </c>
      <c r="M51"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1" s="190">
        <v>210</v>
      </c>
      <c r="O51"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1" s="190"/>
      <c r="Q51"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51" s="192">
        <f ca="1">Table66[[#This Row],[Year 1 (Specified in RFO) - N/A]]+Table66[[#This Row],[Year 2 (Specified in RFO) - N/A]]+Table66[[#This Row],[Year 3 (Specified in RFO) - N/A]]+Table66[[#This Row],[Year 4 (Specified in RFO) - N/A]]+Table66[[#This Row],[Year 5 (Specified in RFO) - N/A]]+Table66[[#This Row],[Year 6 (Specified in RFO) - N/A]]</f>
        <v>1050</v>
      </c>
      <c r="S51" s="402">
        <f ca="1">Table66[[#This Row],[Year 1  (Proposed)]]+Table66[[#This Row],[Year 2 (Proposed)]]+Table66[[#This Row],[Year 3 (Proposed)]]+Table66[[#This Row],[Year 4 (Proposed)]]+Table66[[#This Row],[Year 5 (Proposed)]]+Table66[[#This Row],[Year 6 (Proposed)]]</f>
        <v>0</v>
      </c>
      <c r="T51" s="443" t="b">
        <f ca="1">Table66[[#This Row],[Total Specifed in RFO - N/A]]=Table66[[#This Row],[Total Proposed]]</f>
        <v>0</v>
      </c>
      <c r="U51" s="442"/>
      <c r="V51" s="441"/>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row>
    <row r="52" spans="1:219" s="193" customFormat="1">
      <c r="A52" s="453" t="s">
        <v>282</v>
      </c>
      <c r="B52" s="449" t="s">
        <v>96</v>
      </c>
      <c r="C52" s="448"/>
      <c r="D52" s="449"/>
      <c r="E52" s="449"/>
      <c r="F52" s="190"/>
      <c r="G52"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2" s="190"/>
      <c r="I52"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2" s="190"/>
      <c r="K52"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2" s="190"/>
      <c r="M52"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2" s="190"/>
      <c r="O52"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2" s="190"/>
      <c r="Q52"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52" s="192">
        <f ca="1">Table66[[#This Row],[Year 1 (Specified in RFO) - N/A]]+Table66[[#This Row],[Year 2 (Specified in RFO) - N/A]]+Table66[[#This Row],[Year 3 (Specified in RFO) - N/A]]+Table66[[#This Row],[Year 4 (Specified in RFO) - N/A]]+Table66[[#This Row],[Year 5 (Specified in RFO) - N/A]]+Table66[[#This Row],[Year 6 (Specified in RFO) - N/A]]</f>
        <v>0</v>
      </c>
      <c r="S52" s="410">
        <f ca="1">Table66[[#This Row],[Year 1  (Proposed)]]+Table66[[#This Row],[Year 2 (Proposed)]]+Table66[[#This Row],[Year 3 (Proposed)]]+Table66[[#This Row],[Year 4 (Proposed)]]+Table66[[#This Row],[Year 5 (Proposed)]]+Table66[[#This Row],[Year 6 (Proposed)]]</f>
        <v>0</v>
      </c>
      <c r="T52" s="411" t="b">
        <f ca="1">Table66[[#This Row],[Total Specifed in RFO - N/A]]=Table66[[#This Row],[Total Proposed]]</f>
        <v>1</v>
      </c>
      <c r="U52" s="442"/>
      <c r="V52" s="441">
        <f ca="1">Table66[[#This Row],[Year 6 (Specified in RFO) - N/A]]-Table66[[#This Row],[Column1]]</f>
        <v>0</v>
      </c>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row>
    <row r="53" spans="1:219" s="193" customFormat="1">
      <c r="A53" s="453" t="s">
        <v>283</v>
      </c>
      <c r="B53" s="190" t="s">
        <v>255</v>
      </c>
      <c r="C53" s="190" t="s">
        <v>256</v>
      </c>
      <c r="D53" s="190" t="s">
        <v>257</v>
      </c>
      <c r="E53" s="190" t="s">
        <v>258</v>
      </c>
      <c r="F53" s="190">
        <v>270</v>
      </c>
      <c r="G53"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3" s="190">
        <v>270</v>
      </c>
      <c r="I53"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3" s="190">
        <v>270</v>
      </c>
      <c r="K53"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3" s="190">
        <v>270</v>
      </c>
      <c r="M53"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3" s="190">
        <v>270</v>
      </c>
      <c r="O53"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3" s="190"/>
      <c r="Q53"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53" s="192">
        <f ca="1">Table66[[#This Row],[Year 1 (Specified in RFO) - N/A]]+Table66[[#This Row],[Year 2 (Specified in RFO) - N/A]]+Table66[[#This Row],[Year 3 (Specified in RFO) - N/A]]+Table66[[#This Row],[Year 4 (Specified in RFO) - N/A]]+Table66[[#This Row],[Year 5 (Specified in RFO) - N/A]]+Table66[[#This Row],[Year 6 (Specified in RFO) - N/A]]</f>
        <v>1350</v>
      </c>
      <c r="S53" s="410">
        <f ca="1">Table66[[#This Row],[Year 1  (Proposed)]]+Table66[[#This Row],[Year 2 (Proposed)]]+Table66[[#This Row],[Year 3 (Proposed)]]+Table66[[#This Row],[Year 4 (Proposed)]]+Table66[[#This Row],[Year 5 (Proposed)]]+Table66[[#This Row],[Year 6 (Proposed)]]</f>
        <v>0</v>
      </c>
      <c r="T53" s="444" t="b">
        <f ca="1">Table66[[#This Row],[Total Specifed in RFO - N/A]]=Table66[[#This Row],[Total Proposed]]</f>
        <v>0</v>
      </c>
      <c r="U53" s="442"/>
      <c r="V53" s="441"/>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row>
    <row r="54" spans="1:219" s="193" customFormat="1">
      <c r="A54" s="453" t="s">
        <v>283</v>
      </c>
      <c r="B54" s="449" t="s">
        <v>96</v>
      </c>
      <c r="C54" s="448"/>
      <c r="D54" s="449"/>
      <c r="E54" s="449"/>
      <c r="F54" s="190"/>
      <c r="G54"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4" s="190"/>
      <c r="I54"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4" s="190"/>
      <c r="K54"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4" s="190"/>
      <c r="M54"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4" s="190"/>
      <c r="O54"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4" s="190"/>
      <c r="Q54"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54" s="192">
        <f ca="1">Table66[[#This Row],[Year 1 (Specified in RFO) - N/A]]+Table66[[#This Row],[Year 2 (Specified in RFO) - N/A]]+Table66[[#This Row],[Year 3 (Specified in RFO) - N/A]]+Table66[[#This Row],[Year 4 (Specified in RFO) - N/A]]+Table66[[#This Row],[Year 5 (Specified in RFO) - N/A]]+Table66[[#This Row],[Year 6 (Specified in RFO) - N/A]]</f>
        <v>0</v>
      </c>
      <c r="S54" s="410">
        <f ca="1">Table66[[#This Row],[Year 1  (Proposed)]]+Table66[[#This Row],[Year 2 (Proposed)]]+Table66[[#This Row],[Year 3 (Proposed)]]+Table66[[#This Row],[Year 4 (Proposed)]]+Table66[[#This Row],[Year 5 (Proposed)]]+Table66[[#This Row],[Year 6 (Proposed)]]</f>
        <v>0</v>
      </c>
      <c r="T54" s="411" t="b">
        <f ca="1">Table66[[#This Row],[Total Specifed in RFO - N/A]]=Table66[[#This Row],[Total Proposed]]</f>
        <v>1</v>
      </c>
      <c r="U54" s="442"/>
      <c r="V54" s="441">
        <f ca="1">Table66[[#This Row],[Year 6 (Specified in RFO) - N/A]]-Table66[[#This Row],[Column1]]</f>
        <v>0</v>
      </c>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row>
    <row r="55" spans="1:219" s="195" customFormat="1">
      <c r="A55" s="453" t="s">
        <v>284</v>
      </c>
      <c r="B55" s="190" t="s">
        <v>255</v>
      </c>
      <c r="C55" s="190" t="s">
        <v>256</v>
      </c>
      <c r="D55" s="190" t="s">
        <v>285</v>
      </c>
      <c r="E55" s="190" t="s">
        <v>258</v>
      </c>
      <c r="F55" s="190">
        <v>475</v>
      </c>
      <c r="G55"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5" s="190">
        <v>420</v>
      </c>
      <c r="I55"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5" s="190">
        <v>363</v>
      </c>
      <c r="K55"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5" s="190">
        <v>575</v>
      </c>
      <c r="M55"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5" s="190">
        <v>628</v>
      </c>
      <c r="O55"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5" s="190"/>
      <c r="Q55"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55" s="192">
        <f ca="1">Table66[[#This Row],[Year 1 (Specified in RFO) - N/A]]+Table66[[#This Row],[Year 2 (Specified in RFO) - N/A]]+Table66[[#This Row],[Year 3 (Specified in RFO) - N/A]]+Table66[[#This Row],[Year 4 (Specified in RFO) - N/A]]+Table66[[#This Row],[Year 5 (Specified in RFO) - N/A]]+Table66[[#This Row],[Year 6 (Specified in RFO) - N/A]]</f>
        <v>2461</v>
      </c>
      <c r="S55" s="402">
        <f ca="1">Table66[[#This Row],[Year 1  (Proposed)]]+Table66[[#This Row],[Year 2 (Proposed)]]+Table66[[#This Row],[Year 3 (Proposed)]]+Table66[[#This Row],[Year 4 (Proposed)]]+Table66[[#This Row],[Year 5 (Proposed)]]+Table66[[#This Row],[Year 6 (Proposed)]]</f>
        <v>0</v>
      </c>
      <c r="T55" s="443" t="b">
        <f ca="1">Table66[[#This Row],[Total Specifed in RFO - N/A]]=Table66[[#This Row],[Total Proposed]]</f>
        <v>0</v>
      </c>
      <c r="U55" s="442"/>
      <c r="V55" s="441"/>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row>
    <row r="56" spans="1:219" s="195" customFormat="1">
      <c r="A56" s="453" t="s">
        <v>284</v>
      </c>
      <c r="B56" s="449" t="s">
        <v>96</v>
      </c>
      <c r="C56" s="448"/>
      <c r="D56" s="449"/>
      <c r="E56" s="449"/>
      <c r="F56" s="190"/>
      <c r="G56"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6" s="190"/>
      <c r="I56"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6" s="190"/>
      <c r="K56"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6" s="190"/>
      <c r="M56"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6" s="190"/>
      <c r="O56"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6" s="190"/>
      <c r="Q56"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56" s="192">
        <f ca="1">Table66[[#This Row],[Year 1 (Specified in RFO) - N/A]]+Table66[[#This Row],[Year 2 (Specified in RFO) - N/A]]+Table66[[#This Row],[Year 3 (Specified in RFO) - N/A]]+Table66[[#This Row],[Year 4 (Specified in RFO) - N/A]]+Table66[[#This Row],[Year 5 (Specified in RFO) - N/A]]+Table66[[#This Row],[Year 6 (Specified in RFO) - N/A]]</f>
        <v>0</v>
      </c>
      <c r="S56" s="410">
        <f ca="1">Table66[[#This Row],[Year 1  (Proposed)]]+Table66[[#This Row],[Year 2 (Proposed)]]+Table66[[#This Row],[Year 3 (Proposed)]]+Table66[[#This Row],[Year 4 (Proposed)]]+Table66[[#This Row],[Year 5 (Proposed)]]+Table66[[#This Row],[Year 6 (Proposed)]]</f>
        <v>0</v>
      </c>
      <c r="T56" s="411" t="b">
        <f ca="1">Table66[[#This Row],[Total Specifed in RFO - N/A]]=Table66[[#This Row],[Total Proposed]]</f>
        <v>1</v>
      </c>
      <c r="U56" s="442"/>
      <c r="V56" s="441">
        <f ca="1">Table66[[#This Row],[Year 6 (Specified in RFO) - N/A]]-Table66[[#This Row],[Column1]]</f>
        <v>0</v>
      </c>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row>
    <row r="57" spans="1:219" s="195" customFormat="1">
      <c r="A57" s="453" t="s">
        <v>286</v>
      </c>
      <c r="B57" s="190" t="s">
        <v>255</v>
      </c>
      <c r="C57" s="190" t="s">
        <v>256</v>
      </c>
      <c r="D57" s="190" t="s">
        <v>285</v>
      </c>
      <c r="E57" s="190" t="s">
        <v>258</v>
      </c>
      <c r="F57" s="190">
        <v>478</v>
      </c>
      <c r="G57"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7" s="190">
        <v>581</v>
      </c>
      <c r="I57"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7" s="190">
        <v>688</v>
      </c>
      <c r="K57"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7" s="190">
        <v>529</v>
      </c>
      <c r="M57"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7" s="190">
        <v>532</v>
      </c>
      <c r="O57"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7" s="190"/>
      <c r="Q57"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57" s="192">
        <f ca="1">Table66[[#This Row],[Year 1 (Specified in RFO) - N/A]]+Table66[[#This Row],[Year 2 (Specified in RFO) - N/A]]+Table66[[#This Row],[Year 3 (Specified in RFO) - N/A]]+Table66[[#This Row],[Year 4 (Specified in RFO) - N/A]]+Table66[[#This Row],[Year 5 (Specified in RFO) - N/A]]+Table66[[#This Row],[Year 6 (Specified in RFO) - N/A]]</f>
        <v>2808</v>
      </c>
      <c r="S57" s="410">
        <f ca="1">Table66[[#This Row],[Year 1  (Proposed)]]+Table66[[#This Row],[Year 2 (Proposed)]]+Table66[[#This Row],[Year 3 (Proposed)]]+Table66[[#This Row],[Year 4 (Proposed)]]+Table66[[#This Row],[Year 5 (Proposed)]]+Table66[[#This Row],[Year 6 (Proposed)]]</f>
        <v>0</v>
      </c>
      <c r="T57" s="444" t="b">
        <f ca="1">Table66[[#This Row],[Total Specifed in RFO - N/A]]=Table66[[#This Row],[Total Proposed]]</f>
        <v>0</v>
      </c>
      <c r="U57" s="442"/>
      <c r="V57" s="441"/>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row>
    <row r="58" spans="1:219" s="195" customFormat="1">
      <c r="A58" s="453" t="s">
        <v>286</v>
      </c>
      <c r="B58" s="449" t="s">
        <v>96</v>
      </c>
      <c r="C58" s="448"/>
      <c r="D58" s="449"/>
      <c r="E58" s="449"/>
      <c r="F58" s="190"/>
      <c r="G58"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8" s="190"/>
      <c r="I58"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8" s="190"/>
      <c r="K58"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8" s="190"/>
      <c r="M58"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8" s="190"/>
      <c r="O58"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8" s="190"/>
      <c r="Q58"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58" s="192">
        <f ca="1">Table66[[#This Row],[Year 1 (Specified in RFO) - N/A]]+Table66[[#This Row],[Year 2 (Specified in RFO) - N/A]]+Table66[[#This Row],[Year 3 (Specified in RFO) - N/A]]+Table66[[#This Row],[Year 4 (Specified in RFO) - N/A]]+Table66[[#This Row],[Year 5 (Specified in RFO) - N/A]]+Table66[[#This Row],[Year 6 (Specified in RFO) - N/A]]</f>
        <v>0</v>
      </c>
      <c r="S58" s="410">
        <f ca="1">Table66[[#This Row],[Year 1  (Proposed)]]+Table66[[#This Row],[Year 2 (Proposed)]]+Table66[[#This Row],[Year 3 (Proposed)]]+Table66[[#This Row],[Year 4 (Proposed)]]+Table66[[#This Row],[Year 5 (Proposed)]]+Table66[[#This Row],[Year 6 (Proposed)]]</f>
        <v>0</v>
      </c>
      <c r="T58" s="411" t="b">
        <f ca="1">Table66[[#This Row],[Total Specifed in RFO - N/A]]=Table66[[#This Row],[Total Proposed]]</f>
        <v>1</v>
      </c>
      <c r="U58" s="442"/>
      <c r="V58" s="441">
        <f ca="1">Table66[[#This Row],[Year 6 (Specified in RFO) - N/A]]-Table66[[#This Row],[Column1]]</f>
        <v>0</v>
      </c>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row>
    <row r="59" spans="1:219" s="193" customFormat="1">
      <c r="A59" s="453" t="s">
        <v>287</v>
      </c>
      <c r="B59" s="190" t="s">
        <v>255</v>
      </c>
      <c r="C59" s="190" t="s">
        <v>256</v>
      </c>
      <c r="D59" s="190" t="s">
        <v>257</v>
      </c>
      <c r="E59" s="190" t="s">
        <v>258</v>
      </c>
      <c r="F59" s="190">
        <v>7</v>
      </c>
      <c r="G59"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9" s="190">
        <v>7</v>
      </c>
      <c r="I59"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9" s="190">
        <v>7</v>
      </c>
      <c r="K59"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9" s="190">
        <v>7</v>
      </c>
      <c r="M59"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9" s="190">
        <v>7</v>
      </c>
      <c r="O59"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9" s="190"/>
      <c r="Q59" s="191">
        <f ca="1">IF(Table66[[#This Row],[Site]]="KTR Site",SUMIFS(Cost_Elements[Hours | 6],Cost_Elements[Site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59" s="192">
        <f ca="1">Table66[[#This Row],[Year 1 (Specified in RFO) - N/A]]+Table66[[#This Row],[Year 2 (Specified in RFO) - N/A]]+Table66[[#This Row],[Year 3 (Specified in RFO) - N/A]]+Table66[[#This Row],[Year 4 (Specified in RFO) - N/A]]+Table66[[#This Row],[Year 5 (Specified in RFO) - N/A]]+Table66[[#This Row],[Year 6 (Specified in RFO) - N/A]]</f>
        <v>35</v>
      </c>
      <c r="S59" s="402">
        <f ca="1">Table66[[#This Row],[Year 1  (Proposed)]]+Table66[[#This Row],[Year 2 (Proposed)]]+Table66[[#This Row],[Year 3 (Proposed)]]+Table66[[#This Row],[Year 4 (Proposed)]]+Table66[[#This Row],[Year 5 (Proposed)]]+Table66[[#This Row],[Year 6 (Proposed)]]</f>
        <v>0</v>
      </c>
      <c r="T59" s="446" t="b">
        <f ca="1">Table66[[#This Row],[Total Specifed in RFO - N/A]]=Table66[[#This Row],[Total Proposed]]</f>
        <v>0</v>
      </c>
      <c r="U59" s="442"/>
      <c r="V59" s="441"/>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row>
    <row r="60" spans="1:219" s="193" customFormat="1" ht="16.5" thickBot="1">
      <c r="A60" s="434" t="s">
        <v>287</v>
      </c>
      <c r="B60" s="449" t="s">
        <v>96</v>
      </c>
      <c r="C60" s="448"/>
      <c r="D60" s="449"/>
      <c r="E60" s="449"/>
      <c r="F60" s="190"/>
      <c r="G60"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0" s="190"/>
      <c r="I60"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60" s="190"/>
      <c r="K60"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60" s="190"/>
      <c r="M60"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60" s="190"/>
      <c r="O60"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60" s="190"/>
      <c r="Q60" s="191">
        <f ca="1">IF(Table66[[#This Row],[Site]]="T",SUMIFS(Cost_Elements[Hours | 6],Cost_Elements[Site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R60" s="192">
        <f ca="1">Table66[[#This Row],[Year 1 (Specified in RFO) - N/A]]+Table66[[#This Row],[Year 2 (Specified in RFO) - N/A]]+Table66[[#This Row],[Year 3 (Specified in RFO) - N/A]]+Table66[[#This Row],[Year 4 (Specified in RFO) - N/A]]+Table66[[#This Row],[Year 5 (Specified in RFO) - N/A]]+Table66[[#This Row],[Year 6 (Specified in RFO) - N/A]]</f>
        <v>0</v>
      </c>
      <c r="S60" s="410">
        <f ca="1">Table66[[#This Row],[Year 1  (Proposed)]]+Table66[[#This Row],[Year 2 (Proposed)]]+Table66[[#This Row],[Year 3 (Proposed)]]+Table66[[#This Row],[Year 4 (Proposed)]]+Table66[[#This Row],[Year 5 (Proposed)]]+Table66[[#This Row],[Year 6 (Proposed)]]</f>
        <v>0</v>
      </c>
      <c r="T60" s="411" t="b">
        <f ca="1">Table66[[#This Row],[Total Specifed in RFO - N/A]]=Table66[[#This Row],[Total Proposed]]</f>
        <v>1</v>
      </c>
      <c r="U60" s="442"/>
      <c r="V60" s="441">
        <f ca="1">Table66[[#This Row],[Year 6 (Specified in RFO) - N/A]]-Table66[[#This Row],[Column1]]</f>
        <v>0</v>
      </c>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c r="ET60" s="28"/>
      <c r="EU60" s="28"/>
      <c r="EV60" s="28"/>
      <c r="EW60" s="28"/>
      <c r="EX60" s="28"/>
      <c r="EY60" s="28"/>
      <c r="EZ60" s="28"/>
      <c r="FA60" s="28"/>
      <c r="FB60" s="28"/>
      <c r="FC60" s="28"/>
      <c r="FD60" s="28"/>
      <c r="FE60" s="28"/>
      <c r="FF60" s="28"/>
      <c r="FG60" s="28"/>
      <c r="FH60" s="28"/>
      <c r="FI60" s="28"/>
      <c r="FJ60" s="28"/>
      <c r="FK60" s="28"/>
      <c r="FL60" s="28"/>
      <c r="FM60" s="28"/>
      <c r="FN60" s="28"/>
      <c r="FO60" s="28"/>
      <c r="FP60" s="28"/>
      <c r="FQ60" s="28"/>
      <c r="FR60" s="28"/>
      <c r="FS60" s="28"/>
      <c r="FT60" s="28"/>
      <c r="FU60" s="28"/>
      <c r="FV60" s="28"/>
      <c r="FW60" s="28"/>
      <c r="FX60" s="28"/>
      <c r="FY60" s="28"/>
      <c r="FZ60" s="28"/>
      <c r="GA60" s="28"/>
      <c r="GB60" s="28"/>
      <c r="GC60" s="28"/>
      <c r="GD60" s="28"/>
      <c r="GE60" s="28"/>
      <c r="GF60" s="28"/>
      <c r="GG60" s="28"/>
      <c r="GH60" s="28"/>
      <c r="GI60" s="28"/>
      <c r="GJ60" s="28"/>
      <c r="GK60" s="28"/>
      <c r="GL60" s="28"/>
      <c r="GM60" s="28"/>
      <c r="GN60" s="28"/>
      <c r="GO60" s="28"/>
      <c r="GP60" s="28"/>
      <c r="GQ60" s="28"/>
      <c r="GR60" s="28"/>
      <c r="GS60" s="28"/>
      <c r="GT60" s="28"/>
      <c r="GU60" s="28"/>
      <c r="GV60" s="28"/>
      <c r="GW60" s="28"/>
      <c r="GX60" s="28"/>
      <c r="GY60" s="28"/>
      <c r="GZ60" s="28"/>
      <c r="HA60" s="28"/>
      <c r="HB60" s="28"/>
      <c r="HC60" s="28"/>
      <c r="HD60" s="28"/>
      <c r="HE60" s="28"/>
      <c r="HF60" s="28"/>
      <c r="HG60" s="28"/>
      <c r="HH60" s="28"/>
      <c r="HI60" s="28"/>
      <c r="HJ60" s="28"/>
      <c r="HK60" s="28"/>
    </row>
    <row r="61" spans="1:219" ht="16.5" thickBot="1">
      <c r="A61" s="434" t="s">
        <v>288</v>
      </c>
      <c r="B61" s="437"/>
      <c r="C61" s="437"/>
      <c r="D61" s="438"/>
      <c r="E61" s="438"/>
      <c r="F61" s="196">
        <f t="shared" ref="F61:S61" si="0">SUBTOTAL(109,F3:F59)</f>
        <v>13298</v>
      </c>
      <c r="G61" s="191"/>
      <c r="H61" s="196">
        <f t="shared" ca="1" si="0"/>
        <v>13696</v>
      </c>
      <c r="I61" s="196">
        <f t="shared" ca="1" si="0"/>
        <v>0</v>
      </c>
      <c r="J61" s="196">
        <f t="shared" ca="1" si="0"/>
        <v>14152</v>
      </c>
      <c r="K61" s="196">
        <f t="shared" ca="1" si="0"/>
        <v>0</v>
      </c>
      <c r="L61" s="196">
        <f t="shared" ca="1" si="0"/>
        <v>15165</v>
      </c>
      <c r="M61" s="196">
        <f t="shared" ca="1" si="0"/>
        <v>0</v>
      </c>
      <c r="N61" s="196">
        <f t="shared" ca="1" si="0"/>
        <v>15678</v>
      </c>
      <c r="O61" s="196">
        <f t="shared" ca="1" si="0"/>
        <v>0</v>
      </c>
      <c r="P61" s="196">
        <f t="shared" ca="1" si="0"/>
        <v>0</v>
      </c>
      <c r="Q61" s="196">
        <f t="shared" ca="1" si="0"/>
        <v>0</v>
      </c>
      <c r="R61" s="196">
        <f t="shared" ca="1" si="0"/>
        <v>71989</v>
      </c>
      <c r="S61" s="196">
        <f t="shared" ca="1" si="0"/>
        <v>0</v>
      </c>
      <c r="T61" s="447"/>
      <c r="U61" s="439"/>
      <c r="V61" s="441"/>
    </row>
    <row r="62" spans="1:219" ht="16.5" thickBot="1">
      <c r="A62" s="227"/>
      <c r="B62" s="435"/>
      <c r="C62" s="435"/>
      <c r="D62" s="436"/>
      <c r="E62" s="436"/>
      <c r="F62" s="190"/>
      <c r="G62" s="191"/>
      <c r="H62" s="190"/>
      <c r="I62" s="191"/>
      <c r="J62" s="190"/>
      <c r="K62" s="191"/>
      <c r="L62" s="190"/>
      <c r="M62" s="207"/>
      <c r="N62" s="190"/>
      <c r="O62" s="207"/>
      <c r="P62" s="190"/>
      <c r="Q62" s="207"/>
      <c r="R62" s="192"/>
      <c r="S62" s="402"/>
      <c r="T62" s="403"/>
      <c r="U62" s="439"/>
      <c r="V62" s="441">
        <f ca="1">Table66[[#This Row],[Year 6 (Specified in RFO) - N/A]]-Table66[[#This Row],[Column1]]</f>
        <v>0</v>
      </c>
    </row>
    <row r="63" spans="1:219" ht="16.5" thickBot="1">
      <c r="A63" s="227"/>
      <c r="B63" s="319"/>
      <c r="C63" s="319"/>
      <c r="D63" s="320"/>
      <c r="E63" s="320"/>
      <c r="F63" s="190"/>
      <c r="G63" s="191"/>
      <c r="H63" s="190"/>
      <c r="I63" s="191"/>
      <c r="J63" s="190"/>
      <c r="K63" s="191"/>
      <c r="L63" s="190"/>
      <c r="M63" s="207"/>
      <c r="N63" s="190"/>
      <c r="O63" s="207"/>
      <c r="P63" s="190"/>
      <c r="Q63" s="207"/>
      <c r="R63" s="192"/>
      <c r="S63" s="402"/>
      <c r="T63" s="403"/>
      <c r="U63" s="439"/>
      <c r="V63" s="441">
        <f ca="1">Table66[[#This Row],[Year 6 (Specified in RFO) - N/A]]-Table66[[#This Row],[Column1]]</f>
        <v>0</v>
      </c>
    </row>
    <row r="64" spans="1:219" ht="16.5" thickBot="1">
      <c r="A64" s="227"/>
      <c r="B64" s="319"/>
      <c r="C64" s="319"/>
      <c r="D64" s="320"/>
      <c r="E64" s="320"/>
      <c r="F64" s="190"/>
      <c r="G64" s="191"/>
      <c r="H64" s="190"/>
      <c r="I64" s="191"/>
      <c r="J64" s="190"/>
      <c r="K64" s="191"/>
      <c r="L64" s="190"/>
      <c r="M64" s="207"/>
      <c r="N64" s="190"/>
      <c r="O64" s="207"/>
      <c r="P64" s="190"/>
      <c r="Q64" s="207"/>
      <c r="R64" s="192"/>
      <c r="S64" s="402"/>
      <c r="T64" s="403"/>
      <c r="U64" s="439"/>
      <c r="V64" s="441">
        <f ca="1">Table66[[#This Row],[Year 6 (Specified in RFO) - N/A]]-Table66[[#This Row],[Column1]]</f>
        <v>0</v>
      </c>
    </row>
    <row r="65" spans="1:22" ht="16.5" thickBot="1">
      <c r="A65" s="227"/>
      <c r="B65" s="227"/>
      <c r="C65" s="227"/>
      <c r="D65" s="320"/>
      <c r="E65" s="320"/>
      <c r="F65" s="190"/>
      <c r="G65" s="191"/>
      <c r="H65" s="190"/>
      <c r="I65" s="191"/>
      <c r="J65" s="190"/>
      <c r="K65" s="191"/>
      <c r="L65" s="190"/>
      <c r="M65" s="207"/>
      <c r="N65" s="190"/>
      <c r="O65" s="207"/>
      <c r="P65" s="190"/>
      <c r="Q65" s="207"/>
      <c r="R65" s="192"/>
      <c r="S65" s="402"/>
      <c r="T65" s="403"/>
      <c r="U65" s="439"/>
      <c r="V65" s="441">
        <f ca="1">Table66[[#This Row],[Year 6 (Specified in RFO) - N/A]]-Table66[[#This Row],[Column1]]</f>
        <v>0</v>
      </c>
    </row>
    <row r="66" spans="1:22" ht="16.5" thickBot="1">
      <c r="A66" s="227"/>
      <c r="B66" s="319"/>
      <c r="C66" s="319"/>
      <c r="D66" s="320"/>
      <c r="E66" s="320"/>
      <c r="F66" s="190"/>
      <c r="G66" s="191"/>
      <c r="H66" s="190"/>
      <c r="I66" s="191"/>
      <c r="J66" s="190"/>
      <c r="K66" s="191"/>
      <c r="L66" s="190"/>
      <c r="M66" s="207"/>
      <c r="N66" s="190"/>
      <c r="O66" s="207"/>
      <c r="P66" s="190"/>
      <c r="Q66" s="207"/>
      <c r="R66" s="192"/>
      <c r="S66" s="402"/>
      <c r="T66" s="403"/>
      <c r="U66" s="439"/>
      <c r="V66" s="441">
        <f ca="1">Table66[[#This Row],[Year 6 (Specified in RFO) - N/A]]-Table66[[#This Row],[Column1]]</f>
        <v>0</v>
      </c>
    </row>
    <row r="67" spans="1:22" ht="16.5" thickBot="1">
      <c r="A67" s="227"/>
      <c r="B67" s="227"/>
      <c r="C67" s="227"/>
      <c r="D67" s="320"/>
      <c r="E67" s="320"/>
      <c r="F67" s="190"/>
      <c r="G67" s="191"/>
      <c r="H67" s="190"/>
      <c r="I67" s="191"/>
      <c r="J67" s="190"/>
      <c r="K67" s="191"/>
      <c r="L67" s="190"/>
      <c r="M67" s="207"/>
      <c r="N67" s="190"/>
      <c r="O67" s="207"/>
      <c r="P67" s="190"/>
      <c r="Q67" s="207"/>
      <c r="R67" s="192"/>
      <c r="S67" s="402"/>
      <c r="T67" s="403"/>
      <c r="U67" s="439"/>
      <c r="V67" s="441">
        <f ca="1">Table66[[#This Row],[Year 6 (Specified in RFO) - N/A]]-Table66[[#This Row],[Column1]]</f>
        <v>0</v>
      </c>
    </row>
    <row r="68" spans="1:22" ht="16.5" thickBot="1">
      <c r="A68" s="227"/>
      <c r="B68" s="319"/>
      <c r="C68" s="319"/>
      <c r="D68" s="320"/>
      <c r="E68" s="320"/>
      <c r="F68" s="190"/>
      <c r="G68" s="191"/>
      <c r="H68" s="190"/>
      <c r="I68" s="191"/>
      <c r="J68" s="190"/>
      <c r="K68" s="191"/>
      <c r="L68" s="190"/>
      <c r="M68" s="207"/>
      <c r="N68" s="190"/>
      <c r="O68" s="207"/>
      <c r="P68" s="190"/>
      <c r="Q68" s="207"/>
      <c r="R68" s="192"/>
      <c r="S68" s="402"/>
      <c r="T68" s="403"/>
      <c r="U68" s="439"/>
      <c r="V68" s="441">
        <f ca="1">Table66[[#This Row],[Year 6 (Specified in RFO) - N/A]]-Table66[[#This Row],[Column1]]</f>
        <v>0</v>
      </c>
    </row>
    <row r="69" spans="1:22" ht="16.5" thickBot="1">
      <c r="A69" s="227"/>
      <c r="B69" s="319"/>
      <c r="C69" s="319"/>
      <c r="D69" s="320"/>
      <c r="E69" s="320"/>
      <c r="F69" s="190"/>
      <c r="G69" s="191"/>
      <c r="H69" s="190"/>
      <c r="I69" s="191"/>
      <c r="J69" s="190"/>
      <c r="K69" s="191"/>
      <c r="L69" s="190"/>
      <c r="M69" s="207"/>
      <c r="N69" s="190"/>
      <c r="O69" s="207"/>
      <c r="P69" s="190"/>
      <c r="Q69" s="207"/>
      <c r="R69" s="192"/>
      <c r="S69" s="402"/>
      <c r="T69" s="403"/>
      <c r="U69" s="439"/>
      <c r="V69" s="441">
        <f ca="1">Table66[[#This Row],[Year 6 (Specified in RFO) - N/A]]-Table66[[#This Row],[Column1]]</f>
        <v>0</v>
      </c>
    </row>
    <row r="70" spans="1:22" ht="16.5" thickBot="1">
      <c r="A70" s="227"/>
      <c r="B70" s="227"/>
      <c r="C70" s="227"/>
      <c r="D70" s="320"/>
      <c r="E70" s="320"/>
      <c r="F70" s="190"/>
      <c r="G70" s="191"/>
      <c r="H70" s="190"/>
      <c r="I70" s="191"/>
      <c r="J70" s="190"/>
      <c r="K70" s="191"/>
      <c r="L70" s="190"/>
      <c r="M70" s="207"/>
      <c r="N70" s="190"/>
      <c r="O70" s="207"/>
      <c r="P70" s="190"/>
      <c r="Q70" s="207"/>
      <c r="R70" s="192"/>
      <c r="S70" s="402"/>
      <c r="T70" s="403"/>
      <c r="U70" s="439"/>
      <c r="V70" s="441">
        <f ca="1">Table66[[#This Row],[Year 6 (Specified in RFO) - N/A]]-Table66[[#This Row],[Column1]]</f>
        <v>0</v>
      </c>
    </row>
    <row r="71" spans="1:22" ht="16.5" thickBot="1">
      <c r="A71" s="227"/>
      <c r="B71" s="319"/>
      <c r="C71" s="319"/>
      <c r="D71" s="320"/>
      <c r="E71" s="320"/>
      <c r="F71" s="190"/>
      <c r="G71" s="191"/>
      <c r="H71" s="190"/>
      <c r="I71" s="191"/>
      <c r="J71" s="190"/>
      <c r="K71" s="191"/>
      <c r="L71" s="190"/>
      <c r="M71" s="207"/>
      <c r="N71" s="190"/>
      <c r="O71" s="207"/>
      <c r="P71" s="190"/>
      <c r="Q71" s="207"/>
      <c r="R71" s="192"/>
      <c r="S71" s="402"/>
      <c r="T71" s="403"/>
      <c r="U71" s="439"/>
      <c r="V71" s="441">
        <f ca="1">Table66[[#This Row],[Year 6 (Specified in RFO) - N/A]]-Table66[[#This Row],[Column1]]</f>
        <v>0</v>
      </c>
    </row>
    <row r="72" spans="1:22" ht="16.5" thickBot="1">
      <c r="A72" s="227"/>
      <c r="B72" s="319"/>
      <c r="C72" s="319"/>
      <c r="D72" s="320"/>
      <c r="E72" s="320"/>
      <c r="F72" s="190"/>
      <c r="G72" s="191"/>
      <c r="H72" s="190"/>
      <c r="I72" s="191"/>
      <c r="J72" s="190"/>
      <c r="K72" s="191"/>
      <c r="L72" s="190"/>
      <c r="M72" s="207"/>
      <c r="N72" s="190"/>
      <c r="O72" s="207"/>
      <c r="P72" s="190"/>
      <c r="Q72" s="207"/>
      <c r="R72" s="192"/>
      <c r="S72" s="402"/>
      <c r="T72" s="403"/>
      <c r="U72" s="439"/>
      <c r="V72" s="441">
        <f ca="1">Table66[[#This Row],[Year 6 (Specified in RFO) - N/A]]-Table66[[#This Row],[Column1]]</f>
        <v>0</v>
      </c>
    </row>
    <row r="73" spans="1:22" ht="16.5" thickBot="1">
      <c r="A73" s="227"/>
      <c r="B73" s="227"/>
      <c r="C73" s="227"/>
      <c r="D73" s="320"/>
      <c r="E73" s="320"/>
      <c r="F73" s="190"/>
      <c r="G73" s="191"/>
      <c r="H73" s="190"/>
      <c r="I73" s="191"/>
      <c r="J73" s="190"/>
      <c r="K73" s="191"/>
      <c r="L73" s="190"/>
      <c r="M73" s="207"/>
      <c r="N73" s="190"/>
      <c r="O73" s="207"/>
      <c r="P73" s="190"/>
      <c r="Q73" s="207"/>
      <c r="R73" s="192"/>
      <c r="S73" s="402"/>
      <c r="T73" s="403"/>
      <c r="U73" s="439"/>
      <c r="V73" s="441">
        <f ca="1">Table66[[#This Row],[Year 6 (Specified in RFO) - N/A]]-Table66[[#This Row],[Column1]]</f>
        <v>0</v>
      </c>
    </row>
    <row r="74" spans="1:22" ht="16.5" thickBot="1">
      <c r="A74" s="227"/>
      <c r="B74" s="319"/>
      <c r="C74" s="319"/>
      <c r="D74" s="320"/>
      <c r="E74" s="320"/>
      <c r="F74" s="190"/>
      <c r="G74" s="191"/>
      <c r="H74" s="190"/>
      <c r="I74" s="191"/>
      <c r="J74" s="190"/>
      <c r="K74" s="191"/>
      <c r="L74" s="190"/>
      <c r="M74" s="207"/>
      <c r="N74" s="190"/>
      <c r="O74" s="207"/>
      <c r="P74" s="190"/>
      <c r="Q74" s="207"/>
      <c r="R74" s="192"/>
      <c r="S74" s="402"/>
      <c r="T74" s="403"/>
      <c r="U74" s="439"/>
      <c r="V74" s="441">
        <f ca="1">Table66[[#This Row],[Year 6 (Specified in RFO) - N/A]]-Table66[[#This Row],[Column1]]</f>
        <v>0</v>
      </c>
    </row>
    <row r="75" spans="1:22" ht="16.5" thickBot="1">
      <c r="A75" s="227"/>
      <c r="B75" s="319"/>
      <c r="C75" s="319"/>
      <c r="D75" s="320"/>
      <c r="E75" s="320"/>
      <c r="F75" s="190"/>
      <c r="G75" s="191"/>
      <c r="H75" s="190"/>
      <c r="I75" s="191"/>
      <c r="J75" s="190"/>
      <c r="K75" s="191"/>
      <c r="L75" s="190"/>
      <c r="M75" s="207"/>
      <c r="N75" s="190"/>
      <c r="O75" s="207"/>
      <c r="P75" s="190"/>
      <c r="Q75" s="207"/>
      <c r="R75" s="192"/>
      <c r="S75" s="402"/>
      <c r="T75" s="403"/>
      <c r="U75" s="439"/>
      <c r="V75" s="441">
        <f ca="1">Table66[[#This Row],[Year 6 (Specified in RFO) - N/A]]-Table66[[#This Row],[Column1]]</f>
        <v>0</v>
      </c>
    </row>
    <row r="76" spans="1:22" ht="16.5" thickBot="1">
      <c r="A76" s="227"/>
      <c r="B76" s="227"/>
      <c r="C76" s="227"/>
      <c r="D76" s="320"/>
      <c r="E76" s="320"/>
      <c r="F76" s="190"/>
      <c r="G76" s="191"/>
      <c r="H76" s="190"/>
      <c r="I76" s="191"/>
      <c r="J76" s="190"/>
      <c r="K76" s="191"/>
      <c r="L76" s="190"/>
      <c r="M76" s="207"/>
      <c r="N76" s="190"/>
      <c r="O76" s="207"/>
      <c r="P76" s="190"/>
      <c r="Q76" s="207"/>
      <c r="R76" s="192"/>
      <c r="S76" s="402"/>
      <c r="T76" s="403"/>
      <c r="U76" s="439"/>
      <c r="V76" s="441">
        <f ca="1">Table66[[#This Row],[Year 6 (Specified in RFO) - N/A]]-Table66[[#This Row],[Column1]]</f>
        <v>0</v>
      </c>
    </row>
    <row r="77" spans="1:22" ht="16.5" thickBot="1">
      <c r="A77" s="227"/>
      <c r="B77" s="319"/>
      <c r="C77" s="319"/>
      <c r="D77" s="320"/>
      <c r="E77" s="320"/>
      <c r="F77" s="190"/>
      <c r="G77" s="191"/>
      <c r="H77" s="190"/>
      <c r="I77" s="191"/>
      <c r="J77" s="190"/>
      <c r="K77" s="191"/>
      <c r="L77" s="190"/>
      <c r="M77" s="207"/>
      <c r="N77" s="190"/>
      <c r="O77" s="207"/>
      <c r="P77" s="190"/>
      <c r="Q77" s="207"/>
      <c r="R77" s="192"/>
      <c r="S77" s="402"/>
      <c r="T77" s="403"/>
      <c r="U77" s="439"/>
      <c r="V77" s="441">
        <f ca="1">Table66[[#This Row],[Year 6 (Specified in RFO) - N/A]]-Table66[[#This Row],[Column1]]</f>
        <v>0</v>
      </c>
    </row>
    <row r="78" spans="1:22" ht="16.5" thickBot="1">
      <c r="A78" s="227"/>
      <c r="B78" s="319"/>
      <c r="C78" s="319"/>
      <c r="D78" s="320"/>
      <c r="E78" s="320"/>
      <c r="F78" s="190"/>
      <c r="G78" s="191"/>
      <c r="H78" s="190"/>
      <c r="I78" s="191"/>
      <c r="J78" s="190"/>
      <c r="K78" s="191"/>
      <c r="L78" s="190"/>
      <c r="M78" s="207"/>
      <c r="N78" s="190"/>
      <c r="O78" s="207"/>
      <c r="P78" s="190"/>
      <c r="Q78" s="207"/>
      <c r="R78" s="192"/>
      <c r="S78" s="402"/>
      <c r="T78" s="403"/>
      <c r="U78" s="439"/>
      <c r="V78" s="441">
        <f ca="1">Table66[[#This Row],[Year 6 (Specified in RFO) - N/A]]-Table66[[#This Row],[Column1]]</f>
        <v>0</v>
      </c>
    </row>
    <row r="79" spans="1:22" ht="16.5" thickBot="1">
      <c r="A79" s="227"/>
      <c r="B79" s="227"/>
      <c r="C79" s="227"/>
      <c r="D79" s="320"/>
      <c r="E79" s="320"/>
      <c r="F79" s="190"/>
      <c r="G79" s="191"/>
      <c r="H79" s="190"/>
      <c r="I79" s="191"/>
      <c r="J79" s="190"/>
      <c r="K79" s="191"/>
      <c r="L79" s="190"/>
      <c r="M79" s="207"/>
      <c r="N79" s="190"/>
      <c r="O79" s="207"/>
      <c r="P79" s="190"/>
      <c r="Q79" s="207"/>
      <c r="R79" s="192"/>
      <c r="S79" s="402"/>
      <c r="T79" s="403"/>
      <c r="U79" s="439"/>
      <c r="V79" s="441">
        <f ca="1">Table66[[#This Row],[Year 6 (Specified in RFO) - N/A]]-Table66[[#This Row],[Column1]]</f>
        <v>0</v>
      </c>
    </row>
    <row r="80" spans="1:22" ht="16.5" thickBot="1">
      <c r="A80" s="227"/>
      <c r="B80" s="319"/>
      <c r="C80" s="319"/>
      <c r="D80" s="320"/>
      <c r="E80" s="320"/>
      <c r="F80" s="190"/>
      <c r="G80" s="191"/>
      <c r="H80" s="190"/>
      <c r="I80" s="191"/>
      <c r="J80" s="190"/>
      <c r="K80" s="191"/>
      <c r="L80" s="190"/>
      <c r="M80" s="207"/>
      <c r="N80" s="190"/>
      <c r="O80" s="207"/>
      <c r="P80" s="190"/>
      <c r="Q80" s="207"/>
      <c r="R80" s="192"/>
      <c r="S80" s="402"/>
      <c r="T80" s="403"/>
      <c r="U80" s="439"/>
      <c r="V80" s="441">
        <f ca="1">Table66[[#This Row],[Year 6 (Specified in RFO) - N/A]]-Table66[[#This Row],[Column1]]</f>
        <v>0</v>
      </c>
    </row>
    <row r="81" spans="1:22" ht="16.5" thickBot="1">
      <c r="A81" s="227"/>
      <c r="B81" s="319"/>
      <c r="C81" s="319"/>
      <c r="D81" s="320"/>
      <c r="E81" s="320"/>
      <c r="F81" s="190"/>
      <c r="G81" s="191"/>
      <c r="H81" s="190"/>
      <c r="I81" s="191"/>
      <c r="J81" s="190"/>
      <c r="K81" s="191"/>
      <c r="L81" s="190"/>
      <c r="M81" s="207"/>
      <c r="N81" s="190"/>
      <c r="O81" s="207"/>
      <c r="P81" s="190"/>
      <c r="Q81" s="207"/>
      <c r="R81" s="192"/>
      <c r="S81" s="402"/>
      <c r="T81" s="403"/>
      <c r="U81" s="439"/>
      <c r="V81" s="441">
        <f ca="1">Table66[[#This Row],[Year 6 (Specified in RFO) - N/A]]-Table66[[#This Row],[Column1]]</f>
        <v>0</v>
      </c>
    </row>
    <row r="82" spans="1:22" ht="16.5" thickBot="1">
      <c r="A82" s="227"/>
      <c r="B82" s="227"/>
      <c r="C82" s="227"/>
      <c r="D82" s="320"/>
      <c r="E82" s="320"/>
      <c r="F82" s="190"/>
      <c r="G82" s="191"/>
      <c r="H82" s="190"/>
      <c r="I82" s="191"/>
      <c r="J82" s="190"/>
      <c r="K82" s="191"/>
      <c r="L82" s="190"/>
      <c r="M82" s="207"/>
      <c r="N82" s="190"/>
      <c r="O82" s="207"/>
      <c r="P82" s="190"/>
      <c r="Q82" s="207"/>
      <c r="R82" s="192"/>
      <c r="S82" s="402"/>
      <c r="T82" s="403"/>
      <c r="U82" s="439"/>
      <c r="V82" s="441">
        <f ca="1">Table66[[#This Row],[Year 6 (Specified in RFO) - N/A]]-Table66[[#This Row],[Column1]]</f>
        <v>0</v>
      </c>
    </row>
    <row r="83" spans="1:22" ht="16.5" thickBot="1">
      <c r="A83" s="227"/>
      <c r="B83" s="319"/>
      <c r="C83" s="319"/>
      <c r="D83" s="320"/>
      <c r="E83" s="320"/>
      <c r="F83" s="190"/>
      <c r="G83" s="191"/>
      <c r="H83" s="190"/>
      <c r="I83" s="191"/>
      <c r="J83" s="190"/>
      <c r="K83" s="191"/>
      <c r="L83" s="190"/>
      <c r="M83" s="207"/>
      <c r="N83" s="190"/>
      <c r="O83" s="207"/>
      <c r="P83" s="190"/>
      <c r="Q83" s="207"/>
      <c r="R83" s="192"/>
      <c r="S83" s="402"/>
      <c r="T83" s="403"/>
      <c r="U83" s="439"/>
      <c r="V83" s="441">
        <f ca="1">Table66[[#This Row],[Year 6 (Specified in RFO) - N/A]]-Table66[[#This Row],[Column1]]</f>
        <v>0</v>
      </c>
    </row>
    <row r="84" spans="1:22" ht="16.5" thickBot="1">
      <c r="A84" s="227"/>
      <c r="B84" s="319"/>
      <c r="C84" s="319"/>
      <c r="D84" s="320"/>
      <c r="E84" s="320"/>
      <c r="F84" s="190"/>
      <c r="G84" s="191"/>
      <c r="H84" s="190"/>
      <c r="I84" s="191"/>
      <c r="J84" s="190"/>
      <c r="K84" s="191"/>
      <c r="L84" s="190"/>
      <c r="M84" s="207"/>
      <c r="N84" s="190"/>
      <c r="O84" s="207"/>
      <c r="P84" s="190"/>
      <c r="Q84" s="207"/>
      <c r="R84" s="192"/>
      <c r="S84" s="402"/>
      <c r="T84" s="403"/>
      <c r="U84" s="439"/>
      <c r="V84" s="441">
        <f ca="1">Table66[[#This Row],[Year 6 (Specified in RFO) - N/A]]-Table66[[#This Row],[Column1]]</f>
        <v>0</v>
      </c>
    </row>
    <row r="85" spans="1:22" ht="16.5" thickBot="1">
      <c r="A85" s="227"/>
      <c r="B85" s="227"/>
      <c r="C85" s="227"/>
      <c r="D85" s="320"/>
      <c r="E85" s="320"/>
      <c r="F85" s="190"/>
      <c r="G85" s="191"/>
      <c r="H85" s="190"/>
      <c r="I85" s="191"/>
      <c r="J85" s="190"/>
      <c r="K85" s="191"/>
      <c r="L85" s="190"/>
      <c r="M85" s="207"/>
      <c r="N85" s="190"/>
      <c r="O85" s="207"/>
      <c r="P85" s="190"/>
      <c r="Q85" s="207"/>
      <c r="R85" s="192"/>
      <c r="S85" s="402"/>
      <c r="T85" s="403"/>
      <c r="U85" s="439"/>
      <c r="V85" s="441">
        <f ca="1">Table66[[#This Row],[Year 6 (Specified in RFO) - N/A]]-Table66[[#This Row],[Column1]]</f>
        <v>0</v>
      </c>
    </row>
    <row r="86" spans="1:22" ht="16.5" thickBot="1">
      <c r="A86" s="227"/>
      <c r="B86" s="319"/>
      <c r="C86" s="319"/>
      <c r="D86" s="320"/>
      <c r="E86" s="320"/>
      <c r="F86" s="190"/>
      <c r="G86" s="191"/>
      <c r="H86" s="190"/>
      <c r="I86" s="191"/>
      <c r="J86" s="190"/>
      <c r="K86" s="191"/>
      <c r="L86" s="190"/>
      <c r="M86" s="207"/>
      <c r="N86" s="190"/>
      <c r="O86" s="207"/>
      <c r="P86" s="190"/>
      <c r="Q86" s="207"/>
      <c r="R86" s="192"/>
      <c r="S86" s="402"/>
      <c r="T86" s="403"/>
      <c r="U86" s="439"/>
      <c r="V86" s="441">
        <f ca="1">Table66[[#This Row],[Year 6 (Specified in RFO) - N/A]]-Table66[[#This Row],[Column1]]</f>
        <v>0</v>
      </c>
    </row>
    <row r="87" spans="1:22" ht="16.5" thickBot="1">
      <c r="A87" s="227"/>
      <c r="B87" s="319"/>
      <c r="C87" s="319"/>
      <c r="D87" s="320"/>
      <c r="E87" s="320"/>
      <c r="F87" s="190"/>
      <c r="G87" s="191"/>
      <c r="H87" s="190"/>
      <c r="I87" s="191"/>
      <c r="J87" s="190"/>
      <c r="K87" s="191"/>
      <c r="L87" s="190"/>
      <c r="M87" s="207"/>
      <c r="N87" s="190"/>
      <c r="O87" s="207"/>
      <c r="P87" s="190"/>
      <c r="Q87" s="207"/>
      <c r="R87" s="192"/>
      <c r="S87" s="402"/>
      <c r="T87" s="403"/>
      <c r="U87" s="439"/>
      <c r="V87" s="441">
        <f ca="1">Table66[[#This Row],[Year 6 (Specified in RFO) - N/A]]-Table66[[#This Row],[Column1]]</f>
        <v>0</v>
      </c>
    </row>
    <row r="88" spans="1:22" ht="16.5" thickBot="1">
      <c r="A88" s="227"/>
      <c r="B88" s="227"/>
      <c r="C88" s="227"/>
      <c r="D88" s="320"/>
      <c r="E88" s="320"/>
      <c r="F88" s="190"/>
      <c r="G88" s="191"/>
      <c r="H88" s="190"/>
      <c r="I88" s="191"/>
      <c r="J88" s="190"/>
      <c r="K88" s="191"/>
      <c r="L88" s="190"/>
      <c r="M88" s="207"/>
      <c r="N88" s="190"/>
      <c r="O88" s="207"/>
      <c r="P88" s="190"/>
      <c r="Q88" s="207"/>
      <c r="R88" s="192"/>
      <c r="S88" s="402"/>
      <c r="T88" s="403"/>
      <c r="U88" s="439"/>
      <c r="V88" s="441">
        <f ca="1">Table66[[#This Row],[Year 6 (Specified in RFO) - N/A]]-Table66[[#This Row],[Column1]]</f>
        <v>0</v>
      </c>
    </row>
    <row r="89" spans="1:22" ht="16.5" thickBot="1">
      <c r="A89" s="227"/>
      <c r="B89" s="319"/>
      <c r="C89" s="319"/>
      <c r="D89" s="320"/>
      <c r="E89" s="320"/>
      <c r="F89" s="190"/>
      <c r="G89" s="191"/>
      <c r="H89" s="190"/>
      <c r="I89" s="191"/>
      <c r="J89" s="190"/>
      <c r="K89" s="191"/>
      <c r="L89" s="190"/>
      <c r="M89" s="207"/>
      <c r="N89" s="190"/>
      <c r="O89" s="207"/>
      <c r="P89" s="190"/>
      <c r="Q89" s="207"/>
      <c r="R89" s="192"/>
      <c r="S89" s="402"/>
      <c r="T89" s="403"/>
      <c r="U89" s="439"/>
      <c r="V89" s="441">
        <f ca="1">Table66[[#This Row],[Year 6 (Specified in RFO) - N/A]]-Table66[[#This Row],[Column1]]</f>
        <v>0</v>
      </c>
    </row>
    <row r="90" spans="1:22" ht="16.5" thickBot="1">
      <c r="A90" s="227"/>
      <c r="B90" s="319"/>
      <c r="C90" s="319"/>
      <c r="D90" s="320"/>
      <c r="E90" s="320"/>
      <c r="F90" s="190"/>
      <c r="G90" s="191"/>
      <c r="H90" s="190"/>
      <c r="I90" s="191"/>
      <c r="J90" s="190"/>
      <c r="K90" s="191"/>
      <c r="L90" s="190"/>
      <c r="M90" s="207"/>
      <c r="N90" s="190"/>
      <c r="O90" s="207"/>
      <c r="P90" s="190"/>
      <c r="Q90" s="207"/>
      <c r="R90" s="192"/>
      <c r="S90" s="402"/>
      <c r="T90" s="403"/>
      <c r="U90" s="439"/>
      <c r="V90" s="441">
        <f ca="1">Table66[[#This Row],[Year 6 (Specified in RFO) - N/A]]-Table66[[#This Row],[Column1]]</f>
        <v>0</v>
      </c>
    </row>
    <row r="91" spans="1:22" ht="16.5" thickBot="1">
      <c r="A91" s="227"/>
      <c r="B91" s="227"/>
      <c r="C91" s="227"/>
      <c r="D91" s="320"/>
      <c r="E91" s="320"/>
      <c r="F91" s="190"/>
      <c r="G91" s="191"/>
      <c r="H91" s="190"/>
      <c r="I91" s="191"/>
      <c r="J91" s="190"/>
      <c r="K91" s="191"/>
      <c r="L91" s="190"/>
      <c r="M91" s="207"/>
      <c r="N91" s="190"/>
      <c r="O91" s="207"/>
      <c r="P91" s="190"/>
      <c r="Q91" s="207"/>
      <c r="R91" s="192"/>
      <c r="S91" s="402"/>
      <c r="T91" s="403"/>
      <c r="U91" s="439"/>
      <c r="V91" s="441">
        <f ca="1">Table66[[#This Row],[Year 6 (Specified in RFO) - N/A]]-Table66[[#This Row],[Column1]]</f>
        <v>0</v>
      </c>
    </row>
    <row r="92" spans="1:22" ht="16.5" thickBot="1">
      <c r="A92" s="227"/>
      <c r="B92" s="319"/>
      <c r="C92" s="319"/>
      <c r="D92" s="320"/>
      <c r="E92" s="320"/>
      <c r="F92" s="190"/>
      <c r="G92" s="191"/>
      <c r="H92" s="190"/>
      <c r="I92" s="191"/>
      <c r="J92" s="190"/>
      <c r="K92" s="191"/>
      <c r="L92" s="190"/>
      <c r="M92" s="207"/>
      <c r="N92" s="190"/>
      <c r="O92" s="207"/>
      <c r="P92" s="190"/>
      <c r="Q92" s="207"/>
      <c r="R92" s="192"/>
      <c r="S92" s="402"/>
      <c r="T92" s="403"/>
      <c r="U92" s="439"/>
      <c r="V92" s="441">
        <f ca="1">Table66[[#This Row],[Year 6 (Specified in RFO) - N/A]]-Table66[[#This Row],[Column1]]</f>
        <v>0</v>
      </c>
    </row>
    <row r="93" spans="1:22" ht="16.5" thickBot="1">
      <c r="A93" s="227"/>
      <c r="B93" s="319"/>
      <c r="C93" s="319"/>
      <c r="D93" s="320"/>
      <c r="E93" s="320"/>
      <c r="F93" s="190"/>
      <c r="G93" s="191"/>
      <c r="H93" s="190"/>
      <c r="I93" s="191"/>
      <c r="J93" s="190"/>
      <c r="K93" s="191"/>
      <c r="L93" s="190"/>
      <c r="M93" s="207"/>
      <c r="N93" s="190"/>
      <c r="O93" s="207"/>
      <c r="P93" s="190"/>
      <c r="Q93" s="207"/>
      <c r="R93" s="192"/>
      <c r="S93" s="402"/>
      <c r="T93" s="403"/>
      <c r="U93" s="439"/>
      <c r="V93" s="441">
        <f ca="1">Table66[[#This Row],[Year 6 (Specified in RFO) - N/A]]-Table66[[#This Row],[Column1]]</f>
        <v>0</v>
      </c>
    </row>
    <row r="94" spans="1:22" ht="16.5" thickBot="1">
      <c r="A94" s="227"/>
      <c r="B94" s="227"/>
      <c r="C94" s="227"/>
      <c r="D94" s="320"/>
      <c r="E94" s="320"/>
      <c r="F94" s="190"/>
      <c r="G94" s="191"/>
      <c r="H94" s="190"/>
      <c r="I94" s="191"/>
      <c r="J94" s="190"/>
      <c r="K94" s="191"/>
      <c r="L94" s="190"/>
      <c r="M94" s="207"/>
      <c r="N94" s="190"/>
      <c r="O94" s="207"/>
      <c r="P94" s="190"/>
      <c r="Q94" s="207"/>
      <c r="R94" s="192"/>
      <c r="S94" s="402"/>
      <c r="T94" s="403"/>
      <c r="U94" s="439"/>
      <c r="V94" s="441">
        <f ca="1">Table66[[#This Row],[Year 6 (Specified in RFO) - N/A]]-Table66[[#This Row],[Column1]]</f>
        <v>0</v>
      </c>
    </row>
    <row r="95" spans="1:22" ht="16.5" thickBot="1">
      <c r="A95" s="227"/>
      <c r="B95" s="319"/>
      <c r="C95" s="319"/>
      <c r="D95" s="320"/>
      <c r="E95" s="320"/>
      <c r="F95" s="190"/>
      <c r="G95" s="191"/>
      <c r="H95" s="190"/>
      <c r="I95" s="191"/>
      <c r="J95" s="190"/>
      <c r="K95" s="191"/>
      <c r="L95" s="190"/>
      <c r="M95" s="207"/>
      <c r="N95" s="190"/>
      <c r="O95" s="207"/>
      <c r="P95" s="190"/>
      <c r="Q95" s="207"/>
      <c r="R95" s="192"/>
      <c r="S95" s="402"/>
      <c r="T95" s="403"/>
      <c r="U95" s="439"/>
      <c r="V95" s="441">
        <f ca="1">Table66[[#This Row],[Year 6 (Specified in RFO) - N/A]]-Table66[[#This Row],[Column1]]</f>
        <v>0</v>
      </c>
    </row>
    <row r="96" spans="1:22" ht="16.5" thickBot="1">
      <c r="A96" s="227"/>
      <c r="B96" s="319"/>
      <c r="C96" s="319"/>
      <c r="D96" s="320"/>
      <c r="E96" s="320"/>
      <c r="F96" s="190"/>
      <c r="G96" s="191"/>
      <c r="H96" s="190"/>
      <c r="I96" s="191"/>
      <c r="J96" s="190"/>
      <c r="K96" s="191"/>
      <c r="L96" s="190"/>
      <c r="M96" s="207"/>
      <c r="N96" s="190"/>
      <c r="O96" s="207"/>
      <c r="P96" s="190"/>
      <c r="Q96" s="207"/>
      <c r="R96" s="192"/>
      <c r="S96" s="402"/>
      <c r="T96" s="403"/>
      <c r="U96" s="439"/>
      <c r="V96" s="441">
        <f ca="1">Table66[[#This Row],[Year 6 (Specified in RFO) - N/A]]-Table66[[#This Row],[Column1]]</f>
        <v>0</v>
      </c>
    </row>
    <row r="97" spans="1:22" ht="16.5" thickBot="1">
      <c r="A97" s="227"/>
      <c r="B97" s="227"/>
      <c r="C97" s="227"/>
      <c r="D97" s="320"/>
      <c r="E97" s="320"/>
      <c r="F97" s="190"/>
      <c r="G97" s="191"/>
      <c r="H97" s="190"/>
      <c r="I97" s="191"/>
      <c r="J97" s="190"/>
      <c r="K97" s="191"/>
      <c r="L97" s="190"/>
      <c r="M97" s="207"/>
      <c r="N97" s="190"/>
      <c r="O97" s="207"/>
      <c r="P97" s="190"/>
      <c r="Q97" s="207"/>
      <c r="R97" s="192"/>
      <c r="S97" s="402"/>
      <c r="T97" s="403"/>
      <c r="U97" s="439"/>
      <c r="V97" s="441">
        <f ca="1">Table66[[#This Row],[Year 6 (Specified in RFO) - N/A]]-Table66[[#This Row],[Column1]]</f>
        <v>0</v>
      </c>
    </row>
    <row r="98" spans="1:22" ht="16.5" thickBot="1">
      <c r="A98" s="227"/>
      <c r="B98" s="319"/>
      <c r="C98" s="319"/>
      <c r="D98" s="320"/>
      <c r="E98" s="320"/>
      <c r="F98" s="190"/>
      <c r="G98" s="191"/>
      <c r="H98" s="190"/>
      <c r="I98" s="191"/>
      <c r="J98" s="190"/>
      <c r="K98" s="191"/>
      <c r="L98" s="190"/>
      <c r="M98" s="207"/>
      <c r="N98" s="190"/>
      <c r="O98" s="207"/>
      <c r="P98" s="190"/>
      <c r="Q98" s="207"/>
      <c r="R98" s="192"/>
      <c r="S98" s="402"/>
      <c r="T98" s="403"/>
      <c r="U98" s="439"/>
      <c r="V98" s="441">
        <f ca="1">Table66[[#This Row],[Year 6 (Specified in RFO) - N/A]]-Table66[[#This Row],[Column1]]</f>
        <v>0</v>
      </c>
    </row>
    <row r="99" spans="1:22" s="208" customFormat="1" ht="16.5" thickBot="1">
      <c r="A99" s="227"/>
      <c r="B99" s="319"/>
      <c r="C99" s="319"/>
      <c r="D99" s="320"/>
      <c r="E99" s="320"/>
      <c r="F99" s="190"/>
      <c r="G99" s="191"/>
      <c r="H99" s="190"/>
      <c r="I99" s="191"/>
      <c r="J99" s="190"/>
      <c r="K99" s="191"/>
      <c r="L99" s="190"/>
      <c r="M99" s="207"/>
      <c r="N99" s="190"/>
      <c r="O99" s="207"/>
      <c r="P99" s="190"/>
      <c r="Q99" s="207"/>
      <c r="R99" s="192"/>
      <c r="S99" s="402"/>
      <c r="T99" s="403"/>
      <c r="U99" s="439"/>
      <c r="V99" s="441">
        <f ca="1">Table66[[#This Row],[Year 6 (Specified in RFO) - N/A]]-Table66[[#This Row],[Column1]]</f>
        <v>0</v>
      </c>
    </row>
    <row r="100" spans="1:22" ht="16.5" thickBot="1">
      <c r="A100" s="227"/>
      <c r="B100" s="227"/>
      <c r="C100" s="227"/>
      <c r="D100" s="320"/>
      <c r="E100" s="320"/>
      <c r="F100" s="190"/>
      <c r="G100" s="191"/>
      <c r="H100" s="190"/>
      <c r="I100" s="191"/>
      <c r="J100" s="190"/>
      <c r="K100" s="191"/>
      <c r="L100" s="190"/>
      <c r="M100" s="207"/>
      <c r="N100" s="190"/>
      <c r="O100" s="207"/>
      <c r="P100" s="190"/>
      <c r="Q100" s="207"/>
      <c r="R100" s="192"/>
      <c r="S100" s="402"/>
      <c r="T100" s="403"/>
      <c r="U100" s="439"/>
      <c r="V100" s="441">
        <f ca="1">Table66[[#This Row],[Year 6 (Specified in RFO) - N/A]]-Table66[[#This Row],[Column1]]</f>
        <v>0</v>
      </c>
    </row>
    <row r="101" spans="1:22" ht="16.5" thickBot="1">
      <c r="A101" s="227"/>
      <c r="B101" s="319"/>
      <c r="C101" s="319"/>
      <c r="D101" s="320"/>
      <c r="E101" s="320"/>
      <c r="F101" s="190"/>
      <c r="G101" s="191"/>
      <c r="H101" s="190"/>
      <c r="I101" s="191"/>
      <c r="J101" s="190"/>
      <c r="K101" s="191"/>
      <c r="L101" s="190"/>
      <c r="M101" s="207"/>
      <c r="N101" s="190"/>
      <c r="O101" s="207"/>
      <c r="P101" s="190"/>
      <c r="Q101" s="207"/>
      <c r="R101" s="192"/>
      <c r="S101" s="402"/>
      <c r="T101" s="403"/>
      <c r="U101" s="439"/>
      <c r="V101" s="441">
        <f ca="1">Table66[[#This Row],[Year 6 (Specified in RFO) - N/A]]-Table66[[#This Row],[Column1]]</f>
        <v>0</v>
      </c>
    </row>
    <row r="102" spans="1:22" ht="16.5" thickBot="1">
      <c r="A102" s="227"/>
      <c r="B102" s="319"/>
      <c r="C102" s="319"/>
      <c r="D102" s="320"/>
      <c r="E102" s="320"/>
      <c r="F102" s="190"/>
      <c r="G102" s="191"/>
      <c r="H102" s="190"/>
      <c r="I102" s="191"/>
      <c r="J102" s="190"/>
      <c r="K102" s="191"/>
      <c r="L102" s="190"/>
      <c r="M102" s="207"/>
      <c r="N102" s="190"/>
      <c r="O102" s="207"/>
      <c r="P102" s="190"/>
      <c r="Q102" s="207"/>
      <c r="R102" s="192"/>
      <c r="S102" s="402"/>
      <c r="T102" s="403"/>
      <c r="U102" s="439"/>
      <c r="V102" s="441">
        <f ca="1">Table66[[#This Row],[Year 6 (Specified in RFO) - N/A]]-Table66[[#This Row],[Column1]]</f>
        <v>0</v>
      </c>
    </row>
    <row r="103" spans="1:22" ht="16.5" thickBot="1">
      <c r="A103" s="227"/>
      <c r="B103" s="227"/>
      <c r="C103" s="227"/>
      <c r="D103" s="320"/>
      <c r="E103" s="320"/>
      <c r="F103" s="190"/>
      <c r="G103" s="191"/>
      <c r="H103" s="190"/>
      <c r="I103" s="191"/>
      <c r="J103" s="190"/>
      <c r="K103" s="191"/>
      <c r="L103" s="190"/>
      <c r="M103" s="207"/>
      <c r="N103" s="190"/>
      <c r="O103" s="207"/>
      <c r="P103" s="190"/>
      <c r="Q103" s="207"/>
      <c r="R103" s="192"/>
      <c r="S103" s="402"/>
      <c r="T103" s="403"/>
      <c r="U103" s="439"/>
      <c r="V103" s="441">
        <f ca="1">Table66[[#This Row],[Year 6 (Specified in RFO) - N/A]]-Table66[[#This Row],[Column1]]</f>
        <v>0</v>
      </c>
    </row>
    <row r="104" spans="1:22" ht="16.5" thickBot="1">
      <c r="A104" s="227"/>
      <c r="B104" s="319"/>
      <c r="C104" s="319"/>
      <c r="D104" s="320"/>
      <c r="E104" s="320"/>
      <c r="F104" s="190"/>
      <c r="G104" s="191"/>
      <c r="H104" s="190"/>
      <c r="I104" s="191"/>
      <c r="J104" s="190"/>
      <c r="K104" s="191"/>
      <c r="L104" s="190"/>
      <c r="M104" s="207"/>
      <c r="N104" s="190"/>
      <c r="O104" s="207"/>
      <c r="P104" s="190"/>
      <c r="Q104" s="207"/>
      <c r="R104" s="192"/>
      <c r="S104" s="402"/>
      <c r="T104" s="403"/>
      <c r="U104" s="439"/>
      <c r="V104" s="441">
        <f ca="1">Table66[[#This Row],[Year 6 (Specified in RFO) - N/A]]-Table66[[#This Row],[Column1]]</f>
        <v>0</v>
      </c>
    </row>
    <row r="105" spans="1:22" ht="16.5" thickBot="1">
      <c r="A105" s="227"/>
      <c r="B105" s="319"/>
      <c r="C105" s="319"/>
      <c r="D105" s="320"/>
      <c r="E105" s="320"/>
      <c r="F105" s="190"/>
      <c r="G105" s="191"/>
      <c r="H105" s="190"/>
      <c r="I105" s="191"/>
      <c r="J105" s="190"/>
      <c r="K105" s="191"/>
      <c r="L105" s="190"/>
      <c r="M105" s="207"/>
      <c r="N105" s="190"/>
      <c r="O105" s="207"/>
      <c r="P105" s="190"/>
      <c r="Q105" s="207"/>
      <c r="R105" s="192"/>
      <c r="S105" s="402"/>
      <c r="T105" s="403"/>
      <c r="U105" s="439"/>
      <c r="V105" s="441">
        <f ca="1">Table66[[#This Row],[Year 6 (Specified in RFO) - N/A]]-Table66[[#This Row],[Column1]]</f>
        <v>0</v>
      </c>
    </row>
    <row r="106" spans="1:22" ht="16.5" thickBot="1">
      <c r="A106" s="227"/>
      <c r="B106" s="227"/>
      <c r="C106" s="227"/>
      <c r="D106" s="320"/>
      <c r="E106" s="320"/>
      <c r="F106" s="190"/>
      <c r="G106" s="191"/>
      <c r="H106" s="190"/>
      <c r="I106" s="191"/>
      <c r="J106" s="190"/>
      <c r="K106" s="191"/>
      <c r="L106" s="190"/>
      <c r="M106" s="207"/>
      <c r="N106" s="190"/>
      <c r="O106" s="207"/>
      <c r="P106" s="190"/>
      <c r="Q106" s="207"/>
      <c r="R106" s="192"/>
      <c r="S106" s="402"/>
      <c r="T106" s="403"/>
      <c r="U106" s="439"/>
      <c r="V106" s="441">
        <f ca="1">Table66[[#This Row],[Year 6 (Specified in RFO) - N/A]]-Table66[[#This Row],[Column1]]</f>
        <v>0</v>
      </c>
    </row>
    <row r="107" spans="1:22" ht="16.5" thickBot="1">
      <c r="A107" s="227"/>
      <c r="B107" s="319"/>
      <c r="C107" s="319"/>
      <c r="D107" s="320"/>
      <c r="E107" s="320"/>
      <c r="F107" s="190"/>
      <c r="G107" s="191"/>
      <c r="H107" s="190"/>
      <c r="I107" s="191"/>
      <c r="J107" s="190"/>
      <c r="K107" s="191"/>
      <c r="L107" s="190"/>
      <c r="M107" s="207"/>
      <c r="N107" s="190"/>
      <c r="O107" s="207"/>
      <c r="P107" s="190"/>
      <c r="Q107" s="207"/>
      <c r="R107" s="192"/>
      <c r="S107" s="402"/>
      <c r="T107" s="403"/>
      <c r="U107" s="439"/>
      <c r="V107" s="441">
        <f ca="1">Table66[[#This Row],[Year 6 (Specified in RFO) - N/A]]-Table66[[#This Row],[Column1]]</f>
        <v>0</v>
      </c>
    </row>
    <row r="108" spans="1:22" ht="16.5" thickBot="1">
      <c r="A108" s="227"/>
      <c r="B108" s="319"/>
      <c r="C108" s="319"/>
      <c r="D108" s="320"/>
      <c r="E108" s="320"/>
      <c r="F108" s="190"/>
      <c r="G108" s="191"/>
      <c r="H108" s="190"/>
      <c r="I108" s="191"/>
      <c r="J108" s="190"/>
      <c r="K108" s="191"/>
      <c r="L108" s="190"/>
      <c r="M108" s="207"/>
      <c r="N108" s="190"/>
      <c r="O108" s="207"/>
      <c r="P108" s="190"/>
      <c r="Q108" s="207"/>
      <c r="R108" s="192"/>
      <c r="S108" s="402"/>
      <c r="T108" s="403"/>
      <c r="U108" s="439"/>
      <c r="V108" s="441">
        <f ca="1">Table66[[#This Row],[Year 6 (Specified in RFO) - N/A]]-Table66[[#This Row],[Column1]]</f>
        <v>0</v>
      </c>
    </row>
    <row r="109" spans="1:22" ht="16.5" thickBot="1">
      <c r="A109" s="227"/>
      <c r="B109" s="227"/>
      <c r="C109" s="227"/>
      <c r="D109" s="320"/>
      <c r="E109" s="320"/>
      <c r="F109" s="190"/>
      <c r="G109" s="191"/>
      <c r="H109" s="190"/>
      <c r="I109" s="191"/>
      <c r="J109" s="190"/>
      <c r="K109" s="191"/>
      <c r="L109" s="190"/>
      <c r="M109" s="207"/>
      <c r="N109" s="190"/>
      <c r="O109" s="207"/>
      <c r="P109" s="190"/>
      <c r="Q109" s="207"/>
      <c r="R109" s="192"/>
      <c r="S109" s="402"/>
      <c r="T109" s="403"/>
      <c r="U109" s="439"/>
      <c r="V109" s="441">
        <f ca="1">Table66[[#This Row],[Year 6 (Specified in RFO) - N/A]]-Table66[[#This Row],[Column1]]</f>
        <v>0</v>
      </c>
    </row>
    <row r="110" spans="1:22" ht="16.5" thickBot="1">
      <c r="A110" s="227"/>
      <c r="B110" s="319"/>
      <c r="C110" s="319"/>
      <c r="D110" s="320"/>
      <c r="E110" s="320"/>
      <c r="F110" s="190"/>
      <c r="G110" s="191"/>
      <c r="H110" s="190"/>
      <c r="I110" s="191"/>
      <c r="J110" s="190"/>
      <c r="K110" s="191"/>
      <c r="L110" s="190"/>
      <c r="M110" s="207"/>
      <c r="N110" s="190"/>
      <c r="O110" s="207"/>
      <c r="P110" s="190"/>
      <c r="Q110" s="207"/>
      <c r="R110" s="192"/>
      <c r="S110" s="402"/>
      <c r="T110" s="403"/>
      <c r="U110" s="439"/>
      <c r="V110" s="441">
        <f ca="1">Table66[[#This Row],[Year 6 (Specified in RFO) - N/A]]-Table66[[#This Row],[Column1]]</f>
        <v>0</v>
      </c>
    </row>
    <row r="111" spans="1:22" ht="16.5" thickBot="1">
      <c r="A111" s="319"/>
      <c r="B111" s="319"/>
      <c r="C111" s="319"/>
      <c r="D111" s="320"/>
      <c r="E111" s="320"/>
      <c r="F111" s="190"/>
      <c r="G111" s="191"/>
      <c r="H111" s="190"/>
      <c r="I111" s="191"/>
      <c r="J111" s="190"/>
      <c r="K111" s="191"/>
      <c r="L111" s="190"/>
      <c r="M111" s="191"/>
      <c r="N111" s="190"/>
      <c r="O111" s="191"/>
      <c r="P111" s="190"/>
      <c r="Q111" s="207"/>
      <c r="R111" s="192"/>
      <c r="S111" s="402"/>
      <c r="T111" s="403"/>
      <c r="U111" s="439"/>
      <c r="V111" s="441">
        <f ca="1">Table66[[#This Row],[Year 6 (Specified in RFO) - N/A]]-Table66[[#This Row],[Column1]]</f>
        <v>0</v>
      </c>
    </row>
    <row r="112" spans="1:22" ht="16.5" thickBot="1">
      <c r="A112" s="227"/>
      <c r="B112" s="227"/>
      <c r="C112" s="227"/>
      <c r="D112" s="231"/>
      <c r="E112" s="231"/>
      <c r="F112" s="190"/>
      <c r="G112" s="191"/>
      <c r="H112" s="190"/>
      <c r="I112" s="191"/>
      <c r="J112" s="190"/>
      <c r="K112" s="191"/>
      <c r="L112" s="190"/>
      <c r="M112" s="191"/>
      <c r="N112" s="190"/>
      <c r="O112" s="191"/>
      <c r="P112" s="190"/>
      <c r="Q112" s="207"/>
      <c r="R112" s="192"/>
      <c r="S112" s="402"/>
      <c r="T112" s="403"/>
      <c r="U112" s="439"/>
      <c r="V112" s="441">
        <f ca="1">Table66[[#This Row],[Year 6 (Specified in RFO) - N/A]]-Table66[[#This Row],[Column1]]</f>
        <v>0</v>
      </c>
    </row>
    <row r="113" spans="1:22" ht="16.5" thickBot="1">
      <c r="A113" s="227"/>
      <c r="B113" s="319"/>
      <c r="C113" s="319"/>
      <c r="D113" s="320"/>
      <c r="E113" s="320"/>
      <c r="F113" s="190"/>
      <c r="G113" s="191"/>
      <c r="H113" s="190"/>
      <c r="I113" s="191"/>
      <c r="J113" s="190"/>
      <c r="K113" s="191"/>
      <c r="L113" s="190"/>
      <c r="M113" s="207"/>
      <c r="N113" s="190"/>
      <c r="O113" s="207"/>
      <c r="P113" s="190"/>
      <c r="Q113" s="207"/>
      <c r="R113" s="192"/>
      <c r="S113" s="402"/>
      <c r="T113" s="403"/>
      <c r="U113" s="439"/>
      <c r="V113" s="441">
        <f ca="1">Table66[[#This Row],[Year 6 (Specified in RFO) - N/A]]-Table66[[#This Row],[Column1]]</f>
        <v>0</v>
      </c>
    </row>
    <row r="114" spans="1:22" ht="16.5" thickBot="1">
      <c r="A114" s="319"/>
      <c r="B114" s="319"/>
      <c r="C114" s="319"/>
      <c r="D114" s="320"/>
      <c r="E114" s="320"/>
      <c r="F114" s="190"/>
      <c r="G114" s="191"/>
      <c r="H114" s="190"/>
      <c r="I114" s="191"/>
      <c r="J114" s="190"/>
      <c r="K114" s="191"/>
      <c r="L114" s="190"/>
      <c r="M114" s="191"/>
      <c r="N114" s="190"/>
      <c r="O114" s="191"/>
      <c r="P114" s="190"/>
      <c r="Q114" s="207"/>
      <c r="R114" s="192"/>
      <c r="S114" s="402"/>
      <c r="T114" s="403"/>
      <c r="U114" s="439"/>
      <c r="V114" s="441">
        <f ca="1">Table66[[#This Row],[Year 6 (Specified in RFO) - N/A]]-Table66[[#This Row],[Column1]]</f>
        <v>0</v>
      </c>
    </row>
    <row r="115" spans="1:22" ht="16.5" thickBot="1">
      <c r="A115" s="227"/>
      <c r="B115" s="227"/>
      <c r="C115" s="227"/>
      <c r="D115" s="231"/>
      <c r="E115" s="231"/>
      <c r="F115" s="190"/>
      <c r="G115" s="191"/>
      <c r="H115" s="190"/>
      <c r="I115" s="191"/>
      <c r="J115" s="190"/>
      <c r="K115" s="191"/>
      <c r="L115" s="190"/>
      <c r="M115" s="191"/>
      <c r="N115" s="190"/>
      <c r="O115" s="191"/>
      <c r="P115" s="190"/>
      <c r="Q115" s="207"/>
      <c r="R115" s="192"/>
      <c r="S115" s="402"/>
      <c r="T115" s="403"/>
      <c r="U115" s="439"/>
      <c r="V115" s="441">
        <f ca="1">Table66[[#This Row],[Year 6 (Specified in RFO) - N/A]]-Table66[[#This Row],[Column1]]</f>
        <v>0</v>
      </c>
    </row>
    <row r="116" spans="1:22" ht="16.5" thickBot="1">
      <c r="A116" s="227"/>
      <c r="B116" s="319"/>
      <c r="C116" s="319"/>
      <c r="D116" s="320"/>
      <c r="E116" s="320"/>
      <c r="F116" s="190"/>
      <c r="G116" s="191"/>
      <c r="H116" s="190"/>
      <c r="I116" s="191"/>
      <c r="J116" s="190"/>
      <c r="K116" s="191"/>
      <c r="L116" s="190"/>
      <c r="M116" s="207"/>
      <c r="N116" s="190"/>
      <c r="O116" s="207"/>
      <c r="P116" s="190"/>
      <c r="Q116" s="207"/>
      <c r="R116" s="192"/>
      <c r="S116" s="402"/>
      <c r="T116" s="403"/>
      <c r="U116" s="439"/>
      <c r="V116" s="441">
        <f ca="1">Table66[[#This Row],[Year 6 (Specified in RFO) - N/A]]-Table66[[#This Row],[Column1]]</f>
        <v>0</v>
      </c>
    </row>
    <row r="117" spans="1:22" ht="16.5" thickBot="1">
      <c r="A117" s="319"/>
      <c r="B117" s="319"/>
      <c r="C117" s="319"/>
      <c r="D117" s="320"/>
      <c r="E117" s="320"/>
      <c r="F117" s="190"/>
      <c r="G117" s="191"/>
      <c r="H117" s="190"/>
      <c r="I117" s="191"/>
      <c r="J117" s="190"/>
      <c r="K117" s="191"/>
      <c r="L117" s="190"/>
      <c r="M117" s="191"/>
      <c r="N117" s="190"/>
      <c r="O117" s="191"/>
      <c r="P117" s="190"/>
      <c r="Q117" s="207"/>
      <c r="R117" s="192"/>
      <c r="S117" s="402"/>
      <c r="T117" s="403"/>
      <c r="U117" s="439"/>
      <c r="V117" s="441">
        <f ca="1">Table66[[#This Row],[Year 6 (Specified in RFO) - N/A]]-Table66[[#This Row],[Column1]]</f>
        <v>0</v>
      </c>
    </row>
    <row r="118" spans="1:22" ht="16.5" thickBot="1">
      <c r="A118" s="227"/>
      <c r="B118" s="227"/>
      <c r="C118" s="227"/>
      <c r="D118" s="231"/>
      <c r="E118" s="231"/>
      <c r="F118" s="190"/>
      <c r="G118" s="191"/>
      <c r="H118" s="190"/>
      <c r="I118" s="191"/>
      <c r="J118" s="190"/>
      <c r="K118" s="191"/>
      <c r="L118" s="190"/>
      <c r="M118" s="191"/>
      <c r="N118" s="190"/>
      <c r="O118" s="191"/>
      <c r="P118" s="190"/>
      <c r="Q118" s="207"/>
      <c r="R118" s="192"/>
      <c r="S118" s="402"/>
      <c r="T118" s="403"/>
      <c r="U118" s="439"/>
      <c r="V118" s="441">
        <f ca="1">Table66[[#This Row],[Year 6 (Specified in RFO) - N/A]]-Table66[[#This Row],[Column1]]</f>
        <v>0</v>
      </c>
    </row>
    <row r="119" spans="1:22" ht="16.5" thickBot="1">
      <c r="A119" s="227"/>
      <c r="B119" s="319"/>
      <c r="C119" s="319"/>
      <c r="D119" s="320"/>
      <c r="E119" s="320"/>
      <c r="F119" s="190"/>
      <c r="G119" s="191"/>
      <c r="H119" s="190"/>
      <c r="I119" s="191"/>
      <c r="J119" s="190"/>
      <c r="K119" s="191"/>
      <c r="L119" s="190"/>
      <c r="M119" s="207"/>
      <c r="N119" s="190"/>
      <c r="O119" s="207"/>
      <c r="P119" s="190"/>
      <c r="Q119" s="207"/>
      <c r="R119" s="192"/>
      <c r="S119" s="402"/>
      <c r="T119" s="403"/>
      <c r="U119" s="439"/>
      <c r="V119" s="441">
        <f ca="1">Table66[[#This Row],[Year 6 (Specified in RFO) - N/A]]-Table66[[#This Row],[Column1]]</f>
        <v>0</v>
      </c>
    </row>
    <row r="120" spans="1:22" ht="16.5" thickBot="1">
      <c r="A120" s="319"/>
      <c r="B120" s="319"/>
      <c r="C120" s="319"/>
      <c r="D120" s="320"/>
      <c r="E120" s="320"/>
      <c r="F120" s="190"/>
      <c r="G120" s="191"/>
      <c r="H120" s="190"/>
      <c r="I120" s="191"/>
      <c r="J120" s="190"/>
      <c r="K120" s="191"/>
      <c r="L120" s="190"/>
      <c r="M120" s="191"/>
      <c r="N120" s="190"/>
      <c r="O120" s="191"/>
      <c r="P120" s="190"/>
      <c r="Q120" s="207"/>
      <c r="R120" s="192"/>
      <c r="S120" s="402"/>
      <c r="T120" s="403"/>
      <c r="U120" s="439"/>
      <c r="V120" s="441">
        <f ca="1">Table66[[#This Row],[Year 6 (Specified in RFO) - N/A]]-Table66[[#This Row],[Column1]]</f>
        <v>0</v>
      </c>
    </row>
    <row r="121" spans="1:22" ht="16.5" thickBot="1">
      <c r="A121" s="227"/>
      <c r="B121" s="227"/>
      <c r="C121" s="227"/>
      <c r="D121" s="231"/>
      <c r="E121" s="231"/>
      <c r="F121" s="190"/>
      <c r="G121" s="191"/>
      <c r="H121" s="190"/>
      <c r="I121" s="191"/>
      <c r="J121" s="190"/>
      <c r="K121" s="191"/>
      <c r="L121" s="190"/>
      <c r="M121" s="191"/>
      <c r="N121" s="190"/>
      <c r="O121" s="191"/>
      <c r="P121" s="190"/>
      <c r="Q121" s="207"/>
      <c r="R121" s="192"/>
      <c r="S121" s="402"/>
      <c r="T121" s="403"/>
      <c r="U121" s="439"/>
      <c r="V121" s="441">
        <f ca="1">Table66[[#This Row],[Year 6 (Specified in RFO) - N/A]]-Table66[[#This Row],[Column1]]</f>
        <v>0</v>
      </c>
    </row>
    <row r="122" spans="1:22" ht="16.5" thickBot="1">
      <c r="A122" s="227"/>
      <c r="B122" s="319"/>
      <c r="C122" s="319"/>
      <c r="D122" s="320"/>
      <c r="E122" s="320"/>
      <c r="F122" s="190"/>
      <c r="G122" s="191"/>
      <c r="H122" s="190"/>
      <c r="I122" s="191"/>
      <c r="J122" s="190"/>
      <c r="K122" s="191"/>
      <c r="L122" s="190"/>
      <c r="M122" s="207"/>
      <c r="N122" s="190"/>
      <c r="O122" s="207"/>
      <c r="P122" s="190"/>
      <c r="Q122" s="207"/>
      <c r="R122" s="192"/>
      <c r="S122" s="402"/>
      <c r="T122" s="403"/>
      <c r="U122" s="439"/>
      <c r="V122" s="441">
        <f ca="1">Table66[[#This Row],[Year 6 (Specified in RFO) - N/A]]-Table66[[#This Row],[Column1]]</f>
        <v>0</v>
      </c>
    </row>
    <row r="123" spans="1:22" ht="16.5" thickBot="1">
      <c r="A123" s="319"/>
      <c r="B123" s="319"/>
      <c r="C123" s="319"/>
      <c r="D123" s="320"/>
      <c r="E123" s="320"/>
      <c r="F123" s="190"/>
      <c r="G123" s="191"/>
      <c r="H123" s="190"/>
      <c r="I123" s="191"/>
      <c r="J123" s="190"/>
      <c r="K123" s="191"/>
      <c r="L123" s="190"/>
      <c r="M123" s="191"/>
      <c r="N123" s="190"/>
      <c r="O123" s="191"/>
      <c r="P123" s="190"/>
      <c r="Q123" s="207"/>
      <c r="R123" s="192"/>
      <c r="S123" s="402"/>
      <c r="T123" s="403"/>
      <c r="U123" s="439"/>
      <c r="V123" s="441">
        <f ca="1">Table66[[#This Row],[Year 6 (Specified in RFO) - N/A]]-Table66[[#This Row],[Column1]]</f>
        <v>0</v>
      </c>
    </row>
    <row r="124" spans="1:22" ht="16.5" thickBot="1">
      <c r="A124" s="227"/>
      <c r="B124" s="227"/>
      <c r="C124" s="227"/>
      <c r="D124" s="231"/>
      <c r="E124" s="231"/>
      <c r="F124" s="190"/>
      <c r="G124" s="191"/>
      <c r="H124" s="190"/>
      <c r="I124" s="191"/>
      <c r="J124" s="190"/>
      <c r="K124" s="191"/>
      <c r="L124" s="190"/>
      <c r="M124" s="191"/>
      <c r="N124" s="190"/>
      <c r="O124" s="191"/>
      <c r="P124" s="190"/>
      <c r="Q124" s="207"/>
      <c r="R124" s="192"/>
      <c r="S124" s="402"/>
      <c r="T124" s="403"/>
      <c r="U124" s="439"/>
      <c r="V124" s="441">
        <f ca="1">Table66[[#This Row],[Year 6 (Specified in RFO) - N/A]]-Table66[[#This Row],[Column1]]</f>
        <v>0</v>
      </c>
    </row>
    <row r="125" spans="1:22" ht="16.5" thickBot="1">
      <c r="A125" s="227"/>
      <c r="B125" s="319"/>
      <c r="C125" s="319"/>
      <c r="D125" s="320"/>
      <c r="E125" s="320"/>
      <c r="F125" s="190"/>
      <c r="G125" s="191"/>
      <c r="H125" s="190"/>
      <c r="I125" s="191"/>
      <c r="J125" s="190"/>
      <c r="K125" s="191"/>
      <c r="L125" s="190"/>
      <c r="M125" s="207"/>
      <c r="N125" s="190"/>
      <c r="O125" s="207"/>
      <c r="P125" s="190"/>
      <c r="Q125" s="207"/>
      <c r="R125" s="192"/>
      <c r="S125" s="402"/>
      <c r="T125" s="403"/>
      <c r="U125" s="439"/>
      <c r="V125" s="441">
        <f ca="1">Table66[[#This Row],[Year 6 (Specified in RFO) - N/A]]-Table66[[#This Row],[Column1]]</f>
        <v>0</v>
      </c>
    </row>
    <row r="126" spans="1:22" ht="16.5" thickBot="1">
      <c r="A126" s="319"/>
      <c r="B126" s="319"/>
      <c r="C126" s="319"/>
      <c r="D126" s="320"/>
      <c r="E126" s="320"/>
      <c r="F126" s="194"/>
      <c r="G126" s="191"/>
      <c r="H126" s="194"/>
      <c r="I126" s="191"/>
      <c r="J126" s="194"/>
      <c r="K126" s="191"/>
      <c r="L126" s="194"/>
      <c r="M126" s="191"/>
      <c r="N126" s="194"/>
      <c r="O126" s="191"/>
      <c r="P126" s="194"/>
      <c r="Q126" s="207"/>
      <c r="R126" s="192"/>
      <c r="S126" s="402"/>
      <c r="T126" s="403"/>
      <c r="U126" s="439"/>
      <c r="V126" s="441">
        <f ca="1">Table66[[#This Row],[Year 6 (Specified in RFO) - N/A]]-Table66[[#This Row],[Column1]]</f>
        <v>0</v>
      </c>
    </row>
    <row r="127" spans="1:22" ht="16.5" thickBot="1">
      <c r="A127" s="227"/>
      <c r="B127" s="227"/>
      <c r="C127" s="227"/>
      <c r="D127" s="231"/>
      <c r="E127" s="231"/>
      <c r="F127" s="190"/>
      <c r="G127" s="191"/>
      <c r="H127" s="190"/>
      <c r="I127" s="191"/>
      <c r="J127" s="190"/>
      <c r="K127" s="191"/>
      <c r="L127" s="190"/>
      <c r="M127" s="191"/>
      <c r="N127" s="190"/>
      <c r="O127" s="191"/>
      <c r="P127" s="190"/>
      <c r="Q127" s="207"/>
      <c r="R127" s="192"/>
      <c r="S127" s="402"/>
      <c r="T127" s="403"/>
      <c r="U127" s="439"/>
      <c r="V127" s="441">
        <f ca="1">Table66[[#This Row],[Year 6 (Specified in RFO) - N/A]]-Table66[[#This Row],[Column1]]</f>
        <v>0</v>
      </c>
    </row>
    <row r="128" spans="1:22" ht="16.5" thickBot="1">
      <c r="A128" s="227"/>
      <c r="B128" s="319"/>
      <c r="C128" s="319"/>
      <c r="D128" s="320"/>
      <c r="E128" s="320"/>
      <c r="F128" s="190"/>
      <c r="G128" s="191"/>
      <c r="H128" s="190"/>
      <c r="I128" s="191"/>
      <c r="J128" s="190"/>
      <c r="K128" s="191"/>
      <c r="L128" s="190"/>
      <c r="M128" s="207"/>
      <c r="N128" s="190"/>
      <c r="O128" s="207"/>
      <c r="P128" s="190"/>
      <c r="Q128" s="207"/>
      <c r="R128" s="192"/>
      <c r="S128" s="402"/>
      <c r="T128" s="403"/>
      <c r="U128" s="439"/>
      <c r="V128" s="441">
        <f ca="1">Table66[[#This Row],[Year 6 (Specified in RFO) - N/A]]-Table66[[#This Row],[Column1]]</f>
        <v>0</v>
      </c>
    </row>
    <row r="129" spans="1:22" ht="16.5" thickBot="1">
      <c r="A129" s="319"/>
      <c r="B129" s="319"/>
      <c r="C129" s="319"/>
      <c r="D129" s="320"/>
      <c r="E129" s="320"/>
      <c r="F129" s="190"/>
      <c r="G129" s="191"/>
      <c r="H129" s="190"/>
      <c r="I129" s="191"/>
      <c r="J129" s="190"/>
      <c r="K129" s="191"/>
      <c r="L129" s="190"/>
      <c r="M129" s="191"/>
      <c r="N129" s="190"/>
      <c r="O129" s="191"/>
      <c r="P129" s="190"/>
      <c r="Q129" s="207"/>
      <c r="R129" s="192"/>
      <c r="S129" s="402"/>
      <c r="T129" s="403"/>
      <c r="U129" s="439"/>
      <c r="V129" s="441">
        <f ca="1">Table66[[#This Row],[Year 6 (Specified in RFO) - N/A]]-Table66[[#This Row],[Column1]]</f>
        <v>0</v>
      </c>
    </row>
    <row r="130" spans="1:22" ht="16.5" thickBot="1">
      <c r="A130" s="227"/>
      <c r="B130" s="227"/>
      <c r="C130" s="227"/>
      <c r="D130" s="231"/>
      <c r="E130" s="231"/>
      <c r="F130" s="194"/>
      <c r="G1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 s="194"/>
      <c r="I1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 s="194"/>
      <c r="K1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 s="194"/>
      <c r="M130"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 s="194"/>
      <c r="O130"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 s="194"/>
      <c r="Q1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 s="192">
        <f ca="1">Table66[[#This Row],[Year 1 (Specified in RFO) - N/A]]+Table66[[#This Row],[Year 2 (Specified in RFO) - N/A]]+Table66[[#This Row],[Year 3 (Specified in RFO) - N/A]]+Table66[[#This Row],[Year 4 (Specified in RFO) - N/A]]+Table66[[#This Row],[Year 5 (Specified in RFO) - N/A]]+Table66[[#This Row],[Year 6 (Specified in RFO) - N/A]]</f>
        <v>0</v>
      </c>
      <c r="S130" s="402">
        <f ca="1">Table66[[#This Row],[Year 1  (Proposed)]]+Table66[[#This Row],[Year 2 (Proposed)]]+Table66[[#This Row],[Year 3 (Proposed)]]+Table66[[#This Row],[Year 4 (Proposed)]]+Table66[[#This Row],[Year 5 (Proposed)]]+Table66[[#This Row],[Year 6 (Proposed)]]</f>
        <v>0</v>
      </c>
      <c r="T130" s="403" t="b">
        <f ca="1">Table66[[#This Row],[Total Specifed in RFO - N/A]]=Table66[[#This Row],[Total Proposed]]</f>
        <v>1</v>
      </c>
      <c r="U130" s="439"/>
      <c r="V130" s="441">
        <f ca="1">Table66[[#This Row],[Year 6 (Specified in RFO) - N/A]]-Table66[[#This Row],[Column1]]</f>
        <v>0</v>
      </c>
    </row>
    <row r="131" spans="1:22" ht="16.5" thickBot="1">
      <c r="A131" s="227"/>
      <c r="B131" s="319"/>
      <c r="C131" s="319"/>
      <c r="D131" s="320"/>
      <c r="E131" s="320"/>
      <c r="F131" s="190"/>
      <c r="G1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 s="190"/>
      <c r="I1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 s="190"/>
      <c r="K1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 s="190"/>
      <c r="M1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 s="190"/>
      <c r="O1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 s="190"/>
      <c r="Q1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 s="192">
        <f ca="1">Table66[[#This Row],[Year 1 (Specified in RFO) - N/A]]+Table66[[#This Row],[Year 2 (Specified in RFO) - N/A]]+Table66[[#This Row],[Year 3 (Specified in RFO) - N/A]]+Table66[[#This Row],[Year 4 (Specified in RFO) - N/A]]+Table66[[#This Row],[Year 5 (Specified in RFO) - N/A]]+Table66[[#This Row],[Year 6 (Specified in RFO) - N/A]]</f>
        <v>0</v>
      </c>
      <c r="S131" s="402">
        <f ca="1">Table66[[#This Row],[Year 1  (Proposed)]]+Table66[[#This Row],[Year 2 (Proposed)]]+Table66[[#This Row],[Year 3 (Proposed)]]+Table66[[#This Row],[Year 4 (Proposed)]]+Table66[[#This Row],[Year 5 (Proposed)]]+Table66[[#This Row],[Year 6 (Proposed)]]</f>
        <v>0</v>
      </c>
      <c r="T131" s="403" t="b">
        <f ca="1">Table66[[#This Row],[Total Specifed in RFO - N/A]]=Table66[[#This Row],[Total Proposed]]</f>
        <v>1</v>
      </c>
      <c r="U131" s="439"/>
      <c r="V131" s="441">
        <f ca="1">Table66[[#This Row],[Year 6 (Specified in RFO) - N/A]]-Table66[[#This Row],[Column1]]</f>
        <v>0</v>
      </c>
    </row>
    <row r="132" spans="1:22" ht="16.5" thickBot="1">
      <c r="A132" s="319"/>
      <c r="B132" s="319"/>
      <c r="C132" s="319"/>
      <c r="D132" s="320"/>
      <c r="E132" s="320"/>
      <c r="F132" s="190"/>
      <c r="G1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 s="190"/>
      <c r="I1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 s="190"/>
      <c r="K1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 s="190"/>
      <c r="M132"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 s="190"/>
      <c r="O132"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 s="190"/>
      <c r="Q1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 s="192">
        <f ca="1">Table66[[#This Row],[Year 1 (Specified in RFO) - N/A]]+Table66[[#This Row],[Year 2 (Specified in RFO) - N/A]]+Table66[[#This Row],[Year 3 (Specified in RFO) - N/A]]+Table66[[#This Row],[Year 4 (Specified in RFO) - N/A]]+Table66[[#This Row],[Year 5 (Specified in RFO) - N/A]]+Table66[[#This Row],[Year 6 (Specified in RFO) - N/A]]</f>
        <v>0</v>
      </c>
      <c r="S132" s="402">
        <f ca="1">Table66[[#This Row],[Year 1  (Proposed)]]+Table66[[#This Row],[Year 2 (Proposed)]]+Table66[[#This Row],[Year 3 (Proposed)]]+Table66[[#This Row],[Year 4 (Proposed)]]+Table66[[#This Row],[Year 5 (Proposed)]]+Table66[[#This Row],[Year 6 (Proposed)]]</f>
        <v>0</v>
      </c>
      <c r="T132" s="403" t="b">
        <f ca="1">Table66[[#This Row],[Total Specifed in RFO - N/A]]=Table66[[#This Row],[Total Proposed]]</f>
        <v>1</v>
      </c>
      <c r="U132" s="439"/>
      <c r="V132" s="441">
        <f ca="1">Table66[[#This Row],[Year 6 (Specified in RFO) - N/A]]-Table66[[#This Row],[Column1]]</f>
        <v>0</v>
      </c>
    </row>
    <row r="133" spans="1:22" ht="16.5" thickBot="1">
      <c r="A133" s="227"/>
      <c r="B133" s="227"/>
      <c r="C133" s="227"/>
      <c r="D133" s="231"/>
      <c r="E133" s="231"/>
      <c r="F133" s="190"/>
      <c r="G1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 s="190"/>
      <c r="I1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 s="190"/>
      <c r="K1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 s="190"/>
      <c r="M133"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 s="190"/>
      <c r="O133"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 s="190"/>
      <c r="Q1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 s="192">
        <f ca="1">Table66[[#This Row],[Year 1 (Specified in RFO) - N/A]]+Table66[[#This Row],[Year 2 (Specified in RFO) - N/A]]+Table66[[#This Row],[Year 3 (Specified in RFO) - N/A]]+Table66[[#This Row],[Year 4 (Specified in RFO) - N/A]]+Table66[[#This Row],[Year 5 (Specified in RFO) - N/A]]+Table66[[#This Row],[Year 6 (Specified in RFO) - N/A]]</f>
        <v>0</v>
      </c>
      <c r="S133" s="402">
        <f ca="1">Table66[[#This Row],[Year 1  (Proposed)]]+Table66[[#This Row],[Year 2 (Proposed)]]+Table66[[#This Row],[Year 3 (Proposed)]]+Table66[[#This Row],[Year 4 (Proposed)]]+Table66[[#This Row],[Year 5 (Proposed)]]+Table66[[#This Row],[Year 6 (Proposed)]]</f>
        <v>0</v>
      </c>
      <c r="T133" s="403" t="b">
        <f ca="1">Table66[[#This Row],[Total Specifed in RFO - N/A]]=Table66[[#This Row],[Total Proposed]]</f>
        <v>1</v>
      </c>
      <c r="U133" s="439"/>
      <c r="V133" s="441">
        <f ca="1">Table66[[#This Row],[Year 6 (Specified in RFO) - N/A]]-Table66[[#This Row],[Column1]]</f>
        <v>0</v>
      </c>
    </row>
    <row r="134" spans="1:22" ht="16.5" thickBot="1">
      <c r="A134" s="227"/>
      <c r="B134" s="319"/>
      <c r="C134" s="319"/>
      <c r="D134" s="320"/>
      <c r="E134" s="320"/>
      <c r="F134" s="190"/>
      <c r="G1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 s="190"/>
      <c r="I1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 s="190"/>
      <c r="K1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 s="190"/>
      <c r="M1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 s="190"/>
      <c r="O1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 s="190"/>
      <c r="Q1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 s="192">
        <f ca="1">Table66[[#This Row],[Year 1 (Specified in RFO) - N/A]]+Table66[[#This Row],[Year 2 (Specified in RFO) - N/A]]+Table66[[#This Row],[Year 3 (Specified in RFO) - N/A]]+Table66[[#This Row],[Year 4 (Specified in RFO) - N/A]]+Table66[[#This Row],[Year 5 (Specified in RFO) - N/A]]+Table66[[#This Row],[Year 6 (Specified in RFO) - N/A]]</f>
        <v>0</v>
      </c>
      <c r="S134" s="402">
        <f ca="1">Table66[[#This Row],[Year 1  (Proposed)]]+Table66[[#This Row],[Year 2 (Proposed)]]+Table66[[#This Row],[Year 3 (Proposed)]]+Table66[[#This Row],[Year 4 (Proposed)]]+Table66[[#This Row],[Year 5 (Proposed)]]+Table66[[#This Row],[Year 6 (Proposed)]]</f>
        <v>0</v>
      </c>
      <c r="T134" s="403" t="b">
        <f ca="1">Table66[[#This Row],[Total Specifed in RFO - N/A]]=Table66[[#This Row],[Total Proposed]]</f>
        <v>1</v>
      </c>
      <c r="U134" s="439"/>
      <c r="V134" s="441">
        <f ca="1">Table66[[#This Row],[Year 6 (Specified in RFO) - N/A]]-Table66[[#This Row],[Column1]]</f>
        <v>0</v>
      </c>
    </row>
    <row r="135" spans="1:22" ht="16.5" thickBot="1">
      <c r="A135" s="319"/>
      <c r="B135" s="319"/>
      <c r="C135" s="319"/>
      <c r="D135" s="320"/>
      <c r="E135" s="320"/>
      <c r="F135" s="190"/>
      <c r="G1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 s="190"/>
      <c r="I1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 s="190"/>
      <c r="K1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 s="190"/>
      <c r="M135"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 s="190"/>
      <c r="O135"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 s="190"/>
      <c r="Q1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 s="192">
        <f ca="1">Table66[[#This Row],[Year 1 (Specified in RFO) - N/A]]+Table66[[#This Row],[Year 2 (Specified in RFO) - N/A]]+Table66[[#This Row],[Year 3 (Specified in RFO) - N/A]]+Table66[[#This Row],[Year 4 (Specified in RFO) - N/A]]+Table66[[#This Row],[Year 5 (Specified in RFO) - N/A]]+Table66[[#This Row],[Year 6 (Specified in RFO) - N/A]]</f>
        <v>0</v>
      </c>
      <c r="S135" s="402">
        <f ca="1">Table66[[#This Row],[Year 1  (Proposed)]]+Table66[[#This Row],[Year 2 (Proposed)]]+Table66[[#This Row],[Year 3 (Proposed)]]+Table66[[#This Row],[Year 4 (Proposed)]]+Table66[[#This Row],[Year 5 (Proposed)]]+Table66[[#This Row],[Year 6 (Proposed)]]</f>
        <v>0</v>
      </c>
      <c r="T135" s="403" t="b">
        <f ca="1">Table66[[#This Row],[Total Specifed in RFO - N/A]]=Table66[[#This Row],[Total Proposed]]</f>
        <v>1</v>
      </c>
      <c r="U135" s="439"/>
      <c r="V135" s="441">
        <f ca="1">Table66[[#This Row],[Year 6 (Specified in RFO) - N/A]]-Table66[[#This Row],[Column1]]</f>
        <v>0</v>
      </c>
    </row>
    <row r="136" spans="1:22" ht="16.5" thickBot="1">
      <c r="A136" s="227"/>
      <c r="B136" s="227"/>
      <c r="C136" s="227"/>
      <c r="D136" s="231"/>
      <c r="E136" s="231"/>
      <c r="F136" s="190"/>
      <c r="G1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 s="190"/>
      <c r="I1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 s="190"/>
      <c r="K1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 s="190"/>
      <c r="M136"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 s="190"/>
      <c r="O136"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 s="190"/>
      <c r="Q1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 s="192">
        <f ca="1">Table66[[#This Row],[Year 1 (Specified in RFO) - N/A]]+Table66[[#This Row],[Year 2 (Specified in RFO) - N/A]]+Table66[[#This Row],[Year 3 (Specified in RFO) - N/A]]+Table66[[#This Row],[Year 4 (Specified in RFO) - N/A]]+Table66[[#This Row],[Year 5 (Specified in RFO) - N/A]]+Table66[[#This Row],[Year 6 (Specified in RFO) - N/A]]</f>
        <v>0</v>
      </c>
      <c r="S136" s="402">
        <f ca="1">Table66[[#This Row],[Year 1  (Proposed)]]+Table66[[#This Row],[Year 2 (Proposed)]]+Table66[[#This Row],[Year 3 (Proposed)]]+Table66[[#This Row],[Year 4 (Proposed)]]+Table66[[#This Row],[Year 5 (Proposed)]]+Table66[[#This Row],[Year 6 (Proposed)]]</f>
        <v>0</v>
      </c>
      <c r="T136" s="403" t="b">
        <f ca="1">Table66[[#This Row],[Total Specifed in RFO - N/A]]=Table66[[#This Row],[Total Proposed]]</f>
        <v>1</v>
      </c>
      <c r="U136" s="439"/>
      <c r="V136" s="441">
        <f ca="1">Table66[[#This Row],[Year 6 (Specified in RFO) - N/A]]-Table66[[#This Row],[Column1]]</f>
        <v>0</v>
      </c>
    </row>
    <row r="137" spans="1:22" ht="16.5" thickBot="1">
      <c r="A137" s="227"/>
      <c r="B137" s="319"/>
      <c r="C137" s="319"/>
      <c r="D137" s="320"/>
      <c r="E137" s="320"/>
      <c r="F137" s="190"/>
      <c r="G1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 s="190"/>
      <c r="I1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 s="190"/>
      <c r="K1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 s="190"/>
      <c r="M1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 s="190"/>
      <c r="O1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 s="190"/>
      <c r="Q1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 s="192">
        <f ca="1">Table66[[#This Row],[Year 1 (Specified in RFO) - N/A]]+Table66[[#This Row],[Year 2 (Specified in RFO) - N/A]]+Table66[[#This Row],[Year 3 (Specified in RFO) - N/A]]+Table66[[#This Row],[Year 4 (Specified in RFO) - N/A]]+Table66[[#This Row],[Year 5 (Specified in RFO) - N/A]]+Table66[[#This Row],[Year 6 (Specified in RFO) - N/A]]</f>
        <v>0</v>
      </c>
      <c r="S137" s="402">
        <f ca="1">Table66[[#This Row],[Year 1  (Proposed)]]+Table66[[#This Row],[Year 2 (Proposed)]]+Table66[[#This Row],[Year 3 (Proposed)]]+Table66[[#This Row],[Year 4 (Proposed)]]+Table66[[#This Row],[Year 5 (Proposed)]]+Table66[[#This Row],[Year 6 (Proposed)]]</f>
        <v>0</v>
      </c>
      <c r="T137" s="403" t="b">
        <f ca="1">Table66[[#This Row],[Total Specifed in RFO - N/A]]=Table66[[#This Row],[Total Proposed]]</f>
        <v>1</v>
      </c>
      <c r="U137" s="439"/>
      <c r="V137" s="441">
        <f ca="1">Table66[[#This Row],[Year 6 (Specified in RFO) - N/A]]-Table66[[#This Row],[Column1]]</f>
        <v>0</v>
      </c>
    </row>
    <row r="138" spans="1:22" ht="16.5" thickBot="1">
      <c r="A138" s="319"/>
      <c r="B138" s="319"/>
      <c r="C138" s="319"/>
      <c r="D138" s="320"/>
      <c r="E138" s="320"/>
      <c r="F138" s="190"/>
      <c r="G1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 s="190"/>
      <c r="I1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 s="190"/>
      <c r="K1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 s="190"/>
      <c r="M138"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 s="190"/>
      <c r="O138"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 s="190"/>
      <c r="Q1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 s="192">
        <f ca="1">Table66[[#This Row],[Year 1 (Specified in RFO) - N/A]]+Table66[[#This Row],[Year 2 (Specified in RFO) - N/A]]+Table66[[#This Row],[Year 3 (Specified in RFO) - N/A]]+Table66[[#This Row],[Year 4 (Specified in RFO) - N/A]]+Table66[[#This Row],[Year 5 (Specified in RFO) - N/A]]+Table66[[#This Row],[Year 6 (Specified in RFO) - N/A]]</f>
        <v>0</v>
      </c>
      <c r="S138" s="402">
        <f ca="1">Table66[[#This Row],[Year 1  (Proposed)]]+Table66[[#This Row],[Year 2 (Proposed)]]+Table66[[#This Row],[Year 3 (Proposed)]]+Table66[[#This Row],[Year 4 (Proposed)]]+Table66[[#This Row],[Year 5 (Proposed)]]+Table66[[#This Row],[Year 6 (Proposed)]]</f>
        <v>0</v>
      </c>
      <c r="T138" s="403" t="b">
        <f ca="1">Table66[[#This Row],[Total Specifed in RFO - N/A]]=Table66[[#This Row],[Total Proposed]]</f>
        <v>1</v>
      </c>
      <c r="U138" s="439"/>
      <c r="V138" s="441">
        <f ca="1">Table66[[#This Row],[Year 6 (Specified in RFO) - N/A]]-Table66[[#This Row],[Column1]]</f>
        <v>0</v>
      </c>
    </row>
    <row r="139" spans="1:22" ht="16.5" thickBot="1">
      <c r="A139" s="227"/>
      <c r="B139" s="227"/>
      <c r="C139" s="227"/>
      <c r="D139" s="231"/>
      <c r="E139" s="231"/>
      <c r="F139" s="196"/>
      <c r="G1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 s="190"/>
      <c r="I1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 s="190"/>
      <c r="K1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 s="190"/>
      <c r="M139"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 s="190"/>
      <c r="O139"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 s="190"/>
      <c r="Q1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 s="192">
        <f ca="1">Table66[[#This Row],[Year 1 (Specified in RFO) - N/A]]+Table66[[#This Row],[Year 2 (Specified in RFO) - N/A]]+Table66[[#This Row],[Year 3 (Specified in RFO) - N/A]]+Table66[[#This Row],[Year 4 (Specified in RFO) - N/A]]+Table66[[#This Row],[Year 5 (Specified in RFO) - N/A]]+Table66[[#This Row],[Year 6 (Specified in RFO) - N/A]]</f>
        <v>0</v>
      </c>
      <c r="S139" s="402">
        <f ca="1">Table66[[#This Row],[Year 1  (Proposed)]]+Table66[[#This Row],[Year 2 (Proposed)]]+Table66[[#This Row],[Year 3 (Proposed)]]+Table66[[#This Row],[Year 4 (Proposed)]]+Table66[[#This Row],[Year 5 (Proposed)]]+Table66[[#This Row],[Year 6 (Proposed)]]</f>
        <v>0</v>
      </c>
      <c r="T139" s="403" t="b">
        <f ca="1">Table66[[#This Row],[Total Specifed in RFO - N/A]]=Table66[[#This Row],[Total Proposed]]</f>
        <v>1</v>
      </c>
      <c r="U139" s="439"/>
      <c r="V139" s="441">
        <f ca="1">Table66[[#This Row],[Year 6 (Specified in RFO) - N/A]]-Table66[[#This Row],[Column1]]</f>
        <v>0</v>
      </c>
    </row>
    <row r="140" spans="1:22" ht="16.5" thickBot="1">
      <c r="A140" s="227"/>
      <c r="B140" s="319"/>
      <c r="C140" s="319"/>
      <c r="D140" s="320"/>
      <c r="E140" s="320"/>
      <c r="F140" s="190"/>
      <c r="G1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 s="190"/>
      <c r="I1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 s="190"/>
      <c r="K1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 s="190"/>
      <c r="M1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 s="190"/>
      <c r="O1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 s="190"/>
      <c r="Q1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 s="192">
        <f ca="1">Table66[[#This Row],[Year 1 (Specified in RFO) - N/A]]+Table66[[#This Row],[Year 2 (Specified in RFO) - N/A]]+Table66[[#This Row],[Year 3 (Specified in RFO) - N/A]]+Table66[[#This Row],[Year 4 (Specified in RFO) - N/A]]+Table66[[#This Row],[Year 5 (Specified in RFO) - N/A]]+Table66[[#This Row],[Year 6 (Specified in RFO) - N/A]]</f>
        <v>0</v>
      </c>
      <c r="S140" s="402">
        <f ca="1">Table66[[#This Row],[Year 1  (Proposed)]]+Table66[[#This Row],[Year 2 (Proposed)]]+Table66[[#This Row],[Year 3 (Proposed)]]+Table66[[#This Row],[Year 4 (Proposed)]]+Table66[[#This Row],[Year 5 (Proposed)]]+Table66[[#This Row],[Year 6 (Proposed)]]</f>
        <v>0</v>
      </c>
      <c r="T140" s="403" t="b">
        <f ca="1">Table66[[#This Row],[Total Specifed in RFO - N/A]]=Table66[[#This Row],[Total Proposed]]</f>
        <v>1</v>
      </c>
      <c r="U140" s="439"/>
      <c r="V140" s="441">
        <f ca="1">Table66[[#This Row],[Year 6 (Specified in RFO) - N/A]]-Table66[[#This Row],[Column1]]</f>
        <v>0</v>
      </c>
    </row>
    <row r="141" spans="1:22" ht="16.5" thickBot="1">
      <c r="A141" s="319"/>
      <c r="B141" s="319"/>
      <c r="C141" s="319"/>
      <c r="D141" s="320"/>
      <c r="E141" s="320"/>
      <c r="F141" s="196"/>
      <c r="G1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 s="190"/>
      <c r="I1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 s="190"/>
      <c r="K1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 s="190"/>
      <c r="M141"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 s="190"/>
      <c r="O141"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 s="190"/>
      <c r="Q1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 s="192">
        <f ca="1">Table66[[#This Row],[Year 1 (Specified in RFO) - N/A]]+Table66[[#This Row],[Year 2 (Specified in RFO) - N/A]]+Table66[[#This Row],[Year 3 (Specified in RFO) - N/A]]+Table66[[#This Row],[Year 4 (Specified in RFO) - N/A]]+Table66[[#This Row],[Year 5 (Specified in RFO) - N/A]]+Table66[[#This Row],[Year 6 (Specified in RFO) - N/A]]</f>
        <v>0</v>
      </c>
      <c r="S141" s="402">
        <f ca="1">Table66[[#This Row],[Year 1  (Proposed)]]+Table66[[#This Row],[Year 2 (Proposed)]]+Table66[[#This Row],[Year 3 (Proposed)]]+Table66[[#This Row],[Year 4 (Proposed)]]+Table66[[#This Row],[Year 5 (Proposed)]]+Table66[[#This Row],[Year 6 (Proposed)]]</f>
        <v>0</v>
      </c>
      <c r="T141" s="403" t="b">
        <f ca="1">Table66[[#This Row],[Total Specifed in RFO - N/A]]=Table66[[#This Row],[Total Proposed]]</f>
        <v>1</v>
      </c>
      <c r="U141" s="439"/>
      <c r="V141" s="441">
        <f ca="1">Table66[[#This Row],[Year 6 (Specified in RFO) - N/A]]-Table66[[#This Row],[Column1]]</f>
        <v>0</v>
      </c>
    </row>
    <row r="142" spans="1:22" ht="16.5" thickBot="1">
      <c r="A142" s="227"/>
      <c r="B142" s="227"/>
      <c r="C142" s="227"/>
      <c r="D142" s="231"/>
      <c r="E142" s="231"/>
      <c r="F142" s="196"/>
      <c r="G1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 s="190"/>
      <c r="I1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 s="190"/>
      <c r="K1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 s="190"/>
      <c r="M142"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 s="190"/>
      <c r="O142"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 s="190"/>
      <c r="Q1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 s="192">
        <f ca="1">Table66[[#This Row],[Year 1 (Specified in RFO) - N/A]]+Table66[[#This Row],[Year 2 (Specified in RFO) - N/A]]+Table66[[#This Row],[Year 3 (Specified in RFO) - N/A]]+Table66[[#This Row],[Year 4 (Specified in RFO) - N/A]]+Table66[[#This Row],[Year 5 (Specified in RFO) - N/A]]+Table66[[#This Row],[Year 6 (Specified in RFO) - N/A]]</f>
        <v>0</v>
      </c>
      <c r="S142" s="402">
        <f ca="1">Table66[[#This Row],[Year 1  (Proposed)]]+Table66[[#This Row],[Year 2 (Proposed)]]+Table66[[#This Row],[Year 3 (Proposed)]]+Table66[[#This Row],[Year 4 (Proposed)]]+Table66[[#This Row],[Year 5 (Proposed)]]+Table66[[#This Row],[Year 6 (Proposed)]]</f>
        <v>0</v>
      </c>
      <c r="T142" s="403" t="b">
        <f ca="1">Table66[[#This Row],[Total Specifed in RFO - N/A]]=Table66[[#This Row],[Total Proposed]]</f>
        <v>1</v>
      </c>
      <c r="U142" s="439"/>
      <c r="V142" s="441">
        <f ca="1">Table66[[#This Row],[Year 6 (Specified in RFO) - N/A]]-Table66[[#This Row],[Column1]]</f>
        <v>0</v>
      </c>
    </row>
    <row r="143" spans="1:22" ht="16.5" thickBot="1">
      <c r="A143" s="227"/>
      <c r="B143" s="319"/>
      <c r="C143" s="319"/>
      <c r="D143" s="320"/>
      <c r="E143" s="320"/>
      <c r="F143" s="190"/>
      <c r="G1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 s="190"/>
      <c r="I1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 s="190"/>
      <c r="K1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 s="190"/>
      <c r="M1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 s="190"/>
      <c r="O1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 s="190"/>
      <c r="Q1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 s="192">
        <f ca="1">Table66[[#This Row],[Year 1 (Specified in RFO) - N/A]]+Table66[[#This Row],[Year 2 (Specified in RFO) - N/A]]+Table66[[#This Row],[Year 3 (Specified in RFO) - N/A]]+Table66[[#This Row],[Year 4 (Specified in RFO) - N/A]]+Table66[[#This Row],[Year 5 (Specified in RFO) - N/A]]+Table66[[#This Row],[Year 6 (Specified in RFO) - N/A]]</f>
        <v>0</v>
      </c>
      <c r="S143" s="402">
        <f ca="1">Table66[[#This Row],[Year 1  (Proposed)]]+Table66[[#This Row],[Year 2 (Proposed)]]+Table66[[#This Row],[Year 3 (Proposed)]]+Table66[[#This Row],[Year 4 (Proposed)]]+Table66[[#This Row],[Year 5 (Proposed)]]+Table66[[#This Row],[Year 6 (Proposed)]]</f>
        <v>0</v>
      </c>
      <c r="T143" s="403" t="b">
        <f ca="1">Table66[[#This Row],[Total Specifed in RFO - N/A]]=Table66[[#This Row],[Total Proposed]]</f>
        <v>1</v>
      </c>
      <c r="U143" s="439"/>
      <c r="V143" s="441">
        <f ca="1">Table66[[#This Row],[Year 6 (Specified in RFO) - N/A]]-Table66[[#This Row],[Column1]]</f>
        <v>0</v>
      </c>
    </row>
    <row r="144" spans="1:22" ht="16.5" thickBot="1">
      <c r="A144" s="319"/>
      <c r="B144" s="319"/>
      <c r="C144" s="319"/>
      <c r="D144" s="320"/>
      <c r="E144" s="320"/>
      <c r="F144" s="196"/>
      <c r="G1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 s="190"/>
      <c r="I1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 s="190"/>
      <c r="K1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 s="190"/>
      <c r="M144"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 s="190"/>
      <c r="O144"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 s="190"/>
      <c r="Q1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 s="192">
        <f ca="1">Table66[[#This Row],[Year 1 (Specified in RFO) - N/A]]+Table66[[#This Row],[Year 2 (Specified in RFO) - N/A]]+Table66[[#This Row],[Year 3 (Specified in RFO) - N/A]]+Table66[[#This Row],[Year 4 (Specified in RFO) - N/A]]+Table66[[#This Row],[Year 5 (Specified in RFO) - N/A]]+Table66[[#This Row],[Year 6 (Specified in RFO) - N/A]]</f>
        <v>0</v>
      </c>
      <c r="S144" s="402">
        <f ca="1">Table66[[#This Row],[Year 1  (Proposed)]]+Table66[[#This Row],[Year 2 (Proposed)]]+Table66[[#This Row],[Year 3 (Proposed)]]+Table66[[#This Row],[Year 4 (Proposed)]]+Table66[[#This Row],[Year 5 (Proposed)]]+Table66[[#This Row],[Year 6 (Proposed)]]</f>
        <v>0</v>
      </c>
      <c r="T144" s="403" t="b">
        <f ca="1">Table66[[#This Row],[Total Specifed in RFO - N/A]]=Table66[[#This Row],[Total Proposed]]</f>
        <v>1</v>
      </c>
      <c r="U144" s="439"/>
      <c r="V144" s="441">
        <f ca="1">Table66[[#This Row],[Year 6 (Specified in RFO) - N/A]]-Table66[[#This Row],[Column1]]</f>
        <v>0</v>
      </c>
    </row>
    <row r="145" spans="1:22" ht="16.5" thickBot="1">
      <c r="A145" s="227"/>
      <c r="B145" s="227"/>
      <c r="C145" s="227"/>
      <c r="D145" s="231"/>
      <c r="E145" s="231"/>
      <c r="F145" s="190"/>
      <c r="G1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 s="190"/>
      <c r="I1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 s="190"/>
      <c r="K1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 s="190"/>
      <c r="M145"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 s="190"/>
      <c r="O145"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 s="190"/>
      <c r="Q1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 s="192">
        <f ca="1">Table66[[#This Row],[Year 1 (Specified in RFO) - N/A]]+Table66[[#This Row],[Year 2 (Specified in RFO) - N/A]]+Table66[[#This Row],[Year 3 (Specified in RFO) - N/A]]+Table66[[#This Row],[Year 4 (Specified in RFO) - N/A]]+Table66[[#This Row],[Year 5 (Specified in RFO) - N/A]]+Table66[[#This Row],[Year 6 (Specified in RFO) - N/A]]</f>
        <v>0</v>
      </c>
      <c r="S145" s="402">
        <f ca="1">Table66[[#This Row],[Year 1  (Proposed)]]+Table66[[#This Row],[Year 2 (Proposed)]]+Table66[[#This Row],[Year 3 (Proposed)]]+Table66[[#This Row],[Year 4 (Proposed)]]+Table66[[#This Row],[Year 5 (Proposed)]]+Table66[[#This Row],[Year 6 (Proposed)]]</f>
        <v>0</v>
      </c>
      <c r="T145" s="403" t="b">
        <f ca="1">Table66[[#This Row],[Total Specifed in RFO - N/A]]=Table66[[#This Row],[Total Proposed]]</f>
        <v>1</v>
      </c>
      <c r="U145" s="439"/>
      <c r="V145" s="441">
        <f ca="1">Table66[[#This Row],[Year 6 (Specified in RFO) - N/A]]-Table66[[#This Row],[Column1]]</f>
        <v>0</v>
      </c>
    </row>
    <row r="146" spans="1:22" ht="16.5" thickBot="1">
      <c r="A146" s="227"/>
      <c r="B146" s="319"/>
      <c r="C146" s="319"/>
      <c r="D146" s="320"/>
      <c r="E146" s="320"/>
      <c r="F146" s="190"/>
      <c r="G1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 s="190"/>
      <c r="I1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 s="190"/>
      <c r="K1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 s="190"/>
      <c r="M1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 s="190"/>
      <c r="O1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 s="190"/>
      <c r="Q1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 s="192">
        <f ca="1">Table66[[#This Row],[Year 1 (Specified in RFO) - N/A]]+Table66[[#This Row],[Year 2 (Specified in RFO) - N/A]]+Table66[[#This Row],[Year 3 (Specified in RFO) - N/A]]+Table66[[#This Row],[Year 4 (Specified in RFO) - N/A]]+Table66[[#This Row],[Year 5 (Specified in RFO) - N/A]]+Table66[[#This Row],[Year 6 (Specified in RFO) - N/A]]</f>
        <v>0</v>
      </c>
      <c r="S146" s="402">
        <f ca="1">Table66[[#This Row],[Year 1  (Proposed)]]+Table66[[#This Row],[Year 2 (Proposed)]]+Table66[[#This Row],[Year 3 (Proposed)]]+Table66[[#This Row],[Year 4 (Proposed)]]+Table66[[#This Row],[Year 5 (Proposed)]]+Table66[[#This Row],[Year 6 (Proposed)]]</f>
        <v>0</v>
      </c>
      <c r="T146" s="403" t="b">
        <f ca="1">Table66[[#This Row],[Total Specifed in RFO - N/A]]=Table66[[#This Row],[Total Proposed]]</f>
        <v>1</v>
      </c>
      <c r="U146" s="439"/>
      <c r="V146" s="441">
        <f ca="1">Table66[[#This Row],[Year 6 (Specified in RFO) - N/A]]-Table66[[#This Row],[Column1]]</f>
        <v>0</v>
      </c>
    </row>
    <row r="147" spans="1:22" ht="16.5" thickBot="1">
      <c r="A147" s="319"/>
      <c r="B147" s="319"/>
      <c r="C147" s="319"/>
      <c r="D147" s="320"/>
      <c r="E147" s="320"/>
      <c r="F147" s="190"/>
      <c r="G1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 s="190"/>
      <c r="I1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 s="190"/>
      <c r="K1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 s="190"/>
      <c r="M147"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 s="190"/>
      <c r="O147"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 s="190"/>
      <c r="Q1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 s="192">
        <f ca="1">Table66[[#This Row],[Year 1 (Specified in RFO) - N/A]]+Table66[[#This Row],[Year 2 (Specified in RFO) - N/A]]+Table66[[#This Row],[Year 3 (Specified in RFO) - N/A]]+Table66[[#This Row],[Year 4 (Specified in RFO) - N/A]]+Table66[[#This Row],[Year 5 (Specified in RFO) - N/A]]+Table66[[#This Row],[Year 6 (Specified in RFO) - N/A]]</f>
        <v>0</v>
      </c>
      <c r="S147" s="402">
        <f ca="1">Table66[[#This Row],[Year 1  (Proposed)]]+Table66[[#This Row],[Year 2 (Proposed)]]+Table66[[#This Row],[Year 3 (Proposed)]]+Table66[[#This Row],[Year 4 (Proposed)]]+Table66[[#This Row],[Year 5 (Proposed)]]+Table66[[#This Row],[Year 6 (Proposed)]]</f>
        <v>0</v>
      </c>
      <c r="T147" s="403" t="b">
        <f ca="1">Table66[[#This Row],[Total Specifed in RFO - N/A]]=Table66[[#This Row],[Total Proposed]]</f>
        <v>1</v>
      </c>
      <c r="U147" s="439"/>
      <c r="V147" s="441">
        <f ca="1">Table66[[#This Row],[Year 6 (Specified in RFO) - N/A]]-Table66[[#This Row],[Column1]]</f>
        <v>0</v>
      </c>
    </row>
    <row r="148" spans="1:22" ht="16.5" thickBot="1">
      <c r="A148" s="227"/>
      <c r="B148" s="227"/>
      <c r="C148" s="227"/>
      <c r="D148" s="231"/>
      <c r="E148" s="231"/>
      <c r="F148" s="196"/>
      <c r="G1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 s="190"/>
      <c r="I1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 s="190"/>
      <c r="K1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 s="190"/>
      <c r="M148"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 s="190"/>
      <c r="O148"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 s="190"/>
      <c r="Q1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 s="192">
        <f ca="1">Table66[[#This Row],[Year 1 (Specified in RFO) - N/A]]+Table66[[#This Row],[Year 2 (Specified in RFO) - N/A]]+Table66[[#This Row],[Year 3 (Specified in RFO) - N/A]]+Table66[[#This Row],[Year 4 (Specified in RFO) - N/A]]+Table66[[#This Row],[Year 5 (Specified in RFO) - N/A]]+Table66[[#This Row],[Year 6 (Specified in RFO) - N/A]]</f>
        <v>0</v>
      </c>
      <c r="S148" s="402">
        <f ca="1">Table66[[#This Row],[Year 1  (Proposed)]]+Table66[[#This Row],[Year 2 (Proposed)]]+Table66[[#This Row],[Year 3 (Proposed)]]+Table66[[#This Row],[Year 4 (Proposed)]]+Table66[[#This Row],[Year 5 (Proposed)]]+Table66[[#This Row],[Year 6 (Proposed)]]</f>
        <v>0</v>
      </c>
      <c r="T148" s="403" t="b">
        <f ca="1">Table66[[#This Row],[Total Specifed in RFO - N/A]]=Table66[[#This Row],[Total Proposed]]</f>
        <v>1</v>
      </c>
      <c r="U148" s="439"/>
      <c r="V148" s="441">
        <f ca="1">Table66[[#This Row],[Year 6 (Specified in RFO) - N/A]]-Table66[[#This Row],[Column1]]</f>
        <v>0</v>
      </c>
    </row>
    <row r="149" spans="1:22" ht="16.5" thickBot="1">
      <c r="A149" s="227"/>
      <c r="B149" s="319"/>
      <c r="C149" s="319"/>
      <c r="D149" s="320"/>
      <c r="E149" s="320"/>
      <c r="F149" s="190"/>
      <c r="G1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 s="190"/>
      <c r="I1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 s="190"/>
      <c r="K1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 s="190"/>
      <c r="M1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 s="190"/>
      <c r="O1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 s="190"/>
      <c r="Q1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 s="192">
        <f ca="1">Table66[[#This Row],[Year 1 (Specified in RFO) - N/A]]+Table66[[#This Row],[Year 2 (Specified in RFO) - N/A]]+Table66[[#This Row],[Year 3 (Specified in RFO) - N/A]]+Table66[[#This Row],[Year 4 (Specified in RFO) - N/A]]+Table66[[#This Row],[Year 5 (Specified in RFO) - N/A]]+Table66[[#This Row],[Year 6 (Specified in RFO) - N/A]]</f>
        <v>0</v>
      </c>
      <c r="S149" s="402">
        <f ca="1">Table66[[#This Row],[Year 1  (Proposed)]]+Table66[[#This Row],[Year 2 (Proposed)]]+Table66[[#This Row],[Year 3 (Proposed)]]+Table66[[#This Row],[Year 4 (Proposed)]]+Table66[[#This Row],[Year 5 (Proposed)]]+Table66[[#This Row],[Year 6 (Proposed)]]</f>
        <v>0</v>
      </c>
      <c r="T149" s="403" t="b">
        <f ca="1">Table66[[#This Row],[Total Specifed in RFO - N/A]]=Table66[[#This Row],[Total Proposed]]</f>
        <v>1</v>
      </c>
      <c r="U149" s="439"/>
      <c r="V149" s="441">
        <f ca="1">Table66[[#This Row],[Year 6 (Specified in RFO) - N/A]]-Table66[[#This Row],[Column1]]</f>
        <v>0</v>
      </c>
    </row>
    <row r="150" spans="1:22" ht="16.5" thickBot="1">
      <c r="A150" s="319"/>
      <c r="B150" s="319"/>
      <c r="C150" s="319"/>
      <c r="D150" s="320"/>
      <c r="E150" s="320"/>
      <c r="F150" s="190"/>
      <c r="G1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 s="190"/>
      <c r="I1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 s="190"/>
      <c r="K1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 s="190"/>
      <c r="M150"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 s="190"/>
      <c r="O150"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 s="190"/>
      <c r="Q1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 s="192">
        <f ca="1">Table66[[#This Row],[Year 1 (Specified in RFO) - N/A]]+Table66[[#This Row],[Year 2 (Specified in RFO) - N/A]]+Table66[[#This Row],[Year 3 (Specified in RFO) - N/A]]+Table66[[#This Row],[Year 4 (Specified in RFO) - N/A]]+Table66[[#This Row],[Year 5 (Specified in RFO) - N/A]]+Table66[[#This Row],[Year 6 (Specified in RFO) - N/A]]</f>
        <v>0</v>
      </c>
      <c r="S150" s="402">
        <f ca="1">Table66[[#This Row],[Year 1  (Proposed)]]+Table66[[#This Row],[Year 2 (Proposed)]]+Table66[[#This Row],[Year 3 (Proposed)]]+Table66[[#This Row],[Year 4 (Proposed)]]+Table66[[#This Row],[Year 5 (Proposed)]]+Table66[[#This Row],[Year 6 (Proposed)]]</f>
        <v>0</v>
      </c>
      <c r="T150" s="403" t="b">
        <f ca="1">Table66[[#This Row],[Total Specifed in RFO - N/A]]=Table66[[#This Row],[Total Proposed]]</f>
        <v>1</v>
      </c>
      <c r="U150" s="439"/>
      <c r="V150" s="441">
        <f ca="1">Table66[[#This Row],[Year 6 (Specified in RFO) - N/A]]-Table66[[#This Row],[Column1]]</f>
        <v>0</v>
      </c>
    </row>
    <row r="151" spans="1:22" ht="16.5" thickBot="1">
      <c r="A151" s="227"/>
      <c r="B151" s="227"/>
      <c r="C151" s="227"/>
      <c r="D151" s="231"/>
      <c r="E151" s="231"/>
      <c r="F151" s="190"/>
      <c r="G1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 s="190"/>
      <c r="I1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 s="190"/>
      <c r="K1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 s="190"/>
      <c r="M151"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 s="190"/>
      <c r="O151"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 s="190"/>
      <c r="Q1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 s="192">
        <f ca="1">Table66[[#This Row],[Year 1 (Specified in RFO) - N/A]]+Table66[[#This Row],[Year 2 (Specified in RFO) - N/A]]+Table66[[#This Row],[Year 3 (Specified in RFO) - N/A]]+Table66[[#This Row],[Year 4 (Specified in RFO) - N/A]]+Table66[[#This Row],[Year 5 (Specified in RFO) - N/A]]+Table66[[#This Row],[Year 6 (Specified in RFO) - N/A]]</f>
        <v>0</v>
      </c>
      <c r="S151" s="402">
        <f ca="1">Table66[[#This Row],[Year 1  (Proposed)]]+Table66[[#This Row],[Year 2 (Proposed)]]+Table66[[#This Row],[Year 3 (Proposed)]]+Table66[[#This Row],[Year 4 (Proposed)]]+Table66[[#This Row],[Year 5 (Proposed)]]+Table66[[#This Row],[Year 6 (Proposed)]]</f>
        <v>0</v>
      </c>
      <c r="T151" s="403" t="b">
        <f ca="1">Table66[[#This Row],[Total Specifed in RFO - N/A]]=Table66[[#This Row],[Total Proposed]]</f>
        <v>1</v>
      </c>
      <c r="U151" s="439"/>
      <c r="V151" s="441">
        <f ca="1">Table66[[#This Row],[Year 6 (Specified in RFO) - N/A]]-Table66[[#This Row],[Column1]]</f>
        <v>0</v>
      </c>
    </row>
    <row r="152" spans="1:22" ht="16.5" thickBot="1">
      <c r="A152" s="227"/>
      <c r="B152" s="319"/>
      <c r="C152" s="319"/>
      <c r="D152" s="320"/>
      <c r="E152" s="320"/>
      <c r="F152" s="190"/>
      <c r="G1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 s="190"/>
      <c r="I1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 s="190"/>
      <c r="K1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 s="190"/>
      <c r="M1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 s="190"/>
      <c r="O1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 s="190"/>
      <c r="Q1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 s="192">
        <f ca="1">Table66[[#This Row],[Year 1 (Specified in RFO) - N/A]]+Table66[[#This Row],[Year 2 (Specified in RFO) - N/A]]+Table66[[#This Row],[Year 3 (Specified in RFO) - N/A]]+Table66[[#This Row],[Year 4 (Specified in RFO) - N/A]]+Table66[[#This Row],[Year 5 (Specified in RFO) - N/A]]+Table66[[#This Row],[Year 6 (Specified in RFO) - N/A]]</f>
        <v>0</v>
      </c>
      <c r="S152" s="402">
        <f ca="1">Table66[[#This Row],[Year 1  (Proposed)]]+Table66[[#This Row],[Year 2 (Proposed)]]+Table66[[#This Row],[Year 3 (Proposed)]]+Table66[[#This Row],[Year 4 (Proposed)]]+Table66[[#This Row],[Year 5 (Proposed)]]+Table66[[#This Row],[Year 6 (Proposed)]]</f>
        <v>0</v>
      </c>
      <c r="T152" s="403" t="b">
        <f ca="1">Table66[[#This Row],[Total Specifed in RFO - N/A]]=Table66[[#This Row],[Total Proposed]]</f>
        <v>1</v>
      </c>
      <c r="U152" s="439"/>
      <c r="V152" s="441">
        <f ca="1">Table66[[#This Row],[Year 6 (Specified in RFO) - N/A]]-Table66[[#This Row],[Column1]]</f>
        <v>0</v>
      </c>
    </row>
    <row r="153" spans="1:22" ht="16.5" thickBot="1">
      <c r="A153" s="319"/>
      <c r="B153" s="319"/>
      <c r="C153" s="319"/>
      <c r="D153" s="320"/>
      <c r="E153" s="320"/>
      <c r="F153" s="190"/>
      <c r="G1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 s="190"/>
      <c r="I1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 s="190"/>
      <c r="K1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 s="190"/>
      <c r="M153"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 s="190"/>
      <c r="O153"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 s="190"/>
      <c r="Q1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 s="192">
        <f ca="1">Table66[[#This Row],[Year 1 (Specified in RFO) - N/A]]+Table66[[#This Row],[Year 2 (Specified in RFO) - N/A]]+Table66[[#This Row],[Year 3 (Specified in RFO) - N/A]]+Table66[[#This Row],[Year 4 (Specified in RFO) - N/A]]+Table66[[#This Row],[Year 5 (Specified in RFO) - N/A]]+Table66[[#This Row],[Year 6 (Specified in RFO) - N/A]]</f>
        <v>0</v>
      </c>
      <c r="S153" s="402">
        <f ca="1">Table66[[#This Row],[Year 1  (Proposed)]]+Table66[[#This Row],[Year 2 (Proposed)]]+Table66[[#This Row],[Year 3 (Proposed)]]+Table66[[#This Row],[Year 4 (Proposed)]]+Table66[[#This Row],[Year 5 (Proposed)]]+Table66[[#This Row],[Year 6 (Proposed)]]</f>
        <v>0</v>
      </c>
      <c r="T153" s="403" t="b">
        <f ca="1">Table66[[#This Row],[Total Specifed in RFO - N/A]]=Table66[[#This Row],[Total Proposed]]</f>
        <v>1</v>
      </c>
      <c r="U153" s="439"/>
      <c r="V153" s="441">
        <f ca="1">Table66[[#This Row],[Year 6 (Specified in RFO) - N/A]]-Table66[[#This Row],[Column1]]</f>
        <v>0</v>
      </c>
    </row>
    <row r="154" spans="1:22" ht="16.5" thickBot="1">
      <c r="A154" s="227"/>
      <c r="B154" s="227"/>
      <c r="C154" s="227"/>
      <c r="D154" s="231"/>
      <c r="E154" s="231"/>
      <c r="F154" s="190"/>
      <c r="G1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 s="190"/>
      <c r="I1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 s="190"/>
      <c r="K1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 s="190"/>
      <c r="M154"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 s="190"/>
      <c r="O154"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 s="190"/>
      <c r="Q1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 s="192">
        <f ca="1">Table66[[#This Row],[Year 1 (Specified in RFO) - N/A]]+Table66[[#This Row],[Year 2 (Specified in RFO) - N/A]]+Table66[[#This Row],[Year 3 (Specified in RFO) - N/A]]+Table66[[#This Row],[Year 4 (Specified in RFO) - N/A]]+Table66[[#This Row],[Year 5 (Specified in RFO) - N/A]]+Table66[[#This Row],[Year 6 (Specified in RFO) - N/A]]</f>
        <v>0</v>
      </c>
      <c r="S154" s="402">
        <f ca="1">Table66[[#This Row],[Year 1  (Proposed)]]+Table66[[#This Row],[Year 2 (Proposed)]]+Table66[[#This Row],[Year 3 (Proposed)]]+Table66[[#This Row],[Year 4 (Proposed)]]+Table66[[#This Row],[Year 5 (Proposed)]]+Table66[[#This Row],[Year 6 (Proposed)]]</f>
        <v>0</v>
      </c>
      <c r="T154" s="403" t="b">
        <f ca="1">Table66[[#This Row],[Total Specifed in RFO - N/A]]=Table66[[#This Row],[Total Proposed]]</f>
        <v>1</v>
      </c>
      <c r="U154" s="439"/>
      <c r="V154" s="441">
        <f ca="1">Table66[[#This Row],[Year 6 (Specified in RFO) - N/A]]-Table66[[#This Row],[Column1]]</f>
        <v>0</v>
      </c>
    </row>
    <row r="155" spans="1:22" ht="16.5" thickBot="1">
      <c r="A155" s="227"/>
      <c r="B155" s="319"/>
      <c r="C155" s="319"/>
      <c r="D155" s="320"/>
      <c r="E155" s="320"/>
      <c r="F155" s="190"/>
      <c r="G1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 s="190"/>
      <c r="I1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 s="190"/>
      <c r="K1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 s="190"/>
      <c r="M1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 s="190"/>
      <c r="O1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 s="190"/>
      <c r="Q1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 s="192">
        <f ca="1">Table66[[#This Row],[Year 1 (Specified in RFO) - N/A]]+Table66[[#This Row],[Year 2 (Specified in RFO) - N/A]]+Table66[[#This Row],[Year 3 (Specified in RFO) - N/A]]+Table66[[#This Row],[Year 4 (Specified in RFO) - N/A]]+Table66[[#This Row],[Year 5 (Specified in RFO) - N/A]]+Table66[[#This Row],[Year 6 (Specified in RFO) - N/A]]</f>
        <v>0</v>
      </c>
      <c r="S155" s="402">
        <f ca="1">Table66[[#This Row],[Year 1  (Proposed)]]+Table66[[#This Row],[Year 2 (Proposed)]]+Table66[[#This Row],[Year 3 (Proposed)]]+Table66[[#This Row],[Year 4 (Proposed)]]+Table66[[#This Row],[Year 5 (Proposed)]]+Table66[[#This Row],[Year 6 (Proposed)]]</f>
        <v>0</v>
      </c>
      <c r="T155" s="403" t="b">
        <f ca="1">Table66[[#This Row],[Total Specifed in RFO - N/A]]=Table66[[#This Row],[Total Proposed]]</f>
        <v>1</v>
      </c>
      <c r="U155" s="439"/>
      <c r="V155" s="441">
        <f ca="1">Table66[[#This Row],[Year 6 (Specified in RFO) - N/A]]-Table66[[#This Row],[Column1]]</f>
        <v>0</v>
      </c>
    </row>
    <row r="156" spans="1:22" ht="16.5" thickBot="1">
      <c r="A156" s="227"/>
      <c r="B156" s="319"/>
      <c r="C156" s="319"/>
      <c r="D156" s="320"/>
      <c r="E156" s="320"/>
      <c r="F156" s="190"/>
      <c r="G1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6" s="190"/>
      <c r="I1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6" s="190"/>
      <c r="K1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6" s="190"/>
      <c r="M1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6" s="190"/>
      <c r="O1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6" s="190"/>
      <c r="Q1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6" s="192">
        <f ca="1">Table66[[#This Row],[Year 1 (Specified in RFO) - N/A]]+Table66[[#This Row],[Year 2 (Specified in RFO) - N/A]]+Table66[[#This Row],[Year 3 (Specified in RFO) - N/A]]+Table66[[#This Row],[Year 4 (Specified in RFO) - N/A]]+Table66[[#This Row],[Year 5 (Specified in RFO) - N/A]]+Table66[[#This Row],[Year 6 (Specified in RFO) - N/A]]</f>
        <v>0</v>
      </c>
      <c r="S156" s="402">
        <f ca="1">Table66[[#This Row],[Year 1  (Proposed)]]+Table66[[#This Row],[Year 2 (Proposed)]]+Table66[[#This Row],[Year 3 (Proposed)]]+Table66[[#This Row],[Year 4 (Proposed)]]+Table66[[#This Row],[Year 5 (Proposed)]]+Table66[[#This Row],[Year 6 (Proposed)]]</f>
        <v>0</v>
      </c>
      <c r="T156" s="403" t="b">
        <f ca="1">Table66[[#This Row],[Total Specifed in RFO - N/A]]=Table66[[#This Row],[Total Proposed]]</f>
        <v>1</v>
      </c>
      <c r="U156" s="439"/>
      <c r="V156" s="441">
        <f ca="1">Table66[[#This Row],[Year 6 (Specified in RFO) - N/A]]-Table66[[#This Row],[Column1]]</f>
        <v>0</v>
      </c>
    </row>
    <row r="157" spans="1:22" ht="16.5" thickBot="1">
      <c r="A157" s="227"/>
      <c r="B157" s="227"/>
      <c r="C157" s="227"/>
      <c r="D157" s="320"/>
      <c r="E157" s="320"/>
      <c r="F157" s="190"/>
      <c r="G1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7" s="190"/>
      <c r="I1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7" s="190"/>
      <c r="K1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7" s="190"/>
      <c r="M1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7" s="190"/>
      <c r="O1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7" s="190"/>
      <c r="Q1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7" s="192">
        <f ca="1">Table66[[#This Row],[Year 1 (Specified in RFO) - N/A]]+Table66[[#This Row],[Year 2 (Specified in RFO) - N/A]]+Table66[[#This Row],[Year 3 (Specified in RFO) - N/A]]+Table66[[#This Row],[Year 4 (Specified in RFO) - N/A]]+Table66[[#This Row],[Year 5 (Specified in RFO) - N/A]]+Table66[[#This Row],[Year 6 (Specified in RFO) - N/A]]</f>
        <v>0</v>
      </c>
      <c r="S157" s="402">
        <f ca="1">Table66[[#This Row],[Year 1  (Proposed)]]+Table66[[#This Row],[Year 2 (Proposed)]]+Table66[[#This Row],[Year 3 (Proposed)]]+Table66[[#This Row],[Year 4 (Proposed)]]+Table66[[#This Row],[Year 5 (Proposed)]]+Table66[[#This Row],[Year 6 (Proposed)]]</f>
        <v>0</v>
      </c>
      <c r="T157" s="403" t="b">
        <f ca="1">Table66[[#This Row],[Total Specifed in RFO - N/A]]=Table66[[#This Row],[Total Proposed]]</f>
        <v>1</v>
      </c>
      <c r="U157" s="439"/>
      <c r="V157" s="441">
        <f ca="1">Table66[[#This Row],[Year 6 (Specified in RFO) - N/A]]-Table66[[#This Row],[Column1]]</f>
        <v>0</v>
      </c>
    </row>
    <row r="158" spans="1:22" ht="16.5" thickBot="1">
      <c r="A158" s="227"/>
      <c r="B158" s="319"/>
      <c r="C158" s="319"/>
      <c r="D158" s="320"/>
      <c r="E158" s="320"/>
      <c r="F158" s="190"/>
      <c r="G1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8" s="190"/>
      <c r="I1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8" s="190"/>
      <c r="K1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8" s="190"/>
      <c r="M1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8" s="190"/>
      <c r="O1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8" s="190"/>
      <c r="Q1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8" s="192">
        <f ca="1">Table66[[#This Row],[Year 1 (Specified in RFO) - N/A]]+Table66[[#This Row],[Year 2 (Specified in RFO) - N/A]]+Table66[[#This Row],[Year 3 (Specified in RFO) - N/A]]+Table66[[#This Row],[Year 4 (Specified in RFO) - N/A]]+Table66[[#This Row],[Year 5 (Specified in RFO) - N/A]]+Table66[[#This Row],[Year 6 (Specified in RFO) - N/A]]</f>
        <v>0</v>
      </c>
      <c r="S158" s="402">
        <f ca="1">Table66[[#This Row],[Year 1  (Proposed)]]+Table66[[#This Row],[Year 2 (Proposed)]]+Table66[[#This Row],[Year 3 (Proposed)]]+Table66[[#This Row],[Year 4 (Proposed)]]+Table66[[#This Row],[Year 5 (Proposed)]]+Table66[[#This Row],[Year 6 (Proposed)]]</f>
        <v>0</v>
      </c>
      <c r="T158" s="403" t="b">
        <f ca="1">Table66[[#This Row],[Total Specifed in RFO - N/A]]=Table66[[#This Row],[Total Proposed]]</f>
        <v>1</v>
      </c>
      <c r="U158" s="439"/>
      <c r="V158" s="441">
        <f ca="1">Table66[[#This Row],[Year 6 (Specified in RFO) - N/A]]-Table66[[#This Row],[Column1]]</f>
        <v>0</v>
      </c>
    </row>
    <row r="159" spans="1:22" ht="16.5" thickBot="1">
      <c r="A159" s="227"/>
      <c r="B159" s="319"/>
      <c r="C159" s="319"/>
      <c r="D159" s="320"/>
      <c r="E159" s="320"/>
      <c r="F159" s="190"/>
      <c r="G1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9" s="190"/>
      <c r="I1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9" s="190"/>
      <c r="K1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9" s="190"/>
      <c r="M1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9" s="190"/>
      <c r="O1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9" s="190"/>
      <c r="Q1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9" s="192">
        <f ca="1">Table66[[#This Row],[Year 1 (Specified in RFO) - N/A]]+Table66[[#This Row],[Year 2 (Specified in RFO) - N/A]]+Table66[[#This Row],[Year 3 (Specified in RFO) - N/A]]+Table66[[#This Row],[Year 4 (Specified in RFO) - N/A]]+Table66[[#This Row],[Year 5 (Specified in RFO) - N/A]]+Table66[[#This Row],[Year 6 (Specified in RFO) - N/A]]</f>
        <v>0</v>
      </c>
      <c r="S159" s="402">
        <f ca="1">Table66[[#This Row],[Year 1  (Proposed)]]+Table66[[#This Row],[Year 2 (Proposed)]]+Table66[[#This Row],[Year 3 (Proposed)]]+Table66[[#This Row],[Year 4 (Proposed)]]+Table66[[#This Row],[Year 5 (Proposed)]]+Table66[[#This Row],[Year 6 (Proposed)]]</f>
        <v>0</v>
      </c>
      <c r="T159" s="403" t="b">
        <f ca="1">Table66[[#This Row],[Total Specifed in RFO - N/A]]=Table66[[#This Row],[Total Proposed]]</f>
        <v>1</v>
      </c>
      <c r="U159" s="439"/>
      <c r="V159" s="441">
        <f ca="1">Table66[[#This Row],[Year 6 (Specified in RFO) - N/A]]-Table66[[#This Row],[Column1]]</f>
        <v>0</v>
      </c>
    </row>
    <row r="160" spans="1:22" ht="16.5" thickBot="1">
      <c r="A160" s="227"/>
      <c r="B160" s="227"/>
      <c r="C160" s="227"/>
      <c r="D160" s="320"/>
      <c r="E160" s="320"/>
      <c r="F160" s="190"/>
      <c r="G1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0" s="190"/>
      <c r="I1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0" s="190"/>
      <c r="K1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0" s="190"/>
      <c r="M1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0" s="190"/>
      <c r="O1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0" s="190"/>
      <c r="Q1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0" s="192">
        <f ca="1">Table66[[#This Row],[Year 1 (Specified in RFO) - N/A]]+Table66[[#This Row],[Year 2 (Specified in RFO) - N/A]]+Table66[[#This Row],[Year 3 (Specified in RFO) - N/A]]+Table66[[#This Row],[Year 4 (Specified in RFO) - N/A]]+Table66[[#This Row],[Year 5 (Specified in RFO) - N/A]]+Table66[[#This Row],[Year 6 (Specified in RFO) - N/A]]</f>
        <v>0</v>
      </c>
      <c r="S160" s="402">
        <f ca="1">Table66[[#This Row],[Year 1  (Proposed)]]+Table66[[#This Row],[Year 2 (Proposed)]]+Table66[[#This Row],[Year 3 (Proposed)]]+Table66[[#This Row],[Year 4 (Proposed)]]+Table66[[#This Row],[Year 5 (Proposed)]]+Table66[[#This Row],[Year 6 (Proposed)]]</f>
        <v>0</v>
      </c>
      <c r="T160" s="403" t="b">
        <f ca="1">Table66[[#This Row],[Total Specifed in RFO - N/A]]=Table66[[#This Row],[Total Proposed]]</f>
        <v>1</v>
      </c>
      <c r="U160" s="439"/>
      <c r="V160" s="441">
        <f ca="1">Table66[[#This Row],[Year 6 (Specified in RFO) - N/A]]-Table66[[#This Row],[Column1]]</f>
        <v>0</v>
      </c>
    </row>
    <row r="161" spans="1:22" ht="16.5" thickBot="1">
      <c r="A161" s="227"/>
      <c r="B161" s="319"/>
      <c r="C161" s="319"/>
      <c r="D161" s="320"/>
      <c r="E161" s="320"/>
      <c r="F161" s="190"/>
      <c r="G1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1" s="190"/>
      <c r="I1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1" s="190"/>
      <c r="K1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1" s="190"/>
      <c r="M1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1" s="190"/>
      <c r="O1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1" s="190"/>
      <c r="Q1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1" s="192">
        <f ca="1">Table66[[#This Row],[Year 1 (Specified in RFO) - N/A]]+Table66[[#This Row],[Year 2 (Specified in RFO) - N/A]]+Table66[[#This Row],[Year 3 (Specified in RFO) - N/A]]+Table66[[#This Row],[Year 4 (Specified in RFO) - N/A]]+Table66[[#This Row],[Year 5 (Specified in RFO) - N/A]]+Table66[[#This Row],[Year 6 (Specified in RFO) - N/A]]</f>
        <v>0</v>
      </c>
      <c r="S161" s="402">
        <f ca="1">Table66[[#This Row],[Year 1  (Proposed)]]+Table66[[#This Row],[Year 2 (Proposed)]]+Table66[[#This Row],[Year 3 (Proposed)]]+Table66[[#This Row],[Year 4 (Proposed)]]+Table66[[#This Row],[Year 5 (Proposed)]]+Table66[[#This Row],[Year 6 (Proposed)]]</f>
        <v>0</v>
      </c>
      <c r="T161" s="403" t="b">
        <f ca="1">Table66[[#This Row],[Total Specifed in RFO - N/A]]=Table66[[#This Row],[Total Proposed]]</f>
        <v>1</v>
      </c>
      <c r="U161" s="439"/>
      <c r="V161" s="441">
        <f ca="1">Table66[[#This Row],[Year 6 (Specified in RFO) - N/A]]-Table66[[#This Row],[Column1]]</f>
        <v>0</v>
      </c>
    </row>
    <row r="162" spans="1:22" ht="16.5" thickBot="1">
      <c r="A162" s="227"/>
      <c r="B162" s="319"/>
      <c r="C162" s="319"/>
      <c r="D162" s="320"/>
      <c r="E162" s="320"/>
      <c r="F162" s="190"/>
      <c r="G1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2" s="190"/>
      <c r="I1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2" s="190"/>
      <c r="K1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2" s="190"/>
      <c r="M1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2" s="190"/>
      <c r="O1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2" s="190"/>
      <c r="Q1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2" s="192">
        <f ca="1">Table66[[#This Row],[Year 1 (Specified in RFO) - N/A]]+Table66[[#This Row],[Year 2 (Specified in RFO) - N/A]]+Table66[[#This Row],[Year 3 (Specified in RFO) - N/A]]+Table66[[#This Row],[Year 4 (Specified in RFO) - N/A]]+Table66[[#This Row],[Year 5 (Specified in RFO) - N/A]]+Table66[[#This Row],[Year 6 (Specified in RFO) - N/A]]</f>
        <v>0</v>
      </c>
      <c r="S162" s="402">
        <f ca="1">Table66[[#This Row],[Year 1  (Proposed)]]+Table66[[#This Row],[Year 2 (Proposed)]]+Table66[[#This Row],[Year 3 (Proposed)]]+Table66[[#This Row],[Year 4 (Proposed)]]+Table66[[#This Row],[Year 5 (Proposed)]]+Table66[[#This Row],[Year 6 (Proposed)]]</f>
        <v>0</v>
      </c>
      <c r="T162" s="403" t="b">
        <f ca="1">Table66[[#This Row],[Total Specifed in RFO - N/A]]=Table66[[#This Row],[Total Proposed]]</f>
        <v>1</v>
      </c>
      <c r="U162" s="439"/>
      <c r="V162" s="441">
        <f ca="1">Table66[[#This Row],[Year 6 (Specified in RFO) - N/A]]-Table66[[#This Row],[Column1]]</f>
        <v>0</v>
      </c>
    </row>
    <row r="163" spans="1:22" ht="16.5" thickBot="1">
      <c r="A163" s="227"/>
      <c r="B163" s="227"/>
      <c r="C163" s="227"/>
      <c r="D163" s="320"/>
      <c r="E163" s="320"/>
      <c r="F163" s="190"/>
      <c r="G1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3" s="190"/>
      <c r="I1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3" s="190"/>
      <c r="K1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3" s="190"/>
      <c r="M1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3" s="190"/>
      <c r="O1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3" s="190"/>
      <c r="Q1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3" s="192">
        <f ca="1">Table66[[#This Row],[Year 1 (Specified in RFO) - N/A]]+Table66[[#This Row],[Year 2 (Specified in RFO) - N/A]]+Table66[[#This Row],[Year 3 (Specified in RFO) - N/A]]+Table66[[#This Row],[Year 4 (Specified in RFO) - N/A]]+Table66[[#This Row],[Year 5 (Specified in RFO) - N/A]]+Table66[[#This Row],[Year 6 (Specified in RFO) - N/A]]</f>
        <v>0</v>
      </c>
      <c r="S163" s="402">
        <f ca="1">Table66[[#This Row],[Year 1  (Proposed)]]+Table66[[#This Row],[Year 2 (Proposed)]]+Table66[[#This Row],[Year 3 (Proposed)]]+Table66[[#This Row],[Year 4 (Proposed)]]+Table66[[#This Row],[Year 5 (Proposed)]]+Table66[[#This Row],[Year 6 (Proposed)]]</f>
        <v>0</v>
      </c>
      <c r="T163" s="403" t="b">
        <f ca="1">Table66[[#This Row],[Total Specifed in RFO - N/A]]=Table66[[#This Row],[Total Proposed]]</f>
        <v>1</v>
      </c>
      <c r="U163" s="439"/>
      <c r="V163" s="441">
        <f ca="1">Table66[[#This Row],[Year 6 (Specified in RFO) - N/A]]-Table66[[#This Row],[Column1]]</f>
        <v>0</v>
      </c>
    </row>
    <row r="164" spans="1:22" ht="16.5" thickBot="1">
      <c r="A164" s="227"/>
      <c r="B164" s="319"/>
      <c r="C164" s="319"/>
      <c r="D164" s="320"/>
      <c r="E164" s="320"/>
      <c r="F164" s="190"/>
      <c r="G1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4" s="190"/>
      <c r="I1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4" s="190"/>
      <c r="K1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4" s="190"/>
      <c r="M1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4" s="190"/>
      <c r="O1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4" s="190"/>
      <c r="Q1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4" s="192">
        <f ca="1">Table66[[#This Row],[Year 1 (Specified in RFO) - N/A]]+Table66[[#This Row],[Year 2 (Specified in RFO) - N/A]]+Table66[[#This Row],[Year 3 (Specified in RFO) - N/A]]+Table66[[#This Row],[Year 4 (Specified in RFO) - N/A]]+Table66[[#This Row],[Year 5 (Specified in RFO) - N/A]]+Table66[[#This Row],[Year 6 (Specified in RFO) - N/A]]</f>
        <v>0</v>
      </c>
      <c r="S164" s="402">
        <f ca="1">Table66[[#This Row],[Year 1  (Proposed)]]+Table66[[#This Row],[Year 2 (Proposed)]]+Table66[[#This Row],[Year 3 (Proposed)]]+Table66[[#This Row],[Year 4 (Proposed)]]+Table66[[#This Row],[Year 5 (Proposed)]]+Table66[[#This Row],[Year 6 (Proposed)]]</f>
        <v>0</v>
      </c>
      <c r="T164" s="403" t="b">
        <f ca="1">Table66[[#This Row],[Total Specifed in RFO - N/A]]=Table66[[#This Row],[Total Proposed]]</f>
        <v>1</v>
      </c>
      <c r="U164" s="439"/>
      <c r="V164" s="441">
        <f ca="1">Table66[[#This Row],[Year 6 (Specified in RFO) - N/A]]-Table66[[#This Row],[Column1]]</f>
        <v>0</v>
      </c>
    </row>
    <row r="165" spans="1:22" ht="16.5" thickBot="1">
      <c r="A165" s="227"/>
      <c r="B165" s="319"/>
      <c r="C165" s="319"/>
      <c r="D165" s="320"/>
      <c r="E165" s="320"/>
      <c r="F165" s="190"/>
      <c r="G1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5" s="190"/>
      <c r="I1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5" s="190"/>
      <c r="K1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5" s="190"/>
      <c r="M1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5" s="190"/>
      <c r="O1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5" s="190"/>
      <c r="Q1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5" s="192">
        <f ca="1">Table66[[#This Row],[Year 1 (Specified in RFO) - N/A]]+Table66[[#This Row],[Year 2 (Specified in RFO) - N/A]]+Table66[[#This Row],[Year 3 (Specified in RFO) - N/A]]+Table66[[#This Row],[Year 4 (Specified in RFO) - N/A]]+Table66[[#This Row],[Year 5 (Specified in RFO) - N/A]]+Table66[[#This Row],[Year 6 (Specified in RFO) - N/A]]</f>
        <v>0</v>
      </c>
      <c r="S165" s="402">
        <f ca="1">Table66[[#This Row],[Year 1  (Proposed)]]+Table66[[#This Row],[Year 2 (Proposed)]]+Table66[[#This Row],[Year 3 (Proposed)]]+Table66[[#This Row],[Year 4 (Proposed)]]+Table66[[#This Row],[Year 5 (Proposed)]]+Table66[[#This Row],[Year 6 (Proposed)]]</f>
        <v>0</v>
      </c>
      <c r="T165" s="403" t="b">
        <f ca="1">Table66[[#This Row],[Total Specifed in RFO - N/A]]=Table66[[#This Row],[Total Proposed]]</f>
        <v>1</v>
      </c>
      <c r="U165" s="439"/>
      <c r="V165" s="441">
        <f ca="1">Table66[[#This Row],[Year 6 (Specified in RFO) - N/A]]-Table66[[#This Row],[Column1]]</f>
        <v>0</v>
      </c>
    </row>
    <row r="166" spans="1:22" ht="16.5" thickBot="1">
      <c r="A166" s="227"/>
      <c r="B166" s="227"/>
      <c r="C166" s="227"/>
      <c r="D166" s="320"/>
      <c r="E166" s="320"/>
      <c r="F166" s="190"/>
      <c r="G1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6" s="190"/>
      <c r="I1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6" s="190"/>
      <c r="K1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6" s="190"/>
      <c r="M1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6" s="190"/>
      <c r="O1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6" s="190"/>
      <c r="Q1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6" s="192">
        <f ca="1">Table66[[#This Row],[Year 1 (Specified in RFO) - N/A]]+Table66[[#This Row],[Year 2 (Specified in RFO) - N/A]]+Table66[[#This Row],[Year 3 (Specified in RFO) - N/A]]+Table66[[#This Row],[Year 4 (Specified in RFO) - N/A]]+Table66[[#This Row],[Year 5 (Specified in RFO) - N/A]]+Table66[[#This Row],[Year 6 (Specified in RFO) - N/A]]</f>
        <v>0</v>
      </c>
      <c r="S166" s="402">
        <f ca="1">Table66[[#This Row],[Year 1  (Proposed)]]+Table66[[#This Row],[Year 2 (Proposed)]]+Table66[[#This Row],[Year 3 (Proposed)]]+Table66[[#This Row],[Year 4 (Proposed)]]+Table66[[#This Row],[Year 5 (Proposed)]]+Table66[[#This Row],[Year 6 (Proposed)]]</f>
        <v>0</v>
      </c>
      <c r="T166" s="403" t="b">
        <f ca="1">Table66[[#This Row],[Total Specifed in RFO - N/A]]=Table66[[#This Row],[Total Proposed]]</f>
        <v>1</v>
      </c>
      <c r="U166" s="439"/>
      <c r="V166" s="441">
        <f ca="1">Table66[[#This Row],[Year 6 (Specified in RFO) - N/A]]-Table66[[#This Row],[Column1]]</f>
        <v>0</v>
      </c>
    </row>
    <row r="167" spans="1:22" ht="16.5" thickBot="1">
      <c r="A167" s="227"/>
      <c r="B167" s="319"/>
      <c r="C167" s="319"/>
      <c r="D167" s="320"/>
      <c r="E167" s="320"/>
      <c r="F167" s="190"/>
      <c r="G1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7" s="190"/>
      <c r="I1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7" s="190"/>
      <c r="K1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7" s="190"/>
      <c r="M1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7" s="190"/>
      <c r="O1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7" s="190"/>
      <c r="Q1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7" s="192">
        <f ca="1">Table66[[#This Row],[Year 1 (Specified in RFO) - N/A]]+Table66[[#This Row],[Year 2 (Specified in RFO) - N/A]]+Table66[[#This Row],[Year 3 (Specified in RFO) - N/A]]+Table66[[#This Row],[Year 4 (Specified in RFO) - N/A]]+Table66[[#This Row],[Year 5 (Specified in RFO) - N/A]]+Table66[[#This Row],[Year 6 (Specified in RFO) - N/A]]</f>
        <v>0</v>
      </c>
      <c r="S167" s="402">
        <f ca="1">Table66[[#This Row],[Year 1  (Proposed)]]+Table66[[#This Row],[Year 2 (Proposed)]]+Table66[[#This Row],[Year 3 (Proposed)]]+Table66[[#This Row],[Year 4 (Proposed)]]+Table66[[#This Row],[Year 5 (Proposed)]]+Table66[[#This Row],[Year 6 (Proposed)]]</f>
        <v>0</v>
      </c>
      <c r="T167" s="403" t="b">
        <f ca="1">Table66[[#This Row],[Total Specifed in RFO - N/A]]=Table66[[#This Row],[Total Proposed]]</f>
        <v>1</v>
      </c>
      <c r="U167" s="439"/>
      <c r="V167" s="441">
        <f ca="1">Table66[[#This Row],[Year 6 (Specified in RFO) - N/A]]-Table66[[#This Row],[Column1]]</f>
        <v>0</v>
      </c>
    </row>
    <row r="168" spans="1:22" ht="16.5" thickBot="1">
      <c r="A168" s="227"/>
      <c r="B168" s="319"/>
      <c r="C168" s="319"/>
      <c r="D168" s="320"/>
      <c r="E168" s="320"/>
      <c r="F168" s="190"/>
      <c r="G1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8" s="190"/>
      <c r="I1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8" s="190"/>
      <c r="K1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8" s="190"/>
      <c r="M1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8" s="190"/>
      <c r="O1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8" s="190"/>
      <c r="Q1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8" s="192">
        <f ca="1">Table66[[#This Row],[Year 1 (Specified in RFO) - N/A]]+Table66[[#This Row],[Year 2 (Specified in RFO) - N/A]]+Table66[[#This Row],[Year 3 (Specified in RFO) - N/A]]+Table66[[#This Row],[Year 4 (Specified in RFO) - N/A]]+Table66[[#This Row],[Year 5 (Specified in RFO) - N/A]]+Table66[[#This Row],[Year 6 (Specified in RFO) - N/A]]</f>
        <v>0</v>
      </c>
      <c r="S168" s="402">
        <f ca="1">Table66[[#This Row],[Year 1  (Proposed)]]+Table66[[#This Row],[Year 2 (Proposed)]]+Table66[[#This Row],[Year 3 (Proposed)]]+Table66[[#This Row],[Year 4 (Proposed)]]+Table66[[#This Row],[Year 5 (Proposed)]]+Table66[[#This Row],[Year 6 (Proposed)]]</f>
        <v>0</v>
      </c>
      <c r="T168" s="403" t="b">
        <f ca="1">Table66[[#This Row],[Total Specifed in RFO - N/A]]=Table66[[#This Row],[Total Proposed]]</f>
        <v>1</v>
      </c>
      <c r="U168" s="439"/>
      <c r="V168" s="441">
        <f ca="1">Table66[[#This Row],[Year 6 (Specified in RFO) - N/A]]-Table66[[#This Row],[Column1]]</f>
        <v>0</v>
      </c>
    </row>
    <row r="169" spans="1:22" ht="16.5" thickBot="1">
      <c r="A169" s="227"/>
      <c r="B169" s="227"/>
      <c r="C169" s="227"/>
      <c r="D169" s="320"/>
      <c r="E169" s="320"/>
      <c r="F169" s="190"/>
      <c r="G1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9" s="190"/>
      <c r="I1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9" s="190"/>
      <c r="K1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9" s="190"/>
      <c r="M1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9" s="190"/>
      <c r="O1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9" s="190"/>
      <c r="Q1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9" s="192">
        <f ca="1">Table66[[#This Row],[Year 1 (Specified in RFO) - N/A]]+Table66[[#This Row],[Year 2 (Specified in RFO) - N/A]]+Table66[[#This Row],[Year 3 (Specified in RFO) - N/A]]+Table66[[#This Row],[Year 4 (Specified in RFO) - N/A]]+Table66[[#This Row],[Year 5 (Specified in RFO) - N/A]]+Table66[[#This Row],[Year 6 (Specified in RFO) - N/A]]</f>
        <v>0</v>
      </c>
      <c r="S169" s="402">
        <f ca="1">Table66[[#This Row],[Year 1  (Proposed)]]+Table66[[#This Row],[Year 2 (Proposed)]]+Table66[[#This Row],[Year 3 (Proposed)]]+Table66[[#This Row],[Year 4 (Proposed)]]+Table66[[#This Row],[Year 5 (Proposed)]]+Table66[[#This Row],[Year 6 (Proposed)]]</f>
        <v>0</v>
      </c>
      <c r="T169" s="403" t="b">
        <f ca="1">Table66[[#This Row],[Total Specifed in RFO - N/A]]=Table66[[#This Row],[Total Proposed]]</f>
        <v>1</v>
      </c>
      <c r="U169" s="439"/>
      <c r="V169" s="441">
        <f ca="1">Table66[[#This Row],[Year 6 (Specified in RFO) - N/A]]-Table66[[#This Row],[Column1]]</f>
        <v>0</v>
      </c>
    </row>
    <row r="170" spans="1:22" ht="16.5" thickBot="1">
      <c r="A170" s="227"/>
      <c r="B170" s="319"/>
      <c r="C170" s="319"/>
      <c r="D170" s="320"/>
      <c r="E170" s="320"/>
      <c r="F170" s="190"/>
      <c r="G1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0" s="190"/>
      <c r="I1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0" s="190"/>
      <c r="K1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0" s="190"/>
      <c r="M1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0" s="190"/>
      <c r="O1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0" s="190"/>
      <c r="Q1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0" s="192">
        <f ca="1">Table66[[#This Row],[Year 1 (Specified in RFO) - N/A]]+Table66[[#This Row],[Year 2 (Specified in RFO) - N/A]]+Table66[[#This Row],[Year 3 (Specified in RFO) - N/A]]+Table66[[#This Row],[Year 4 (Specified in RFO) - N/A]]+Table66[[#This Row],[Year 5 (Specified in RFO) - N/A]]+Table66[[#This Row],[Year 6 (Specified in RFO) - N/A]]</f>
        <v>0</v>
      </c>
      <c r="S170" s="402">
        <f ca="1">Table66[[#This Row],[Year 1  (Proposed)]]+Table66[[#This Row],[Year 2 (Proposed)]]+Table66[[#This Row],[Year 3 (Proposed)]]+Table66[[#This Row],[Year 4 (Proposed)]]+Table66[[#This Row],[Year 5 (Proposed)]]+Table66[[#This Row],[Year 6 (Proposed)]]</f>
        <v>0</v>
      </c>
      <c r="T170" s="403" t="b">
        <f ca="1">Table66[[#This Row],[Total Specifed in RFO - N/A]]=Table66[[#This Row],[Total Proposed]]</f>
        <v>1</v>
      </c>
      <c r="U170" s="439"/>
      <c r="V170" s="441">
        <f ca="1">Table66[[#This Row],[Year 6 (Specified in RFO) - N/A]]-Table66[[#This Row],[Column1]]</f>
        <v>0</v>
      </c>
    </row>
    <row r="171" spans="1:22" ht="16.5" thickBot="1">
      <c r="A171" s="227"/>
      <c r="B171" s="319"/>
      <c r="C171" s="319"/>
      <c r="D171" s="320"/>
      <c r="E171" s="320"/>
      <c r="F171" s="190"/>
      <c r="G1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1" s="190"/>
      <c r="I1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1" s="190"/>
      <c r="K1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1" s="190"/>
      <c r="M1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1" s="190"/>
      <c r="O1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1" s="190"/>
      <c r="Q1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1" s="192">
        <f ca="1">Table66[[#This Row],[Year 1 (Specified in RFO) - N/A]]+Table66[[#This Row],[Year 2 (Specified in RFO) - N/A]]+Table66[[#This Row],[Year 3 (Specified in RFO) - N/A]]+Table66[[#This Row],[Year 4 (Specified in RFO) - N/A]]+Table66[[#This Row],[Year 5 (Specified in RFO) - N/A]]+Table66[[#This Row],[Year 6 (Specified in RFO) - N/A]]</f>
        <v>0</v>
      </c>
      <c r="S171" s="402">
        <f ca="1">Table66[[#This Row],[Year 1  (Proposed)]]+Table66[[#This Row],[Year 2 (Proposed)]]+Table66[[#This Row],[Year 3 (Proposed)]]+Table66[[#This Row],[Year 4 (Proposed)]]+Table66[[#This Row],[Year 5 (Proposed)]]+Table66[[#This Row],[Year 6 (Proposed)]]</f>
        <v>0</v>
      </c>
      <c r="T171" s="403" t="b">
        <f ca="1">Table66[[#This Row],[Total Specifed in RFO - N/A]]=Table66[[#This Row],[Total Proposed]]</f>
        <v>1</v>
      </c>
      <c r="U171" s="439"/>
      <c r="V171" s="441">
        <f ca="1">Table66[[#This Row],[Year 6 (Specified in RFO) - N/A]]-Table66[[#This Row],[Column1]]</f>
        <v>0</v>
      </c>
    </row>
    <row r="172" spans="1:22" ht="16.5" thickBot="1">
      <c r="A172" s="227"/>
      <c r="B172" s="227"/>
      <c r="C172" s="227"/>
      <c r="D172" s="320"/>
      <c r="E172" s="320"/>
      <c r="F172" s="190"/>
      <c r="G1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2" s="190"/>
      <c r="I1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2" s="190"/>
      <c r="K1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2" s="190"/>
      <c r="M1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2" s="190"/>
      <c r="O1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2" s="190"/>
      <c r="Q1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2" s="192">
        <f ca="1">Table66[[#This Row],[Year 1 (Specified in RFO) - N/A]]+Table66[[#This Row],[Year 2 (Specified in RFO) - N/A]]+Table66[[#This Row],[Year 3 (Specified in RFO) - N/A]]+Table66[[#This Row],[Year 4 (Specified in RFO) - N/A]]+Table66[[#This Row],[Year 5 (Specified in RFO) - N/A]]+Table66[[#This Row],[Year 6 (Specified in RFO) - N/A]]</f>
        <v>0</v>
      </c>
      <c r="S172" s="402">
        <f ca="1">Table66[[#This Row],[Year 1  (Proposed)]]+Table66[[#This Row],[Year 2 (Proposed)]]+Table66[[#This Row],[Year 3 (Proposed)]]+Table66[[#This Row],[Year 4 (Proposed)]]+Table66[[#This Row],[Year 5 (Proposed)]]+Table66[[#This Row],[Year 6 (Proposed)]]</f>
        <v>0</v>
      </c>
      <c r="T172" s="403" t="b">
        <f ca="1">Table66[[#This Row],[Total Specifed in RFO - N/A]]=Table66[[#This Row],[Total Proposed]]</f>
        <v>1</v>
      </c>
      <c r="U172" s="439"/>
      <c r="V172" s="441">
        <f ca="1">Table66[[#This Row],[Year 6 (Specified in RFO) - N/A]]-Table66[[#This Row],[Column1]]</f>
        <v>0</v>
      </c>
    </row>
    <row r="173" spans="1:22" ht="16.5" thickBot="1">
      <c r="A173" s="227"/>
      <c r="B173" s="319"/>
      <c r="C173" s="319"/>
      <c r="D173" s="320"/>
      <c r="E173" s="320"/>
      <c r="F173" s="190"/>
      <c r="G1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3" s="190"/>
      <c r="I1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3" s="190"/>
      <c r="K1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3" s="190"/>
      <c r="M1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3" s="190"/>
      <c r="O1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3" s="190"/>
      <c r="Q1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3" s="192">
        <f ca="1">Table66[[#This Row],[Year 1 (Specified in RFO) - N/A]]+Table66[[#This Row],[Year 2 (Specified in RFO) - N/A]]+Table66[[#This Row],[Year 3 (Specified in RFO) - N/A]]+Table66[[#This Row],[Year 4 (Specified in RFO) - N/A]]+Table66[[#This Row],[Year 5 (Specified in RFO) - N/A]]+Table66[[#This Row],[Year 6 (Specified in RFO) - N/A]]</f>
        <v>0</v>
      </c>
      <c r="S173" s="402">
        <f ca="1">Table66[[#This Row],[Year 1  (Proposed)]]+Table66[[#This Row],[Year 2 (Proposed)]]+Table66[[#This Row],[Year 3 (Proposed)]]+Table66[[#This Row],[Year 4 (Proposed)]]+Table66[[#This Row],[Year 5 (Proposed)]]+Table66[[#This Row],[Year 6 (Proposed)]]</f>
        <v>0</v>
      </c>
      <c r="T173" s="403" t="b">
        <f ca="1">Table66[[#This Row],[Total Specifed in RFO - N/A]]=Table66[[#This Row],[Total Proposed]]</f>
        <v>1</v>
      </c>
      <c r="U173" s="439"/>
      <c r="V173" s="441">
        <f ca="1">Table66[[#This Row],[Year 6 (Specified in RFO) - N/A]]-Table66[[#This Row],[Column1]]</f>
        <v>0</v>
      </c>
    </row>
    <row r="174" spans="1:22" ht="16.5" thickBot="1">
      <c r="A174" s="227"/>
      <c r="B174" s="319"/>
      <c r="C174" s="319"/>
      <c r="D174" s="320"/>
      <c r="E174" s="320"/>
      <c r="F174" s="190"/>
      <c r="G1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4" s="190"/>
      <c r="I1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4" s="190"/>
      <c r="K1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4" s="190"/>
      <c r="M1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4" s="190"/>
      <c r="O1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4" s="190"/>
      <c r="Q1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4" s="192">
        <f ca="1">Table66[[#This Row],[Year 1 (Specified in RFO) - N/A]]+Table66[[#This Row],[Year 2 (Specified in RFO) - N/A]]+Table66[[#This Row],[Year 3 (Specified in RFO) - N/A]]+Table66[[#This Row],[Year 4 (Specified in RFO) - N/A]]+Table66[[#This Row],[Year 5 (Specified in RFO) - N/A]]+Table66[[#This Row],[Year 6 (Specified in RFO) - N/A]]</f>
        <v>0</v>
      </c>
      <c r="S174" s="402">
        <f ca="1">Table66[[#This Row],[Year 1  (Proposed)]]+Table66[[#This Row],[Year 2 (Proposed)]]+Table66[[#This Row],[Year 3 (Proposed)]]+Table66[[#This Row],[Year 4 (Proposed)]]+Table66[[#This Row],[Year 5 (Proposed)]]+Table66[[#This Row],[Year 6 (Proposed)]]</f>
        <v>0</v>
      </c>
      <c r="T174" s="403" t="b">
        <f ca="1">Table66[[#This Row],[Total Specifed in RFO - N/A]]=Table66[[#This Row],[Total Proposed]]</f>
        <v>1</v>
      </c>
      <c r="U174" s="439"/>
      <c r="V174" s="441">
        <f ca="1">Table66[[#This Row],[Year 6 (Specified in RFO) - N/A]]-Table66[[#This Row],[Column1]]</f>
        <v>0</v>
      </c>
    </row>
    <row r="175" spans="1:22" ht="16.5" thickBot="1">
      <c r="A175" s="227"/>
      <c r="B175" s="319"/>
      <c r="C175" s="319"/>
      <c r="D175" s="320"/>
      <c r="E175" s="320"/>
      <c r="F175" s="190"/>
      <c r="G1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5" s="190"/>
      <c r="I1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5" s="190"/>
      <c r="K1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5" s="190"/>
      <c r="M1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5" s="190"/>
      <c r="O1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5" s="190"/>
      <c r="Q1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5" s="192">
        <f ca="1">Table66[[#This Row],[Year 1 (Specified in RFO) - N/A]]+Table66[[#This Row],[Year 2 (Specified in RFO) - N/A]]+Table66[[#This Row],[Year 3 (Specified in RFO) - N/A]]+Table66[[#This Row],[Year 4 (Specified in RFO) - N/A]]+Table66[[#This Row],[Year 5 (Specified in RFO) - N/A]]+Table66[[#This Row],[Year 6 (Specified in RFO) - N/A]]</f>
        <v>0</v>
      </c>
      <c r="S175" s="402">
        <f ca="1">Table66[[#This Row],[Year 1  (Proposed)]]+Table66[[#This Row],[Year 2 (Proposed)]]+Table66[[#This Row],[Year 3 (Proposed)]]+Table66[[#This Row],[Year 4 (Proposed)]]+Table66[[#This Row],[Year 5 (Proposed)]]+Table66[[#This Row],[Year 6 (Proposed)]]</f>
        <v>0</v>
      </c>
      <c r="T175" s="403" t="b">
        <f ca="1">Table66[[#This Row],[Total Specifed in RFO - N/A]]=Table66[[#This Row],[Total Proposed]]</f>
        <v>1</v>
      </c>
      <c r="U175" s="439"/>
      <c r="V175" s="441">
        <f ca="1">Table66[[#This Row],[Year 6 (Specified in RFO) - N/A]]-Table66[[#This Row],[Column1]]</f>
        <v>0</v>
      </c>
    </row>
    <row r="176" spans="1:22" ht="16.5" thickBot="1">
      <c r="A176" s="227"/>
      <c r="B176" s="227"/>
      <c r="C176" s="227"/>
      <c r="D176" s="320"/>
      <c r="E176" s="320"/>
      <c r="F176" s="190"/>
      <c r="G1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6" s="190"/>
      <c r="I1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6" s="190"/>
      <c r="K1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6" s="190"/>
      <c r="M1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6" s="190"/>
      <c r="O1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6" s="190"/>
      <c r="Q1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6" s="192">
        <f ca="1">Table66[[#This Row],[Year 1 (Specified in RFO) - N/A]]+Table66[[#This Row],[Year 2 (Specified in RFO) - N/A]]+Table66[[#This Row],[Year 3 (Specified in RFO) - N/A]]+Table66[[#This Row],[Year 4 (Specified in RFO) - N/A]]+Table66[[#This Row],[Year 5 (Specified in RFO) - N/A]]+Table66[[#This Row],[Year 6 (Specified in RFO) - N/A]]</f>
        <v>0</v>
      </c>
      <c r="S176" s="402">
        <f ca="1">Table66[[#This Row],[Year 1  (Proposed)]]+Table66[[#This Row],[Year 2 (Proposed)]]+Table66[[#This Row],[Year 3 (Proposed)]]+Table66[[#This Row],[Year 4 (Proposed)]]+Table66[[#This Row],[Year 5 (Proposed)]]+Table66[[#This Row],[Year 6 (Proposed)]]</f>
        <v>0</v>
      </c>
      <c r="T176" s="403" t="b">
        <f ca="1">Table66[[#This Row],[Total Specifed in RFO - N/A]]=Table66[[#This Row],[Total Proposed]]</f>
        <v>1</v>
      </c>
      <c r="U176" s="439"/>
      <c r="V176" s="441">
        <f ca="1">Table66[[#This Row],[Year 6 (Specified in RFO) - N/A]]-Table66[[#This Row],[Column1]]</f>
        <v>0</v>
      </c>
    </row>
    <row r="177" spans="1:22" ht="16.5" thickBot="1">
      <c r="A177" s="227"/>
      <c r="B177" s="319"/>
      <c r="C177" s="319"/>
      <c r="D177" s="320"/>
      <c r="E177" s="320"/>
      <c r="F177" s="190"/>
      <c r="G1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7" s="190"/>
      <c r="I1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7" s="190"/>
      <c r="K1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7" s="190"/>
      <c r="M1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7" s="190"/>
      <c r="O1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7" s="190"/>
      <c r="Q1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7" s="192">
        <f ca="1">Table66[[#This Row],[Year 1 (Specified in RFO) - N/A]]+Table66[[#This Row],[Year 2 (Specified in RFO) - N/A]]+Table66[[#This Row],[Year 3 (Specified in RFO) - N/A]]+Table66[[#This Row],[Year 4 (Specified in RFO) - N/A]]+Table66[[#This Row],[Year 5 (Specified in RFO) - N/A]]+Table66[[#This Row],[Year 6 (Specified in RFO) - N/A]]</f>
        <v>0</v>
      </c>
      <c r="S177" s="402">
        <f ca="1">Table66[[#This Row],[Year 1  (Proposed)]]+Table66[[#This Row],[Year 2 (Proposed)]]+Table66[[#This Row],[Year 3 (Proposed)]]+Table66[[#This Row],[Year 4 (Proposed)]]+Table66[[#This Row],[Year 5 (Proposed)]]+Table66[[#This Row],[Year 6 (Proposed)]]</f>
        <v>0</v>
      </c>
      <c r="T177" s="403" t="b">
        <f ca="1">Table66[[#This Row],[Total Specifed in RFO - N/A]]=Table66[[#This Row],[Total Proposed]]</f>
        <v>1</v>
      </c>
      <c r="U177" s="439"/>
      <c r="V177" s="441">
        <f ca="1">Table66[[#This Row],[Year 6 (Specified in RFO) - N/A]]-Table66[[#This Row],[Column1]]</f>
        <v>0</v>
      </c>
    </row>
    <row r="178" spans="1:22" ht="16.5" thickBot="1">
      <c r="A178" s="227"/>
      <c r="B178" s="319"/>
      <c r="C178" s="319"/>
      <c r="D178" s="320"/>
      <c r="E178" s="320"/>
      <c r="F178" s="190"/>
      <c r="G1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8" s="190"/>
      <c r="I1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8" s="190"/>
      <c r="K1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8" s="190"/>
      <c r="M1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8" s="190"/>
      <c r="O1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8" s="190"/>
      <c r="Q1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8" s="192">
        <f ca="1">Table66[[#This Row],[Year 1 (Specified in RFO) - N/A]]+Table66[[#This Row],[Year 2 (Specified in RFO) - N/A]]+Table66[[#This Row],[Year 3 (Specified in RFO) - N/A]]+Table66[[#This Row],[Year 4 (Specified in RFO) - N/A]]+Table66[[#This Row],[Year 5 (Specified in RFO) - N/A]]+Table66[[#This Row],[Year 6 (Specified in RFO) - N/A]]</f>
        <v>0</v>
      </c>
      <c r="S178" s="402">
        <f ca="1">Table66[[#This Row],[Year 1  (Proposed)]]+Table66[[#This Row],[Year 2 (Proposed)]]+Table66[[#This Row],[Year 3 (Proposed)]]+Table66[[#This Row],[Year 4 (Proposed)]]+Table66[[#This Row],[Year 5 (Proposed)]]+Table66[[#This Row],[Year 6 (Proposed)]]</f>
        <v>0</v>
      </c>
      <c r="T178" s="403" t="b">
        <f ca="1">Table66[[#This Row],[Total Specifed in RFO - N/A]]=Table66[[#This Row],[Total Proposed]]</f>
        <v>1</v>
      </c>
      <c r="U178" s="439"/>
      <c r="V178" s="441">
        <f ca="1">Table66[[#This Row],[Year 6 (Specified in RFO) - N/A]]-Table66[[#This Row],[Column1]]</f>
        <v>0</v>
      </c>
    </row>
    <row r="179" spans="1:22" ht="16.5" thickBot="1">
      <c r="A179" s="227"/>
      <c r="B179" s="227"/>
      <c r="C179" s="227"/>
      <c r="D179" s="320"/>
      <c r="E179" s="320"/>
      <c r="F179" s="190"/>
      <c r="G1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9" s="190"/>
      <c r="I1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9" s="190"/>
      <c r="K1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9" s="190"/>
      <c r="M1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9" s="190"/>
      <c r="O1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9" s="190"/>
      <c r="Q1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9" s="192">
        <f ca="1">Table66[[#This Row],[Year 1 (Specified in RFO) - N/A]]+Table66[[#This Row],[Year 2 (Specified in RFO) - N/A]]+Table66[[#This Row],[Year 3 (Specified in RFO) - N/A]]+Table66[[#This Row],[Year 4 (Specified in RFO) - N/A]]+Table66[[#This Row],[Year 5 (Specified in RFO) - N/A]]+Table66[[#This Row],[Year 6 (Specified in RFO) - N/A]]</f>
        <v>0</v>
      </c>
      <c r="S179" s="402">
        <f ca="1">Table66[[#This Row],[Year 1  (Proposed)]]+Table66[[#This Row],[Year 2 (Proposed)]]+Table66[[#This Row],[Year 3 (Proposed)]]+Table66[[#This Row],[Year 4 (Proposed)]]+Table66[[#This Row],[Year 5 (Proposed)]]+Table66[[#This Row],[Year 6 (Proposed)]]</f>
        <v>0</v>
      </c>
      <c r="T179" s="403" t="b">
        <f ca="1">Table66[[#This Row],[Total Specifed in RFO - N/A]]=Table66[[#This Row],[Total Proposed]]</f>
        <v>1</v>
      </c>
      <c r="U179" s="439"/>
      <c r="V179" s="441">
        <f ca="1">Table66[[#This Row],[Year 6 (Specified in RFO) - N/A]]-Table66[[#This Row],[Column1]]</f>
        <v>0</v>
      </c>
    </row>
    <row r="180" spans="1:22" ht="16.5" thickBot="1">
      <c r="A180" s="405"/>
      <c r="B180" s="319"/>
      <c r="C180" s="319"/>
      <c r="D180" s="320"/>
      <c r="E180" s="320"/>
      <c r="F180" s="190"/>
      <c r="G1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0" s="190"/>
      <c r="I1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0" s="190"/>
      <c r="K1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0" s="190"/>
      <c r="M1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0" s="190"/>
      <c r="O1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0" s="190"/>
      <c r="Q1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0" s="237">
        <f ca="1">Table66[[#This Row],[Year 1 (Specified in RFO) - N/A]]+Table66[[#This Row],[Year 2 (Specified in RFO) - N/A]]+Table66[[#This Row],[Year 3 (Specified in RFO) - N/A]]+Table66[[#This Row],[Year 4 (Specified in RFO) - N/A]]+Table66[[#This Row],[Year 5 (Specified in RFO) - N/A]]+Table66[[#This Row],[Year 6 (Specified in RFO) - N/A]]</f>
        <v>0</v>
      </c>
      <c r="S180" s="402">
        <f ca="1">Table66[[#This Row],[Year 1  (Proposed)]]+Table66[[#This Row],[Year 2 (Proposed)]]+Table66[[#This Row],[Year 3 (Proposed)]]+Table66[[#This Row],[Year 4 (Proposed)]]+Table66[[#This Row],[Year 5 (Proposed)]]+Table66[[#This Row],[Year 6 (Proposed)]]</f>
        <v>0</v>
      </c>
      <c r="T180" s="403" t="b">
        <f ca="1">Table66[[#This Row],[Total Specifed in RFO - N/A]]=Table66[[#This Row],[Total Proposed]]</f>
        <v>1</v>
      </c>
      <c r="U180" s="439"/>
      <c r="V180" s="441">
        <f ca="1">Table66[[#This Row],[Year 6 (Specified in RFO) - N/A]]-Table66[[#This Row],[Column1]]</f>
        <v>0</v>
      </c>
    </row>
    <row r="181" spans="1:22" ht="16.5" thickBot="1">
      <c r="A181" s="227"/>
      <c r="B181" s="319"/>
      <c r="C181" s="319"/>
      <c r="D181" s="320"/>
      <c r="E181" s="320"/>
      <c r="F181" s="190"/>
      <c r="G1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1" s="190"/>
      <c r="I1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1" s="190"/>
      <c r="K1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1" s="190"/>
      <c r="M1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1" s="190"/>
      <c r="O1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1" s="190"/>
      <c r="Q1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1" s="192">
        <f ca="1">Table66[[#This Row],[Year 1 (Specified in RFO) - N/A]]+Table66[[#This Row],[Year 2 (Specified in RFO) - N/A]]+Table66[[#This Row],[Year 3 (Specified in RFO) - N/A]]+Table66[[#This Row],[Year 4 (Specified in RFO) - N/A]]+Table66[[#This Row],[Year 5 (Specified in RFO) - N/A]]+Table66[[#This Row],[Year 6 (Specified in RFO) - N/A]]</f>
        <v>0</v>
      </c>
      <c r="S181" s="402">
        <f ca="1">Table66[[#This Row],[Year 1  (Proposed)]]+Table66[[#This Row],[Year 2 (Proposed)]]+Table66[[#This Row],[Year 3 (Proposed)]]+Table66[[#This Row],[Year 4 (Proposed)]]+Table66[[#This Row],[Year 5 (Proposed)]]+Table66[[#This Row],[Year 6 (Proposed)]]</f>
        <v>0</v>
      </c>
      <c r="T181" s="403" t="b">
        <f ca="1">Table66[[#This Row],[Total Specifed in RFO - N/A]]=Table66[[#This Row],[Total Proposed]]</f>
        <v>1</v>
      </c>
      <c r="U181" s="439"/>
      <c r="V181" s="441">
        <f ca="1">Table66[[#This Row],[Year 6 (Specified in RFO) - N/A]]-Table66[[#This Row],[Column1]]</f>
        <v>0</v>
      </c>
    </row>
    <row r="182" spans="1:22" ht="16.5" thickBot="1">
      <c r="A182" s="227"/>
      <c r="B182" s="227"/>
      <c r="C182" s="227"/>
      <c r="D182" s="320"/>
      <c r="E182" s="320"/>
      <c r="F182" s="190"/>
      <c r="G1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2" s="190"/>
      <c r="I1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2" s="190"/>
      <c r="K1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2" s="190"/>
      <c r="M1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2" s="190"/>
      <c r="O1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2" s="190"/>
      <c r="Q1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2" s="192">
        <f ca="1">Table66[[#This Row],[Year 1 (Specified in RFO) - N/A]]+Table66[[#This Row],[Year 2 (Specified in RFO) - N/A]]+Table66[[#This Row],[Year 3 (Specified in RFO) - N/A]]+Table66[[#This Row],[Year 4 (Specified in RFO) - N/A]]+Table66[[#This Row],[Year 5 (Specified in RFO) - N/A]]+Table66[[#This Row],[Year 6 (Specified in RFO) - N/A]]</f>
        <v>0</v>
      </c>
      <c r="S182" s="402">
        <f ca="1">Table66[[#This Row],[Year 1  (Proposed)]]+Table66[[#This Row],[Year 2 (Proposed)]]+Table66[[#This Row],[Year 3 (Proposed)]]+Table66[[#This Row],[Year 4 (Proposed)]]+Table66[[#This Row],[Year 5 (Proposed)]]+Table66[[#This Row],[Year 6 (Proposed)]]</f>
        <v>0</v>
      </c>
      <c r="T182" s="403" t="b">
        <f ca="1">Table66[[#This Row],[Total Specifed in RFO - N/A]]=Table66[[#This Row],[Total Proposed]]</f>
        <v>1</v>
      </c>
      <c r="U182" s="439"/>
      <c r="V182" s="441">
        <f ca="1">Table66[[#This Row],[Year 6 (Specified in RFO) - N/A]]-Table66[[#This Row],[Column1]]</f>
        <v>0</v>
      </c>
    </row>
    <row r="183" spans="1:22" ht="16.5" thickBot="1">
      <c r="A183" s="227"/>
      <c r="B183" s="319"/>
      <c r="C183" s="319"/>
      <c r="D183" s="320"/>
      <c r="E183" s="320"/>
      <c r="F183" s="190"/>
      <c r="G1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3" s="190"/>
      <c r="I1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3" s="190"/>
      <c r="K1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3" s="190"/>
      <c r="M1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3" s="190"/>
      <c r="O1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3" s="190"/>
      <c r="Q1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3" s="192">
        <f ca="1">Table66[[#This Row],[Year 1 (Specified in RFO) - N/A]]+Table66[[#This Row],[Year 2 (Specified in RFO) - N/A]]+Table66[[#This Row],[Year 3 (Specified in RFO) - N/A]]+Table66[[#This Row],[Year 4 (Specified in RFO) - N/A]]+Table66[[#This Row],[Year 5 (Specified in RFO) - N/A]]+Table66[[#This Row],[Year 6 (Specified in RFO) - N/A]]</f>
        <v>0</v>
      </c>
      <c r="S183" s="402">
        <f ca="1">Table66[[#This Row],[Year 1  (Proposed)]]+Table66[[#This Row],[Year 2 (Proposed)]]+Table66[[#This Row],[Year 3 (Proposed)]]+Table66[[#This Row],[Year 4 (Proposed)]]+Table66[[#This Row],[Year 5 (Proposed)]]+Table66[[#This Row],[Year 6 (Proposed)]]</f>
        <v>0</v>
      </c>
      <c r="T183" s="403" t="b">
        <f ca="1">Table66[[#This Row],[Total Specifed in RFO - N/A]]=Table66[[#This Row],[Total Proposed]]</f>
        <v>1</v>
      </c>
      <c r="U183" s="439"/>
      <c r="V183" s="441">
        <f ca="1">Table66[[#This Row],[Year 6 (Specified in RFO) - N/A]]-Table66[[#This Row],[Column1]]</f>
        <v>0</v>
      </c>
    </row>
    <row r="184" spans="1:22" ht="16.5" thickBot="1">
      <c r="A184" s="227"/>
      <c r="B184" s="319"/>
      <c r="C184" s="319"/>
      <c r="D184" s="320"/>
      <c r="E184" s="320"/>
      <c r="F184" s="190"/>
      <c r="G1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4" s="190"/>
      <c r="I1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4" s="190"/>
      <c r="K1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4" s="190"/>
      <c r="M1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4" s="190"/>
      <c r="O1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4" s="190"/>
      <c r="Q1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4" s="192">
        <f ca="1">Table66[[#This Row],[Year 1 (Specified in RFO) - N/A]]+Table66[[#This Row],[Year 2 (Specified in RFO) - N/A]]+Table66[[#This Row],[Year 3 (Specified in RFO) - N/A]]+Table66[[#This Row],[Year 4 (Specified in RFO) - N/A]]+Table66[[#This Row],[Year 5 (Specified in RFO) - N/A]]+Table66[[#This Row],[Year 6 (Specified in RFO) - N/A]]</f>
        <v>0</v>
      </c>
      <c r="S184" s="402">
        <f ca="1">Table66[[#This Row],[Year 1  (Proposed)]]+Table66[[#This Row],[Year 2 (Proposed)]]+Table66[[#This Row],[Year 3 (Proposed)]]+Table66[[#This Row],[Year 4 (Proposed)]]+Table66[[#This Row],[Year 5 (Proposed)]]+Table66[[#This Row],[Year 6 (Proposed)]]</f>
        <v>0</v>
      </c>
      <c r="T184" s="403" t="b">
        <f ca="1">Table66[[#This Row],[Total Specifed in RFO - N/A]]=Table66[[#This Row],[Total Proposed]]</f>
        <v>1</v>
      </c>
      <c r="U184" s="439"/>
      <c r="V184" s="441">
        <f ca="1">Table66[[#This Row],[Year 6 (Specified in RFO) - N/A]]-Table66[[#This Row],[Column1]]</f>
        <v>0</v>
      </c>
    </row>
    <row r="185" spans="1:22" ht="16.5" thickBot="1">
      <c r="A185" s="227"/>
      <c r="B185" s="227"/>
      <c r="C185" s="227"/>
      <c r="D185" s="320"/>
      <c r="E185" s="320"/>
      <c r="F185" s="190"/>
      <c r="G1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5" s="190"/>
      <c r="I1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5" s="190"/>
      <c r="K1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5" s="190"/>
      <c r="M1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5" s="190"/>
      <c r="O1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5" s="190"/>
      <c r="Q1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5" s="192">
        <f ca="1">Table66[[#This Row],[Year 1 (Specified in RFO) - N/A]]+Table66[[#This Row],[Year 2 (Specified in RFO) - N/A]]+Table66[[#This Row],[Year 3 (Specified in RFO) - N/A]]+Table66[[#This Row],[Year 4 (Specified in RFO) - N/A]]+Table66[[#This Row],[Year 5 (Specified in RFO) - N/A]]+Table66[[#This Row],[Year 6 (Specified in RFO) - N/A]]</f>
        <v>0</v>
      </c>
      <c r="S185" s="402">
        <f ca="1">Table66[[#This Row],[Year 1  (Proposed)]]+Table66[[#This Row],[Year 2 (Proposed)]]+Table66[[#This Row],[Year 3 (Proposed)]]+Table66[[#This Row],[Year 4 (Proposed)]]+Table66[[#This Row],[Year 5 (Proposed)]]+Table66[[#This Row],[Year 6 (Proposed)]]</f>
        <v>0</v>
      </c>
      <c r="T185" s="403" t="b">
        <f ca="1">Table66[[#This Row],[Total Specifed in RFO - N/A]]=Table66[[#This Row],[Total Proposed]]</f>
        <v>1</v>
      </c>
      <c r="U185" s="439"/>
      <c r="V185" s="441">
        <f ca="1">Table66[[#This Row],[Year 6 (Specified in RFO) - N/A]]-Table66[[#This Row],[Column1]]</f>
        <v>0</v>
      </c>
    </row>
    <row r="186" spans="1:22" ht="16.5" thickBot="1">
      <c r="A186" s="227"/>
      <c r="B186" s="319"/>
      <c r="C186" s="319"/>
      <c r="D186" s="320"/>
      <c r="E186" s="320"/>
      <c r="F186" s="190"/>
      <c r="G1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6" s="190"/>
      <c r="I1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6" s="190"/>
      <c r="K1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6" s="190"/>
      <c r="M1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6" s="190"/>
      <c r="O1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6" s="190"/>
      <c r="Q1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6" s="192">
        <f ca="1">Table66[[#This Row],[Year 1 (Specified in RFO) - N/A]]+Table66[[#This Row],[Year 2 (Specified in RFO) - N/A]]+Table66[[#This Row],[Year 3 (Specified in RFO) - N/A]]+Table66[[#This Row],[Year 4 (Specified in RFO) - N/A]]+Table66[[#This Row],[Year 5 (Specified in RFO) - N/A]]+Table66[[#This Row],[Year 6 (Specified in RFO) - N/A]]</f>
        <v>0</v>
      </c>
      <c r="S186" s="402">
        <f ca="1">Table66[[#This Row],[Year 1  (Proposed)]]+Table66[[#This Row],[Year 2 (Proposed)]]+Table66[[#This Row],[Year 3 (Proposed)]]+Table66[[#This Row],[Year 4 (Proposed)]]+Table66[[#This Row],[Year 5 (Proposed)]]+Table66[[#This Row],[Year 6 (Proposed)]]</f>
        <v>0</v>
      </c>
      <c r="T186" s="403" t="b">
        <f ca="1">Table66[[#This Row],[Total Specifed in RFO - N/A]]=Table66[[#This Row],[Total Proposed]]</f>
        <v>1</v>
      </c>
      <c r="U186" s="439"/>
      <c r="V186" s="441">
        <f ca="1">Table66[[#This Row],[Year 6 (Specified in RFO) - N/A]]-Table66[[#This Row],[Column1]]</f>
        <v>0</v>
      </c>
    </row>
    <row r="187" spans="1:22" ht="16.5" thickBot="1">
      <c r="A187" s="227"/>
      <c r="B187" s="319"/>
      <c r="C187" s="319"/>
      <c r="D187" s="320"/>
      <c r="E187" s="320"/>
      <c r="F187" s="190"/>
      <c r="G1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7" s="190"/>
      <c r="I1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7" s="190"/>
      <c r="K1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7" s="190"/>
      <c r="M1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7" s="190"/>
      <c r="O1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7" s="190"/>
      <c r="Q1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7" s="192">
        <f ca="1">Table66[[#This Row],[Year 1 (Specified in RFO) - N/A]]+Table66[[#This Row],[Year 2 (Specified in RFO) - N/A]]+Table66[[#This Row],[Year 3 (Specified in RFO) - N/A]]+Table66[[#This Row],[Year 4 (Specified in RFO) - N/A]]+Table66[[#This Row],[Year 5 (Specified in RFO) - N/A]]+Table66[[#This Row],[Year 6 (Specified in RFO) - N/A]]</f>
        <v>0</v>
      </c>
      <c r="S187" s="402">
        <f ca="1">Table66[[#This Row],[Year 1  (Proposed)]]+Table66[[#This Row],[Year 2 (Proposed)]]+Table66[[#This Row],[Year 3 (Proposed)]]+Table66[[#This Row],[Year 4 (Proposed)]]+Table66[[#This Row],[Year 5 (Proposed)]]+Table66[[#This Row],[Year 6 (Proposed)]]</f>
        <v>0</v>
      </c>
      <c r="T187" s="403" t="b">
        <f ca="1">Table66[[#This Row],[Total Specifed in RFO - N/A]]=Table66[[#This Row],[Total Proposed]]</f>
        <v>1</v>
      </c>
      <c r="U187" s="439"/>
      <c r="V187" s="441">
        <f ca="1">Table66[[#This Row],[Year 6 (Specified in RFO) - N/A]]-Table66[[#This Row],[Column1]]</f>
        <v>0</v>
      </c>
    </row>
    <row r="188" spans="1:22" ht="16.5" thickBot="1">
      <c r="A188" s="227"/>
      <c r="B188" s="227"/>
      <c r="C188" s="227"/>
      <c r="D188" s="320"/>
      <c r="E188" s="320"/>
      <c r="F188" s="190"/>
      <c r="G1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8" s="190"/>
      <c r="I1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8" s="190"/>
      <c r="K1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8" s="190"/>
      <c r="M1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8" s="190"/>
      <c r="O1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8" s="190"/>
      <c r="Q1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8" s="192">
        <f ca="1">Table66[[#This Row],[Year 1 (Specified in RFO) - N/A]]+Table66[[#This Row],[Year 2 (Specified in RFO) - N/A]]+Table66[[#This Row],[Year 3 (Specified in RFO) - N/A]]+Table66[[#This Row],[Year 4 (Specified in RFO) - N/A]]+Table66[[#This Row],[Year 5 (Specified in RFO) - N/A]]+Table66[[#This Row],[Year 6 (Specified in RFO) - N/A]]</f>
        <v>0</v>
      </c>
      <c r="S188" s="402">
        <f ca="1">Table66[[#This Row],[Year 1  (Proposed)]]+Table66[[#This Row],[Year 2 (Proposed)]]+Table66[[#This Row],[Year 3 (Proposed)]]+Table66[[#This Row],[Year 4 (Proposed)]]+Table66[[#This Row],[Year 5 (Proposed)]]+Table66[[#This Row],[Year 6 (Proposed)]]</f>
        <v>0</v>
      </c>
      <c r="T188" s="403" t="b">
        <f ca="1">Table66[[#This Row],[Total Specifed in RFO - N/A]]=Table66[[#This Row],[Total Proposed]]</f>
        <v>1</v>
      </c>
      <c r="U188" s="439"/>
      <c r="V188" s="441">
        <f ca="1">Table66[[#This Row],[Year 6 (Specified in RFO) - N/A]]-Table66[[#This Row],[Column1]]</f>
        <v>0</v>
      </c>
    </row>
    <row r="189" spans="1:22" ht="16.5" thickBot="1">
      <c r="A189" s="227"/>
      <c r="B189" s="319"/>
      <c r="C189" s="319"/>
      <c r="D189" s="320"/>
      <c r="E189" s="320"/>
      <c r="F189" s="190"/>
      <c r="G1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9" s="190"/>
      <c r="I1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9" s="190"/>
      <c r="K1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9" s="190"/>
      <c r="M1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9" s="190"/>
      <c r="O1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9" s="190"/>
      <c r="Q1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9" s="192">
        <f ca="1">Table66[[#This Row],[Year 1 (Specified in RFO) - N/A]]+Table66[[#This Row],[Year 2 (Specified in RFO) - N/A]]+Table66[[#This Row],[Year 3 (Specified in RFO) - N/A]]+Table66[[#This Row],[Year 4 (Specified in RFO) - N/A]]+Table66[[#This Row],[Year 5 (Specified in RFO) - N/A]]+Table66[[#This Row],[Year 6 (Specified in RFO) - N/A]]</f>
        <v>0</v>
      </c>
      <c r="S189" s="402">
        <f ca="1">Table66[[#This Row],[Year 1  (Proposed)]]+Table66[[#This Row],[Year 2 (Proposed)]]+Table66[[#This Row],[Year 3 (Proposed)]]+Table66[[#This Row],[Year 4 (Proposed)]]+Table66[[#This Row],[Year 5 (Proposed)]]+Table66[[#This Row],[Year 6 (Proposed)]]</f>
        <v>0</v>
      </c>
      <c r="T189" s="403" t="b">
        <f ca="1">Table66[[#This Row],[Total Specifed in RFO - N/A]]=Table66[[#This Row],[Total Proposed]]</f>
        <v>1</v>
      </c>
      <c r="U189" s="439"/>
      <c r="V189" s="441">
        <f ca="1">Table66[[#This Row],[Year 6 (Specified in RFO) - N/A]]-Table66[[#This Row],[Column1]]</f>
        <v>0</v>
      </c>
    </row>
    <row r="190" spans="1:22" ht="16.5" thickBot="1">
      <c r="A190" s="227"/>
      <c r="B190" s="319"/>
      <c r="C190" s="319"/>
      <c r="D190" s="320"/>
      <c r="E190" s="320"/>
      <c r="F190" s="190"/>
      <c r="G1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0" s="190"/>
      <c r="I1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0" s="190"/>
      <c r="K1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0" s="190"/>
      <c r="M1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0" s="190"/>
      <c r="O1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0" s="190"/>
      <c r="Q1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0" s="192">
        <f ca="1">Table66[[#This Row],[Year 1 (Specified in RFO) - N/A]]+Table66[[#This Row],[Year 2 (Specified in RFO) - N/A]]+Table66[[#This Row],[Year 3 (Specified in RFO) - N/A]]+Table66[[#This Row],[Year 4 (Specified in RFO) - N/A]]+Table66[[#This Row],[Year 5 (Specified in RFO) - N/A]]+Table66[[#This Row],[Year 6 (Specified in RFO) - N/A]]</f>
        <v>0</v>
      </c>
      <c r="S190" s="402">
        <f ca="1">Table66[[#This Row],[Year 1  (Proposed)]]+Table66[[#This Row],[Year 2 (Proposed)]]+Table66[[#This Row],[Year 3 (Proposed)]]+Table66[[#This Row],[Year 4 (Proposed)]]+Table66[[#This Row],[Year 5 (Proposed)]]+Table66[[#This Row],[Year 6 (Proposed)]]</f>
        <v>0</v>
      </c>
      <c r="T190" s="403" t="b">
        <f ca="1">Table66[[#This Row],[Total Specifed in RFO - N/A]]=Table66[[#This Row],[Total Proposed]]</f>
        <v>1</v>
      </c>
      <c r="U190" s="439"/>
      <c r="V190" s="441">
        <f ca="1">Table66[[#This Row],[Year 6 (Specified in RFO) - N/A]]-Table66[[#This Row],[Column1]]</f>
        <v>0</v>
      </c>
    </row>
    <row r="191" spans="1:22" ht="16.5" thickBot="1">
      <c r="A191" s="227"/>
      <c r="B191" s="227"/>
      <c r="C191" s="227"/>
      <c r="D191" s="320"/>
      <c r="E191" s="320"/>
      <c r="F191" s="190"/>
      <c r="G1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1" s="190"/>
      <c r="I1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1" s="190"/>
      <c r="K1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1" s="190"/>
      <c r="M1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1" s="190"/>
      <c r="O1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1" s="190"/>
      <c r="Q1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1" s="192">
        <f ca="1">Table66[[#This Row],[Year 1 (Specified in RFO) - N/A]]+Table66[[#This Row],[Year 2 (Specified in RFO) - N/A]]+Table66[[#This Row],[Year 3 (Specified in RFO) - N/A]]+Table66[[#This Row],[Year 4 (Specified in RFO) - N/A]]+Table66[[#This Row],[Year 5 (Specified in RFO) - N/A]]+Table66[[#This Row],[Year 6 (Specified in RFO) - N/A]]</f>
        <v>0</v>
      </c>
      <c r="S191" s="402">
        <f ca="1">Table66[[#This Row],[Year 1  (Proposed)]]+Table66[[#This Row],[Year 2 (Proposed)]]+Table66[[#This Row],[Year 3 (Proposed)]]+Table66[[#This Row],[Year 4 (Proposed)]]+Table66[[#This Row],[Year 5 (Proposed)]]+Table66[[#This Row],[Year 6 (Proposed)]]</f>
        <v>0</v>
      </c>
      <c r="T191" s="403" t="b">
        <f ca="1">Table66[[#This Row],[Total Specifed in RFO - N/A]]=Table66[[#This Row],[Total Proposed]]</f>
        <v>1</v>
      </c>
      <c r="U191" s="439"/>
      <c r="V191" s="441">
        <f ca="1">Table66[[#This Row],[Year 6 (Specified in RFO) - N/A]]-Table66[[#This Row],[Column1]]</f>
        <v>0</v>
      </c>
    </row>
    <row r="192" spans="1:22" ht="16.5" thickBot="1">
      <c r="A192" s="227"/>
      <c r="B192" s="319"/>
      <c r="C192" s="319"/>
      <c r="D192" s="320"/>
      <c r="E192" s="320"/>
      <c r="F192" s="190"/>
      <c r="G1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2" s="190"/>
      <c r="I1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2" s="190"/>
      <c r="K1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2" s="190"/>
      <c r="M1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2" s="190"/>
      <c r="O1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2" s="190"/>
      <c r="Q1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2" s="192">
        <f ca="1">Table66[[#This Row],[Year 1 (Specified in RFO) - N/A]]+Table66[[#This Row],[Year 2 (Specified in RFO) - N/A]]+Table66[[#This Row],[Year 3 (Specified in RFO) - N/A]]+Table66[[#This Row],[Year 4 (Specified in RFO) - N/A]]+Table66[[#This Row],[Year 5 (Specified in RFO) - N/A]]+Table66[[#This Row],[Year 6 (Specified in RFO) - N/A]]</f>
        <v>0</v>
      </c>
      <c r="S192" s="402">
        <f ca="1">Table66[[#This Row],[Year 1  (Proposed)]]+Table66[[#This Row],[Year 2 (Proposed)]]+Table66[[#This Row],[Year 3 (Proposed)]]+Table66[[#This Row],[Year 4 (Proposed)]]+Table66[[#This Row],[Year 5 (Proposed)]]+Table66[[#This Row],[Year 6 (Proposed)]]</f>
        <v>0</v>
      </c>
      <c r="T192" s="403" t="b">
        <f ca="1">Table66[[#This Row],[Total Specifed in RFO - N/A]]=Table66[[#This Row],[Total Proposed]]</f>
        <v>1</v>
      </c>
      <c r="U192" s="439"/>
      <c r="V192" s="441">
        <f ca="1">Table66[[#This Row],[Year 6 (Specified in RFO) - N/A]]-Table66[[#This Row],[Column1]]</f>
        <v>0</v>
      </c>
    </row>
    <row r="193" spans="1:22" ht="16.5" thickBot="1">
      <c r="A193" s="227"/>
      <c r="B193" s="319"/>
      <c r="C193" s="319"/>
      <c r="D193" s="320"/>
      <c r="E193" s="320"/>
      <c r="F193" s="190"/>
      <c r="G1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3" s="190"/>
      <c r="I1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3" s="190"/>
      <c r="K1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3" s="190"/>
      <c r="M1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3" s="190"/>
      <c r="O1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3" s="190"/>
      <c r="Q1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3" s="192">
        <f ca="1">Table66[[#This Row],[Year 1 (Specified in RFO) - N/A]]+Table66[[#This Row],[Year 2 (Specified in RFO) - N/A]]+Table66[[#This Row],[Year 3 (Specified in RFO) - N/A]]+Table66[[#This Row],[Year 4 (Specified in RFO) - N/A]]+Table66[[#This Row],[Year 5 (Specified in RFO) - N/A]]+Table66[[#This Row],[Year 6 (Specified in RFO) - N/A]]</f>
        <v>0</v>
      </c>
      <c r="S193" s="402">
        <f ca="1">Table66[[#This Row],[Year 1  (Proposed)]]+Table66[[#This Row],[Year 2 (Proposed)]]+Table66[[#This Row],[Year 3 (Proposed)]]+Table66[[#This Row],[Year 4 (Proposed)]]+Table66[[#This Row],[Year 5 (Proposed)]]+Table66[[#This Row],[Year 6 (Proposed)]]</f>
        <v>0</v>
      </c>
      <c r="T193" s="403" t="b">
        <f ca="1">Table66[[#This Row],[Total Specifed in RFO - N/A]]=Table66[[#This Row],[Total Proposed]]</f>
        <v>1</v>
      </c>
      <c r="U193" s="439"/>
      <c r="V193" s="441">
        <f ca="1">Table66[[#This Row],[Year 6 (Specified in RFO) - N/A]]-Table66[[#This Row],[Column1]]</f>
        <v>0</v>
      </c>
    </row>
    <row r="194" spans="1:22" ht="16.5" thickBot="1">
      <c r="A194" s="227"/>
      <c r="B194" s="227"/>
      <c r="C194" s="227"/>
      <c r="D194" s="320"/>
      <c r="E194" s="320"/>
      <c r="F194" s="190"/>
      <c r="G1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4" s="190"/>
      <c r="I1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4" s="190"/>
      <c r="K1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4" s="190"/>
      <c r="M1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4" s="190"/>
      <c r="O1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4" s="190"/>
      <c r="Q1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4" s="192">
        <f ca="1">Table66[[#This Row],[Year 1 (Specified in RFO) - N/A]]+Table66[[#This Row],[Year 2 (Specified in RFO) - N/A]]+Table66[[#This Row],[Year 3 (Specified in RFO) - N/A]]+Table66[[#This Row],[Year 4 (Specified in RFO) - N/A]]+Table66[[#This Row],[Year 5 (Specified in RFO) - N/A]]+Table66[[#This Row],[Year 6 (Specified in RFO) - N/A]]</f>
        <v>0</v>
      </c>
      <c r="S194" s="402">
        <f ca="1">Table66[[#This Row],[Year 1  (Proposed)]]+Table66[[#This Row],[Year 2 (Proposed)]]+Table66[[#This Row],[Year 3 (Proposed)]]+Table66[[#This Row],[Year 4 (Proposed)]]+Table66[[#This Row],[Year 5 (Proposed)]]+Table66[[#This Row],[Year 6 (Proposed)]]</f>
        <v>0</v>
      </c>
      <c r="T194" s="403" t="b">
        <f ca="1">Table66[[#This Row],[Total Specifed in RFO - N/A]]=Table66[[#This Row],[Total Proposed]]</f>
        <v>1</v>
      </c>
      <c r="U194" s="439"/>
      <c r="V194" s="441">
        <f ca="1">Table66[[#This Row],[Year 6 (Specified in RFO) - N/A]]-Table66[[#This Row],[Column1]]</f>
        <v>0</v>
      </c>
    </row>
    <row r="195" spans="1:22" ht="16.5" thickBot="1">
      <c r="A195" s="227"/>
      <c r="B195" s="319"/>
      <c r="C195" s="319"/>
      <c r="D195" s="320"/>
      <c r="E195" s="320"/>
      <c r="F195" s="190"/>
      <c r="G1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5" s="190"/>
      <c r="I1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5" s="190"/>
      <c r="K1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5" s="190"/>
      <c r="M1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5" s="190"/>
      <c r="O1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5" s="190"/>
      <c r="Q1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5" s="192">
        <f ca="1">Table66[[#This Row],[Year 1 (Specified in RFO) - N/A]]+Table66[[#This Row],[Year 2 (Specified in RFO) - N/A]]+Table66[[#This Row],[Year 3 (Specified in RFO) - N/A]]+Table66[[#This Row],[Year 4 (Specified in RFO) - N/A]]+Table66[[#This Row],[Year 5 (Specified in RFO) - N/A]]+Table66[[#This Row],[Year 6 (Specified in RFO) - N/A]]</f>
        <v>0</v>
      </c>
      <c r="S195" s="402">
        <f ca="1">Table66[[#This Row],[Year 1  (Proposed)]]+Table66[[#This Row],[Year 2 (Proposed)]]+Table66[[#This Row],[Year 3 (Proposed)]]+Table66[[#This Row],[Year 4 (Proposed)]]+Table66[[#This Row],[Year 5 (Proposed)]]+Table66[[#This Row],[Year 6 (Proposed)]]</f>
        <v>0</v>
      </c>
      <c r="T195" s="403" t="b">
        <f ca="1">Table66[[#This Row],[Total Specifed in RFO - N/A]]=Table66[[#This Row],[Total Proposed]]</f>
        <v>1</v>
      </c>
      <c r="U195" s="439"/>
      <c r="V195" s="441">
        <f ca="1">Table66[[#This Row],[Year 6 (Specified in RFO) - N/A]]-Table66[[#This Row],[Column1]]</f>
        <v>0</v>
      </c>
    </row>
    <row r="196" spans="1:22" ht="16.5" thickBot="1">
      <c r="A196" s="227"/>
      <c r="B196" s="319"/>
      <c r="C196" s="319"/>
      <c r="D196" s="320"/>
      <c r="E196" s="320"/>
      <c r="F196" s="190"/>
      <c r="G1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6" s="190"/>
      <c r="I1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6" s="190"/>
      <c r="K1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6" s="190"/>
      <c r="M1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6" s="190"/>
      <c r="O1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6" s="190"/>
      <c r="Q1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6" s="192">
        <f ca="1">Table66[[#This Row],[Year 1 (Specified in RFO) - N/A]]+Table66[[#This Row],[Year 2 (Specified in RFO) - N/A]]+Table66[[#This Row],[Year 3 (Specified in RFO) - N/A]]+Table66[[#This Row],[Year 4 (Specified in RFO) - N/A]]+Table66[[#This Row],[Year 5 (Specified in RFO) - N/A]]+Table66[[#This Row],[Year 6 (Specified in RFO) - N/A]]</f>
        <v>0</v>
      </c>
      <c r="S196" s="402">
        <f ca="1">Table66[[#This Row],[Year 1  (Proposed)]]+Table66[[#This Row],[Year 2 (Proposed)]]+Table66[[#This Row],[Year 3 (Proposed)]]+Table66[[#This Row],[Year 4 (Proposed)]]+Table66[[#This Row],[Year 5 (Proposed)]]+Table66[[#This Row],[Year 6 (Proposed)]]</f>
        <v>0</v>
      </c>
      <c r="T196" s="403" t="b">
        <f ca="1">Table66[[#This Row],[Total Specifed in RFO - N/A]]=Table66[[#This Row],[Total Proposed]]</f>
        <v>1</v>
      </c>
      <c r="U196" s="439"/>
      <c r="V196" s="441">
        <f ca="1">Table66[[#This Row],[Year 6 (Specified in RFO) - N/A]]-Table66[[#This Row],[Column1]]</f>
        <v>0</v>
      </c>
    </row>
    <row r="197" spans="1:22" ht="16.5" thickBot="1">
      <c r="A197" s="227"/>
      <c r="B197" s="227"/>
      <c r="C197" s="227"/>
      <c r="D197" s="320"/>
      <c r="E197" s="320"/>
      <c r="F197" s="190"/>
      <c r="G1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7" s="190"/>
      <c r="I1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7" s="190"/>
      <c r="K1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7" s="190"/>
      <c r="M1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7" s="190"/>
      <c r="O1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7" s="190"/>
      <c r="Q1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7" s="192">
        <f ca="1">Table66[[#This Row],[Year 1 (Specified in RFO) - N/A]]+Table66[[#This Row],[Year 2 (Specified in RFO) - N/A]]+Table66[[#This Row],[Year 3 (Specified in RFO) - N/A]]+Table66[[#This Row],[Year 4 (Specified in RFO) - N/A]]+Table66[[#This Row],[Year 5 (Specified in RFO) - N/A]]+Table66[[#This Row],[Year 6 (Specified in RFO) - N/A]]</f>
        <v>0</v>
      </c>
      <c r="S197" s="402">
        <f ca="1">Table66[[#This Row],[Year 1  (Proposed)]]+Table66[[#This Row],[Year 2 (Proposed)]]+Table66[[#This Row],[Year 3 (Proposed)]]+Table66[[#This Row],[Year 4 (Proposed)]]+Table66[[#This Row],[Year 5 (Proposed)]]+Table66[[#This Row],[Year 6 (Proposed)]]</f>
        <v>0</v>
      </c>
      <c r="T197" s="403" t="b">
        <f ca="1">Table66[[#This Row],[Total Specifed in RFO - N/A]]=Table66[[#This Row],[Total Proposed]]</f>
        <v>1</v>
      </c>
      <c r="U197" s="439"/>
      <c r="V197" s="441">
        <f ca="1">Table66[[#This Row],[Year 6 (Specified in RFO) - N/A]]-Table66[[#This Row],[Column1]]</f>
        <v>0</v>
      </c>
    </row>
    <row r="198" spans="1:22" ht="16.5" thickBot="1">
      <c r="A198" s="227"/>
      <c r="B198" s="319"/>
      <c r="C198" s="319"/>
      <c r="D198" s="320"/>
      <c r="E198" s="320"/>
      <c r="F198" s="190"/>
      <c r="G1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8" s="190"/>
      <c r="I1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8" s="190"/>
      <c r="K1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8" s="190"/>
      <c r="M1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8" s="190"/>
      <c r="O1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8" s="190"/>
      <c r="Q1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8" s="192">
        <f ca="1">Table66[[#This Row],[Year 1 (Specified in RFO) - N/A]]+Table66[[#This Row],[Year 2 (Specified in RFO) - N/A]]+Table66[[#This Row],[Year 3 (Specified in RFO) - N/A]]+Table66[[#This Row],[Year 4 (Specified in RFO) - N/A]]+Table66[[#This Row],[Year 5 (Specified in RFO) - N/A]]+Table66[[#This Row],[Year 6 (Specified in RFO) - N/A]]</f>
        <v>0</v>
      </c>
      <c r="S198" s="402">
        <f ca="1">Table66[[#This Row],[Year 1  (Proposed)]]+Table66[[#This Row],[Year 2 (Proposed)]]+Table66[[#This Row],[Year 3 (Proposed)]]+Table66[[#This Row],[Year 4 (Proposed)]]+Table66[[#This Row],[Year 5 (Proposed)]]+Table66[[#This Row],[Year 6 (Proposed)]]</f>
        <v>0</v>
      </c>
      <c r="T198" s="403" t="b">
        <f ca="1">Table66[[#This Row],[Total Specifed in RFO - N/A]]=Table66[[#This Row],[Total Proposed]]</f>
        <v>1</v>
      </c>
      <c r="U198" s="439"/>
      <c r="V198" s="441">
        <f ca="1">Table66[[#This Row],[Year 6 (Specified in RFO) - N/A]]-Table66[[#This Row],[Column1]]</f>
        <v>0</v>
      </c>
    </row>
    <row r="199" spans="1:22" ht="16.5" thickBot="1">
      <c r="A199" s="227"/>
      <c r="B199" s="319"/>
      <c r="C199" s="319"/>
      <c r="D199" s="320"/>
      <c r="E199" s="320"/>
      <c r="F199" s="190"/>
      <c r="G1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9" s="190"/>
      <c r="I1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9" s="190"/>
      <c r="K1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9" s="190"/>
      <c r="M1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9" s="190"/>
      <c r="O1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9" s="190"/>
      <c r="Q1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9" s="192">
        <f ca="1">Table66[[#This Row],[Year 1 (Specified in RFO) - N/A]]+Table66[[#This Row],[Year 2 (Specified in RFO) - N/A]]+Table66[[#This Row],[Year 3 (Specified in RFO) - N/A]]+Table66[[#This Row],[Year 4 (Specified in RFO) - N/A]]+Table66[[#This Row],[Year 5 (Specified in RFO) - N/A]]+Table66[[#This Row],[Year 6 (Specified in RFO) - N/A]]</f>
        <v>0</v>
      </c>
      <c r="S199" s="402">
        <f ca="1">Table66[[#This Row],[Year 1  (Proposed)]]+Table66[[#This Row],[Year 2 (Proposed)]]+Table66[[#This Row],[Year 3 (Proposed)]]+Table66[[#This Row],[Year 4 (Proposed)]]+Table66[[#This Row],[Year 5 (Proposed)]]+Table66[[#This Row],[Year 6 (Proposed)]]</f>
        <v>0</v>
      </c>
      <c r="T199" s="403" t="b">
        <f ca="1">Table66[[#This Row],[Total Specifed in RFO - N/A]]=Table66[[#This Row],[Total Proposed]]</f>
        <v>1</v>
      </c>
      <c r="U199" s="439"/>
      <c r="V199" s="441">
        <f ca="1">Table66[[#This Row],[Year 6 (Specified in RFO) - N/A]]-Table66[[#This Row],[Column1]]</f>
        <v>0</v>
      </c>
    </row>
    <row r="200" spans="1:22" ht="16.5" thickBot="1">
      <c r="A200" s="227"/>
      <c r="B200" s="227"/>
      <c r="C200" s="227"/>
      <c r="D200" s="320"/>
      <c r="E200" s="320"/>
      <c r="F200" s="190"/>
      <c r="G2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0" s="190"/>
      <c r="I2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0" s="190"/>
      <c r="K2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0" s="190"/>
      <c r="M2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0" s="190"/>
      <c r="O2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0" s="190"/>
      <c r="Q2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0" s="192">
        <f ca="1">Table66[[#This Row],[Year 1 (Specified in RFO) - N/A]]+Table66[[#This Row],[Year 2 (Specified in RFO) - N/A]]+Table66[[#This Row],[Year 3 (Specified in RFO) - N/A]]+Table66[[#This Row],[Year 4 (Specified in RFO) - N/A]]+Table66[[#This Row],[Year 5 (Specified in RFO) - N/A]]+Table66[[#This Row],[Year 6 (Specified in RFO) - N/A]]</f>
        <v>0</v>
      </c>
      <c r="S200" s="402">
        <f ca="1">Table66[[#This Row],[Year 1  (Proposed)]]+Table66[[#This Row],[Year 2 (Proposed)]]+Table66[[#This Row],[Year 3 (Proposed)]]+Table66[[#This Row],[Year 4 (Proposed)]]+Table66[[#This Row],[Year 5 (Proposed)]]+Table66[[#This Row],[Year 6 (Proposed)]]</f>
        <v>0</v>
      </c>
      <c r="T200" s="403" t="b">
        <f ca="1">Table66[[#This Row],[Total Specifed in RFO - N/A]]=Table66[[#This Row],[Total Proposed]]</f>
        <v>1</v>
      </c>
      <c r="U200" s="439"/>
      <c r="V200" s="441">
        <f ca="1">Table66[[#This Row],[Year 6 (Specified in RFO) - N/A]]-Table66[[#This Row],[Column1]]</f>
        <v>0</v>
      </c>
    </row>
    <row r="201" spans="1:22" ht="16.5" thickBot="1">
      <c r="A201" s="227"/>
      <c r="B201" s="319"/>
      <c r="C201" s="319"/>
      <c r="D201" s="320"/>
      <c r="E201" s="320"/>
      <c r="F201" s="190"/>
      <c r="G2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1" s="190"/>
      <c r="I2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1" s="190"/>
      <c r="K2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1" s="190"/>
      <c r="M2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1" s="190"/>
      <c r="O2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1" s="190"/>
      <c r="Q2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1" s="192">
        <f ca="1">Table66[[#This Row],[Year 1 (Specified in RFO) - N/A]]+Table66[[#This Row],[Year 2 (Specified in RFO) - N/A]]+Table66[[#This Row],[Year 3 (Specified in RFO) - N/A]]+Table66[[#This Row],[Year 4 (Specified in RFO) - N/A]]+Table66[[#This Row],[Year 5 (Specified in RFO) - N/A]]+Table66[[#This Row],[Year 6 (Specified in RFO) - N/A]]</f>
        <v>0</v>
      </c>
      <c r="S201" s="402">
        <f ca="1">Table66[[#This Row],[Year 1  (Proposed)]]+Table66[[#This Row],[Year 2 (Proposed)]]+Table66[[#This Row],[Year 3 (Proposed)]]+Table66[[#This Row],[Year 4 (Proposed)]]+Table66[[#This Row],[Year 5 (Proposed)]]+Table66[[#This Row],[Year 6 (Proposed)]]</f>
        <v>0</v>
      </c>
      <c r="T201" s="403" t="b">
        <f ca="1">Table66[[#This Row],[Total Specifed in RFO - N/A]]=Table66[[#This Row],[Total Proposed]]</f>
        <v>1</v>
      </c>
      <c r="U201" s="439"/>
      <c r="V201" s="441">
        <f ca="1">Table66[[#This Row],[Year 6 (Specified in RFO) - N/A]]-Table66[[#This Row],[Column1]]</f>
        <v>0</v>
      </c>
    </row>
    <row r="202" spans="1:22" ht="16.5" thickBot="1">
      <c r="A202" s="227"/>
      <c r="B202" s="319"/>
      <c r="C202" s="319"/>
      <c r="D202" s="320"/>
      <c r="E202" s="320"/>
      <c r="F202" s="190"/>
      <c r="G2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2" s="190"/>
      <c r="I2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2" s="190"/>
      <c r="K2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2" s="190"/>
      <c r="M2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2" s="190"/>
      <c r="O2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2" s="190"/>
      <c r="Q2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2" s="192">
        <f ca="1">Table66[[#This Row],[Year 1 (Specified in RFO) - N/A]]+Table66[[#This Row],[Year 2 (Specified in RFO) - N/A]]+Table66[[#This Row],[Year 3 (Specified in RFO) - N/A]]+Table66[[#This Row],[Year 4 (Specified in RFO) - N/A]]+Table66[[#This Row],[Year 5 (Specified in RFO) - N/A]]+Table66[[#This Row],[Year 6 (Specified in RFO) - N/A]]</f>
        <v>0</v>
      </c>
      <c r="S202" s="402">
        <f ca="1">Table66[[#This Row],[Year 1  (Proposed)]]+Table66[[#This Row],[Year 2 (Proposed)]]+Table66[[#This Row],[Year 3 (Proposed)]]+Table66[[#This Row],[Year 4 (Proposed)]]+Table66[[#This Row],[Year 5 (Proposed)]]+Table66[[#This Row],[Year 6 (Proposed)]]</f>
        <v>0</v>
      </c>
      <c r="T202" s="403" t="b">
        <f ca="1">Table66[[#This Row],[Total Specifed in RFO - N/A]]=Table66[[#This Row],[Total Proposed]]</f>
        <v>1</v>
      </c>
      <c r="U202" s="439"/>
      <c r="V202" s="441">
        <f ca="1">Table66[[#This Row],[Year 6 (Specified in RFO) - N/A]]-Table66[[#This Row],[Column1]]</f>
        <v>0</v>
      </c>
    </row>
    <row r="203" spans="1:22" ht="16.5" thickBot="1">
      <c r="A203" s="227"/>
      <c r="B203" s="227"/>
      <c r="C203" s="227"/>
      <c r="D203" s="320"/>
      <c r="E203" s="320"/>
      <c r="F203" s="190"/>
      <c r="G2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3" s="190"/>
      <c r="I2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3" s="190"/>
      <c r="K2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3" s="190"/>
      <c r="M2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3" s="190"/>
      <c r="O2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3" s="190"/>
      <c r="Q2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3" s="192">
        <f ca="1">Table66[[#This Row],[Year 1 (Specified in RFO) - N/A]]+Table66[[#This Row],[Year 2 (Specified in RFO) - N/A]]+Table66[[#This Row],[Year 3 (Specified in RFO) - N/A]]+Table66[[#This Row],[Year 4 (Specified in RFO) - N/A]]+Table66[[#This Row],[Year 5 (Specified in RFO) - N/A]]+Table66[[#This Row],[Year 6 (Specified in RFO) - N/A]]</f>
        <v>0</v>
      </c>
      <c r="S203" s="402">
        <f ca="1">Table66[[#This Row],[Year 1  (Proposed)]]+Table66[[#This Row],[Year 2 (Proposed)]]+Table66[[#This Row],[Year 3 (Proposed)]]+Table66[[#This Row],[Year 4 (Proposed)]]+Table66[[#This Row],[Year 5 (Proposed)]]+Table66[[#This Row],[Year 6 (Proposed)]]</f>
        <v>0</v>
      </c>
      <c r="T203" s="403" t="b">
        <f ca="1">Table66[[#This Row],[Total Specifed in RFO - N/A]]=Table66[[#This Row],[Total Proposed]]</f>
        <v>1</v>
      </c>
      <c r="U203" s="439"/>
      <c r="V203" s="441">
        <f ca="1">Table66[[#This Row],[Year 6 (Specified in RFO) - N/A]]-Table66[[#This Row],[Column1]]</f>
        <v>0</v>
      </c>
    </row>
    <row r="204" spans="1:22" ht="16.5" thickBot="1">
      <c r="A204" s="227"/>
      <c r="B204" s="319"/>
      <c r="C204" s="319"/>
      <c r="D204" s="320"/>
      <c r="E204" s="320"/>
      <c r="F204" s="190"/>
      <c r="G2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4" s="190"/>
      <c r="I2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4" s="190"/>
      <c r="K2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4" s="190"/>
      <c r="M2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4" s="190"/>
      <c r="O2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4" s="190"/>
      <c r="Q2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4" s="192">
        <f ca="1">Table66[[#This Row],[Year 1 (Specified in RFO) - N/A]]+Table66[[#This Row],[Year 2 (Specified in RFO) - N/A]]+Table66[[#This Row],[Year 3 (Specified in RFO) - N/A]]+Table66[[#This Row],[Year 4 (Specified in RFO) - N/A]]+Table66[[#This Row],[Year 5 (Specified in RFO) - N/A]]+Table66[[#This Row],[Year 6 (Specified in RFO) - N/A]]</f>
        <v>0</v>
      </c>
      <c r="S204" s="402">
        <f ca="1">Table66[[#This Row],[Year 1  (Proposed)]]+Table66[[#This Row],[Year 2 (Proposed)]]+Table66[[#This Row],[Year 3 (Proposed)]]+Table66[[#This Row],[Year 4 (Proposed)]]+Table66[[#This Row],[Year 5 (Proposed)]]+Table66[[#This Row],[Year 6 (Proposed)]]</f>
        <v>0</v>
      </c>
      <c r="T204" s="403" t="b">
        <f ca="1">Table66[[#This Row],[Total Specifed in RFO - N/A]]=Table66[[#This Row],[Total Proposed]]</f>
        <v>1</v>
      </c>
      <c r="U204" s="439"/>
      <c r="V204" s="441">
        <f ca="1">Table66[[#This Row],[Year 6 (Specified in RFO) - N/A]]-Table66[[#This Row],[Column1]]</f>
        <v>0</v>
      </c>
    </row>
    <row r="205" spans="1:22" ht="16.5" thickBot="1">
      <c r="A205" s="227"/>
      <c r="B205" s="319"/>
      <c r="C205" s="319"/>
      <c r="D205" s="320"/>
      <c r="E205" s="320"/>
      <c r="F205" s="190"/>
      <c r="G2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5" s="190"/>
      <c r="I2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5" s="190"/>
      <c r="K2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5" s="190"/>
      <c r="M2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5" s="190"/>
      <c r="O2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5" s="190"/>
      <c r="Q2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5" s="192">
        <f ca="1">Table66[[#This Row],[Year 1 (Specified in RFO) - N/A]]+Table66[[#This Row],[Year 2 (Specified in RFO) - N/A]]+Table66[[#This Row],[Year 3 (Specified in RFO) - N/A]]+Table66[[#This Row],[Year 4 (Specified in RFO) - N/A]]+Table66[[#This Row],[Year 5 (Specified in RFO) - N/A]]+Table66[[#This Row],[Year 6 (Specified in RFO) - N/A]]</f>
        <v>0</v>
      </c>
      <c r="S205" s="402">
        <f ca="1">Table66[[#This Row],[Year 1  (Proposed)]]+Table66[[#This Row],[Year 2 (Proposed)]]+Table66[[#This Row],[Year 3 (Proposed)]]+Table66[[#This Row],[Year 4 (Proposed)]]+Table66[[#This Row],[Year 5 (Proposed)]]+Table66[[#This Row],[Year 6 (Proposed)]]</f>
        <v>0</v>
      </c>
      <c r="T205" s="403" t="b">
        <f ca="1">Table66[[#This Row],[Total Specifed in RFO - N/A]]=Table66[[#This Row],[Total Proposed]]</f>
        <v>1</v>
      </c>
      <c r="U205" s="439"/>
      <c r="V205" s="441">
        <f ca="1">Table66[[#This Row],[Year 6 (Specified in RFO) - N/A]]-Table66[[#This Row],[Column1]]</f>
        <v>0</v>
      </c>
    </row>
    <row r="206" spans="1:22" ht="16.5" thickBot="1">
      <c r="A206" s="227"/>
      <c r="B206" s="227"/>
      <c r="C206" s="227"/>
      <c r="D206" s="320"/>
      <c r="E206" s="320"/>
      <c r="F206" s="190"/>
      <c r="G2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6" s="190"/>
      <c r="I2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6" s="190"/>
      <c r="K2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6" s="190"/>
      <c r="M2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6" s="190"/>
      <c r="O2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6" s="190"/>
      <c r="Q2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6" s="192">
        <f ca="1">Table66[[#This Row],[Year 1 (Specified in RFO) - N/A]]+Table66[[#This Row],[Year 2 (Specified in RFO) - N/A]]+Table66[[#This Row],[Year 3 (Specified in RFO) - N/A]]+Table66[[#This Row],[Year 4 (Specified in RFO) - N/A]]+Table66[[#This Row],[Year 5 (Specified in RFO) - N/A]]+Table66[[#This Row],[Year 6 (Specified in RFO) - N/A]]</f>
        <v>0</v>
      </c>
      <c r="S206" s="402">
        <f ca="1">Table66[[#This Row],[Year 1  (Proposed)]]+Table66[[#This Row],[Year 2 (Proposed)]]+Table66[[#This Row],[Year 3 (Proposed)]]+Table66[[#This Row],[Year 4 (Proposed)]]+Table66[[#This Row],[Year 5 (Proposed)]]+Table66[[#This Row],[Year 6 (Proposed)]]</f>
        <v>0</v>
      </c>
      <c r="T206" s="403" t="b">
        <f ca="1">Table66[[#This Row],[Total Specifed in RFO - N/A]]=Table66[[#This Row],[Total Proposed]]</f>
        <v>1</v>
      </c>
      <c r="U206" s="439"/>
      <c r="V206" s="441">
        <f ca="1">Table66[[#This Row],[Year 6 (Specified in RFO) - N/A]]-Table66[[#This Row],[Column1]]</f>
        <v>0</v>
      </c>
    </row>
    <row r="207" spans="1:22" ht="16.5" thickBot="1">
      <c r="A207" s="227"/>
      <c r="B207" s="319"/>
      <c r="C207" s="319"/>
      <c r="D207" s="320"/>
      <c r="E207" s="320"/>
      <c r="F207" s="190"/>
      <c r="G2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7" s="190"/>
      <c r="I2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7" s="190"/>
      <c r="K2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7" s="190"/>
      <c r="M2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7" s="190"/>
      <c r="O2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7" s="190"/>
      <c r="Q2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7" s="192">
        <f ca="1">Table66[[#This Row],[Year 1 (Specified in RFO) - N/A]]+Table66[[#This Row],[Year 2 (Specified in RFO) - N/A]]+Table66[[#This Row],[Year 3 (Specified in RFO) - N/A]]+Table66[[#This Row],[Year 4 (Specified in RFO) - N/A]]+Table66[[#This Row],[Year 5 (Specified in RFO) - N/A]]+Table66[[#This Row],[Year 6 (Specified in RFO) - N/A]]</f>
        <v>0</v>
      </c>
      <c r="S207" s="402">
        <f ca="1">Table66[[#This Row],[Year 1  (Proposed)]]+Table66[[#This Row],[Year 2 (Proposed)]]+Table66[[#This Row],[Year 3 (Proposed)]]+Table66[[#This Row],[Year 4 (Proposed)]]+Table66[[#This Row],[Year 5 (Proposed)]]+Table66[[#This Row],[Year 6 (Proposed)]]</f>
        <v>0</v>
      </c>
      <c r="T207" s="403" t="b">
        <f ca="1">Table66[[#This Row],[Total Specifed in RFO - N/A]]=Table66[[#This Row],[Total Proposed]]</f>
        <v>1</v>
      </c>
      <c r="U207" s="439"/>
      <c r="V207" s="441">
        <f ca="1">Table66[[#This Row],[Year 6 (Specified in RFO) - N/A]]-Table66[[#This Row],[Column1]]</f>
        <v>0</v>
      </c>
    </row>
    <row r="208" spans="1:22" ht="16.5" thickBot="1">
      <c r="A208" s="227"/>
      <c r="B208" s="319"/>
      <c r="C208" s="319"/>
      <c r="D208" s="320"/>
      <c r="E208" s="320"/>
      <c r="F208" s="190"/>
      <c r="G2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8" s="190"/>
      <c r="I2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8" s="190"/>
      <c r="K2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8" s="190"/>
      <c r="M2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8" s="190"/>
      <c r="O2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8" s="190"/>
      <c r="Q2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8" s="192">
        <f ca="1">Table66[[#This Row],[Year 1 (Specified in RFO) - N/A]]+Table66[[#This Row],[Year 2 (Specified in RFO) - N/A]]+Table66[[#This Row],[Year 3 (Specified in RFO) - N/A]]+Table66[[#This Row],[Year 4 (Specified in RFO) - N/A]]+Table66[[#This Row],[Year 5 (Specified in RFO) - N/A]]+Table66[[#This Row],[Year 6 (Specified in RFO) - N/A]]</f>
        <v>0</v>
      </c>
      <c r="S208" s="402">
        <f ca="1">Table66[[#This Row],[Year 1  (Proposed)]]+Table66[[#This Row],[Year 2 (Proposed)]]+Table66[[#This Row],[Year 3 (Proposed)]]+Table66[[#This Row],[Year 4 (Proposed)]]+Table66[[#This Row],[Year 5 (Proposed)]]+Table66[[#This Row],[Year 6 (Proposed)]]</f>
        <v>0</v>
      </c>
      <c r="T208" s="403" t="b">
        <f ca="1">Table66[[#This Row],[Total Specifed in RFO - N/A]]=Table66[[#This Row],[Total Proposed]]</f>
        <v>1</v>
      </c>
      <c r="U208" s="439"/>
      <c r="V208" s="441">
        <f ca="1">Table66[[#This Row],[Year 6 (Specified in RFO) - N/A]]-Table66[[#This Row],[Column1]]</f>
        <v>0</v>
      </c>
    </row>
    <row r="209" spans="1:22" ht="16.5" thickBot="1">
      <c r="A209" s="227"/>
      <c r="B209" s="227"/>
      <c r="C209" s="227"/>
      <c r="D209" s="320"/>
      <c r="E209" s="320"/>
      <c r="F209" s="190"/>
      <c r="G2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9" s="190"/>
      <c r="I2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9" s="190"/>
      <c r="K2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9" s="190"/>
      <c r="M2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9" s="190"/>
      <c r="O2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9" s="190"/>
      <c r="Q2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9" s="192">
        <f ca="1">Table66[[#This Row],[Year 1 (Specified in RFO) - N/A]]+Table66[[#This Row],[Year 2 (Specified in RFO) - N/A]]+Table66[[#This Row],[Year 3 (Specified in RFO) - N/A]]+Table66[[#This Row],[Year 4 (Specified in RFO) - N/A]]+Table66[[#This Row],[Year 5 (Specified in RFO) - N/A]]+Table66[[#This Row],[Year 6 (Specified in RFO) - N/A]]</f>
        <v>0</v>
      </c>
      <c r="S209" s="402">
        <f ca="1">Table66[[#This Row],[Year 1  (Proposed)]]+Table66[[#This Row],[Year 2 (Proposed)]]+Table66[[#This Row],[Year 3 (Proposed)]]+Table66[[#This Row],[Year 4 (Proposed)]]+Table66[[#This Row],[Year 5 (Proposed)]]+Table66[[#This Row],[Year 6 (Proposed)]]</f>
        <v>0</v>
      </c>
      <c r="T209" s="403" t="b">
        <f ca="1">Table66[[#This Row],[Total Specifed in RFO - N/A]]=Table66[[#This Row],[Total Proposed]]</f>
        <v>1</v>
      </c>
      <c r="U209" s="439"/>
      <c r="V209" s="441">
        <f ca="1">Table66[[#This Row],[Year 6 (Specified in RFO) - N/A]]-Table66[[#This Row],[Column1]]</f>
        <v>0</v>
      </c>
    </row>
    <row r="210" spans="1:22" ht="16.5" thickBot="1">
      <c r="A210" s="227"/>
      <c r="B210" s="319"/>
      <c r="C210" s="319"/>
      <c r="D210" s="320"/>
      <c r="E210" s="320"/>
      <c r="F210" s="190"/>
      <c r="G2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0" s="190"/>
      <c r="I2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0" s="190"/>
      <c r="K2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0" s="190"/>
      <c r="M2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0" s="190"/>
      <c r="O2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0" s="190"/>
      <c r="Q2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0" s="192">
        <f ca="1">Table66[[#This Row],[Year 1 (Specified in RFO) - N/A]]+Table66[[#This Row],[Year 2 (Specified in RFO) - N/A]]+Table66[[#This Row],[Year 3 (Specified in RFO) - N/A]]+Table66[[#This Row],[Year 4 (Specified in RFO) - N/A]]+Table66[[#This Row],[Year 5 (Specified in RFO) - N/A]]+Table66[[#This Row],[Year 6 (Specified in RFO) - N/A]]</f>
        <v>0</v>
      </c>
      <c r="S210" s="402">
        <f ca="1">Table66[[#This Row],[Year 1  (Proposed)]]+Table66[[#This Row],[Year 2 (Proposed)]]+Table66[[#This Row],[Year 3 (Proposed)]]+Table66[[#This Row],[Year 4 (Proposed)]]+Table66[[#This Row],[Year 5 (Proposed)]]+Table66[[#This Row],[Year 6 (Proposed)]]</f>
        <v>0</v>
      </c>
      <c r="T210" s="403" t="b">
        <f ca="1">Table66[[#This Row],[Total Specifed in RFO - N/A]]=Table66[[#This Row],[Total Proposed]]</f>
        <v>1</v>
      </c>
      <c r="U210" s="439"/>
      <c r="V210" s="441">
        <f ca="1">Table66[[#This Row],[Year 6 (Specified in RFO) - N/A]]-Table66[[#This Row],[Column1]]</f>
        <v>0</v>
      </c>
    </row>
    <row r="211" spans="1:22" ht="16.5" thickBot="1">
      <c r="A211" s="227"/>
      <c r="B211" s="319"/>
      <c r="C211" s="319"/>
      <c r="D211" s="320"/>
      <c r="E211" s="320"/>
      <c r="F211" s="190"/>
      <c r="G2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1" s="190"/>
      <c r="I2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1" s="190"/>
      <c r="K2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1" s="190"/>
      <c r="M2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1" s="190"/>
      <c r="O2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1" s="190"/>
      <c r="Q2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1" s="192">
        <f ca="1">Table66[[#This Row],[Year 1 (Specified in RFO) - N/A]]+Table66[[#This Row],[Year 2 (Specified in RFO) - N/A]]+Table66[[#This Row],[Year 3 (Specified in RFO) - N/A]]+Table66[[#This Row],[Year 4 (Specified in RFO) - N/A]]+Table66[[#This Row],[Year 5 (Specified in RFO) - N/A]]+Table66[[#This Row],[Year 6 (Specified in RFO) - N/A]]</f>
        <v>0</v>
      </c>
      <c r="S211" s="402">
        <f ca="1">Table66[[#This Row],[Year 1  (Proposed)]]+Table66[[#This Row],[Year 2 (Proposed)]]+Table66[[#This Row],[Year 3 (Proposed)]]+Table66[[#This Row],[Year 4 (Proposed)]]+Table66[[#This Row],[Year 5 (Proposed)]]+Table66[[#This Row],[Year 6 (Proposed)]]</f>
        <v>0</v>
      </c>
      <c r="T211" s="403" t="b">
        <f ca="1">Table66[[#This Row],[Total Specifed in RFO - N/A]]=Table66[[#This Row],[Total Proposed]]</f>
        <v>1</v>
      </c>
      <c r="U211" s="439"/>
      <c r="V211" s="441">
        <f ca="1">Table66[[#This Row],[Year 6 (Specified in RFO) - N/A]]-Table66[[#This Row],[Column1]]</f>
        <v>0</v>
      </c>
    </row>
    <row r="212" spans="1:22" ht="16.5" thickBot="1">
      <c r="A212" s="227"/>
      <c r="B212" s="227"/>
      <c r="C212" s="227"/>
      <c r="D212" s="320"/>
      <c r="E212" s="320"/>
      <c r="F212" s="190"/>
      <c r="G2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2" s="190"/>
      <c r="I2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2" s="190"/>
      <c r="K2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2" s="190"/>
      <c r="M2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2" s="190"/>
      <c r="O2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2" s="190"/>
      <c r="Q2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2" s="192">
        <f ca="1">Table66[[#This Row],[Year 1 (Specified in RFO) - N/A]]+Table66[[#This Row],[Year 2 (Specified in RFO) - N/A]]+Table66[[#This Row],[Year 3 (Specified in RFO) - N/A]]+Table66[[#This Row],[Year 4 (Specified in RFO) - N/A]]+Table66[[#This Row],[Year 5 (Specified in RFO) - N/A]]+Table66[[#This Row],[Year 6 (Specified in RFO) - N/A]]</f>
        <v>0</v>
      </c>
      <c r="S212" s="402">
        <f ca="1">Table66[[#This Row],[Year 1  (Proposed)]]+Table66[[#This Row],[Year 2 (Proposed)]]+Table66[[#This Row],[Year 3 (Proposed)]]+Table66[[#This Row],[Year 4 (Proposed)]]+Table66[[#This Row],[Year 5 (Proposed)]]+Table66[[#This Row],[Year 6 (Proposed)]]</f>
        <v>0</v>
      </c>
      <c r="T212" s="403" t="b">
        <f ca="1">Table66[[#This Row],[Total Specifed in RFO - N/A]]=Table66[[#This Row],[Total Proposed]]</f>
        <v>1</v>
      </c>
      <c r="U212" s="439"/>
      <c r="V212" s="441">
        <f ca="1">Table66[[#This Row],[Year 6 (Specified in RFO) - N/A]]-Table66[[#This Row],[Column1]]</f>
        <v>0</v>
      </c>
    </row>
    <row r="213" spans="1:22" ht="16.5" thickBot="1">
      <c r="A213" s="227"/>
      <c r="B213" s="319"/>
      <c r="C213" s="319"/>
      <c r="D213" s="320"/>
      <c r="E213" s="320"/>
      <c r="F213" s="190"/>
      <c r="G2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3" s="190"/>
      <c r="I2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3" s="190"/>
      <c r="K2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3" s="190"/>
      <c r="M2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3" s="190"/>
      <c r="O2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3" s="190"/>
      <c r="Q2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3" s="192">
        <f ca="1">Table66[[#This Row],[Year 1 (Specified in RFO) - N/A]]+Table66[[#This Row],[Year 2 (Specified in RFO) - N/A]]+Table66[[#This Row],[Year 3 (Specified in RFO) - N/A]]+Table66[[#This Row],[Year 4 (Specified in RFO) - N/A]]+Table66[[#This Row],[Year 5 (Specified in RFO) - N/A]]+Table66[[#This Row],[Year 6 (Specified in RFO) - N/A]]</f>
        <v>0</v>
      </c>
      <c r="S213" s="402">
        <f ca="1">Table66[[#This Row],[Year 1  (Proposed)]]+Table66[[#This Row],[Year 2 (Proposed)]]+Table66[[#This Row],[Year 3 (Proposed)]]+Table66[[#This Row],[Year 4 (Proposed)]]+Table66[[#This Row],[Year 5 (Proposed)]]+Table66[[#This Row],[Year 6 (Proposed)]]</f>
        <v>0</v>
      </c>
      <c r="T213" s="403" t="b">
        <f ca="1">Table66[[#This Row],[Total Specifed in RFO - N/A]]=Table66[[#This Row],[Total Proposed]]</f>
        <v>1</v>
      </c>
      <c r="U213" s="439"/>
      <c r="V213" s="441">
        <f ca="1">Table66[[#This Row],[Year 6 (Specified in RFO) - N/A]]-Table66[[#This Row],[Column1]]</f>
        <v>0</v>
      </c>
    </row>
    <row r="214" spans="1:22" ht="16.5" thickBot="1">
      <c r="A214" s="227"/>
      <c r="B214" s="319"/>
      <c r="C214" s="319"/>
      <c r="D214" s="320"/>
      <c r="E214" s="320"/>
      <c r="F214" s="190"/>
      <c r="G2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4" s="190"/>
      <c r="I2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4" s="190"/>
      <c r="K2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4" s="190"/>
      <c r="M2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4" s="190"/>
      <c r="O2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4" s="190"/>
      <c r="Q2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4" s="192">
        <f ca="1">Table66[[#This Row],[Year 1 (Specified in RFO) - N/A]]+Table66[[#This Row],[Year 2 (Specified in RFO) - N/A]]+Table66[[#This Row],[Year 3 (Specified in RFO) - N/A]]+Table66[[#This Row],[Year 4 (Specified in RFO) - N/A]]+Table66[[#This Row],[Year 5 (Specified in RFO) - N/A]]+Table66[[#This Row],[Year 6 (Specified in RFO) - N/A]]</f>
        <v>0</v>
      </c>
      <c r="S214" s="402">
        <f ca="1">Table66[[#This Row],[Year 1  (Proposed)]]+Table66[[#This Row],[Year 2 (Proposed)]]+Table66[[#This Row],[Year 3 (Proposed)]]+Table66[[#This Row],[Year 4 (Proposed)]]+Table66[[#This Row],[Year 5 (Proposed)]]+Table66[[#This Row],[Year 6 (Proposed)]]</f>
        <v>0</v>
      </c>
      <c r="T214" s="403" t="b">
        <f ca="1">Table66[[#This Row],[Total Specifed in RFO - N/A]]=Table66[[#This Row],[Total Proposed]]</f>
        <v>1</v>
      </c>
      <c r="U214" s="439"/>
      <c r="V214" s="441">
        <f ca="1">Table66[[#This Row],[Year 6 (Specified in RFO) - N/A]]-Table66[[#This Row],[Column1]]</f>
        <v>0</v>
      </c>
    </row>
    <row r="215" spans="1:22" ht="16.5" thickBot="1">
      <c r="A215" s="227"/>
      <c r="B215" s="227"/>
      <c r="C215" s="227"/>
      <c r="D215" s="320"/>
      <c r="E215" s="320"/>
      <c r="F215" s="190"/>
      <c r="G2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5" s="190"/>
      <c r="I2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5" s="190"/>
      <c r="K2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5" s="190"/>
      <c r="M2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5" s="190"/>
      <c r="O2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5" s="190"/>
      <c r="Q2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5" s="192">
        <f ca="1">Table66[[#This Row],[Year 1 (Specified in RFO) - N/A]]+Table66[[#This Row],[Year 2 (Specified in RFO) - N/A]]+Table66[[#This Row],[Year 3 (Specified in RFO) - N/A]]+Table66[[#This Row],[Year 4 (Specified in RFO) - N/A]]+Table66[[#This Row],[Year 5 (Specified in RFO) - N/A]]+Table66[[#This Row],[Year 6 (Specified in RFO) - N/A]]</f>
        <v>0</v>
      </c>
      <c r="S215" s="402">
        <f ca="1">Table66[[#This Row],[Year 1  (Proposed)]]+Table66[[#This Row],[Year 2 (Proposed)]]+Table66[[#This Row],[Year 3 (Proposed)]]+Table66[[#This Row],[Year 4 (Proposed)]]+Table66[[#This Row],[Year 5 (Proposed)]]+Table66[[#This Row],[Year 6 (Proposed)]]</f>
        <v>0</v>
      </c>
      <c r="T215" s="403" t="b">
        <f ca="1">Table66[[#This Row],[Total Specifed in RFO - N/A]]=Table66[[#This Row],[Total Proposed]]</f>
        <v>1</v>
      </c>
      <c r="U215" s="439"/>
      <c r="V215" s="441">
        <f ca="1">Table66[[#This Row],[Year 6 (Specified in RFO) - N/A]]-Table66[[#This Row],[Column1]]</f>
        <v>0</v>
      </c>
    </row>
    <row r="216" spans="1:22" ht="16.5" thickBot="1">
      <c r="A216" s="227"/>
      <c r="B216" s="319"/>
      <c r="C216" s="319"/>
      <c r="D216" s="320"/>
      <c r="E216" s="320"/>
      <c r="F216" s="190"/>
      <c r="G2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6" s="190"/>
      <c r="I2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6" s="190"/>
      <c r="K2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6" s="190"/>
      <c r="M2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6" s="190"/>
      <c r="O2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6" s="190"/>
      <c r="Q2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6" s="192">
        <f ca="1">Table66[[#This Row],[Year 1 (Specified in RFO) - N/A]]+Table66[[#This Row],[Year 2 (Specified in RFO) - N/A]]+Table66[[#This Row],[Year 3 (Specified in RFO) - N/A]]+Table66[[#This Row],[Year 4 (Specified in RFO) - N/A]]+Table66[[#This Row],[Year 5 (Specified in RFO) - N/A]]+Table66[[#This Row],[Year 6 (Specified in RFO) - N/A]]</f>
        <v>0</v>
      </c>
      <c r="S216" s="402">
        <f ca="1">Table66[[#This Row],[Year 1  (Proposed)]]+Table66[[#This Row],[Year 2 (Proposed)]]+Table66[[#This Row],[Year 3 (Proposed)]]+Table66[[#This Row],[Year 4 (Proposed)]]+Table66[[#This Row],[Year 5 (Proposed)]]+Table66[[#This Row],[Year 6 (Proposed)]]</f>
        <v>0</v>
      </c>
      <c r="T216" s="403" t="b">
        <f ca="1">Table66[[#This Row],[Total Specifed in RFO - N/A]]=Table66[[#This Row],[Total Proposed]]</f>
        <v>1</v>
      </c>
      <c r="U216" s="439"/>
      <c r="V216" s="441">
        <f ca="1">Table66[[#This Row],[Year 6 (Specified in RFO) - N/A]]-Table66[[#This Row],[Column1]]</f>
        <v>0</v>
      </c>
    </row>
    <row r="217" spans="1:22" ht="16.5" thickBot="1">
      <c r="A217" s="227"/>
      <c r="B217" s="319"/>
      <c r="C217" s="319"/>
      <c r="D217" s="320"/>
      <c r="E217" s="320"/>
      <c r="F217" s="190"/>
      <c r="G2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7" s="190"/>
      <c r="I2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7" s="190"/>
      <c r="K2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7" s="190"/>
      <c r="M2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7" s="190"/>
      <c r="O2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7" s="190"/>
      <c r="Q2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7" s="192">
        <f ca="1">Table66[[#This Row],[Year 1 (Specified in RFO) - N/A]]+Table66[[#This Row],[Year 2 (Specified in RFO) - N/A]]+Table66[[#This Row],[Year 3 (Specified in RFO) - N/A]]+Table66[[#This Row],[Year 4 (Specified in RFO) - N/A]]+Table66[[#This Row],[Year 5 (Specified in RFO) - N/A]]+Table66[[#This Row],[Year 6 (Specified in RFO) - N/A]]</f>
        <v>0</v>
      </c>
      <c r="S217" s="402">
        <f ca="1">Table66[[#This Row],[Year 1  (Proposed)]]+Table66[[#This Row],[Year 2 (Proposed)]]+Table66[[#This Row],[Year 3 (Proposed)]]+Table66[[#This Row],[Year 4 (Proposed)]]+Table66[[#This Row],[Year 5 (Proposed)]]+Table66[[#This Row],[Year 6 (Proposed)]]</f>
        <v>0</v>
      </c>
      <c r="T217" s="403" t="b">
        <f ca="1">Table66[[#This Row],[Total Specifed in RFO - N/A]]=Table66[[#This Row],[Total Proposed]]</f>
        <v>1</v>
      </c>
      <c r="U217" s="439"/>
      <c r="V217" s="441">
        <f ca="1">Table66[[#This Row],[Year 6 (Specified in RFO) - N/A]]-Table66[[#This Row],[Column1]]</f>
        <v>0</v>
      </c>
    </row>
    <row r="218" spans="1:22" ht="16.5" thickBot="1">
      <c r="A218" s="227"/>
      <c r="B218" s="227"/>
      <c r="C218" s="227"/>
      <c r="D218" s="320"/>
      <c r="E218" s="320"/>
      <c r="F218" s="190"/>
      <c r="G2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8" s="190"/>
      <c r="I2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8" s="190"/>
      <c r="K2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8" s="190"/>
      <c r="M2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8" s="190"/>
      <c r="O2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8" s="190"/>
      <c r="Q2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8" s="192">
        <f ca="1">Table66[[#This Row],[Year 1 (Specified in RFO) - N/A]]+Table66[[#This Row],[Year 2 (Specified in RFO) - N/A]]+Table66[[#This Row],[Year 3 (Specified in RFO) - N/A]]+Table66[[#This Row],[Year 4 (Specified in RFO) - N/A]]+Table66[[#This Row],[Year 5 (Specified in RFO) - N/A]]+Table66[[#This Row],[Year 6 (Specified in RFO) - N/A]]</f>
        <v>0</v>
      </c>
      <c r="S218" s="402">
        <f ca="1">Table66[[#This Row],[Year 1  (Proposed)]]+Table66[[#This Row],[Year 2 (Proposed)]]+Table66[[#This Row],[Year 3 (Proposed)]]+Table66[[#This Row],[Year 4 (Proposed)]]+Table66[[#This Row],[Year 5 (Proposed)]]+Table66[[#This Row],[Year 6 (Proposed)]]</f>
        <v>0</v>
      </c>
      <c r="T218" s="403" t="b">
        <f ca="1">Table66[[#This Row],[Total Specifed in RFO - N/A]]=Table66[[#This Row],[Total Proposed]]</f>
        <v>1</v>
      </c>
      <c r="U218" s="439"/>
      <c r="V218" s="441">
        <f ca="1">Table66[[#This Row],[Year 6 (Specified in RFO) - N/A]]-Table66[[#This Row],[Column1]]</f>
        <v>0</v>
      </c>
    </row>
    <row r="219" spans="1:22" ht="16.5" thickBot="1">
      <c r="A219" s="227"/>
      <c r="B219" s="319"/>
      <c r="C219" s="319"/>
      <c r="D219" s="320"/>
      <c r="E219" s="320"/>
      <c r="F219" s="190"/>
      <c r="G2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9" s="190"/>
      <c r="I2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9" s="190"/>
      <c r="K2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9" s="190"/>
      <c r="M2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9" s="190"/>
      <c r="O2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9" s="190"/>
      <c r="Q2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9" s="192">
        <f ca="1">Table66[[#This Row],[Year 1 (Specified in RFO) - N/A]]+Table66[[#This Row],[Year 2 (Specified in RFO) - N/A]]+Table66[[#This Row],[Year 3 (Specified in RFO) - N/A]]+Table66[[#This Row],[Year 4 (Specified in RFO) - N/A]]+Table66[[#This Row],[Year 5 (Specified in RFO) - N/A]]+Table66[[#This Row],[Year 6 (Specified in RFO) - N/A]]</f>
        <v>0</v>
      </c>
      <c r="S219" s="402">
        <f ca="1">Table66[[#This Row],[Year 1  (Proposed)]]+Table66[[#This Row],[Year 2 (Proposed)]]+Table66[[#This Row],[Year 3 (Proposed)]]+Table66[[#This Row],[Year 4 (Proposed)]]+Table66[[#This Row],[Year 5 (Proposed)]]+Table66[[#This Row],[Year 6 (Proposed)]]</f>
        <v>0</v>
      </c>
      <c r="T219" s="403" t="b">
        <f ca="1">Table66[[#This Row],[Total Specifed in RFO - N/A]]=Table66[[#This Row],[Total Proposed]]</f>
        <v>1</v>
      </c>
      <c r="U219" s="439"/>
      <c r="V219" s="441">
        <f ca="1">Table66[[#This Row],[Year 6 (Specified in RFO) - N/A]]-Table66[[#This Row],[Column1]]</f>
        <v>0</v>
      </c>
    </row>
    <row r="220" spans="1:22" ht="16.5" thickBot="1">
      <c r="A220" s="227"/>
      <c r="B220" s="319"/>
      <c r="C220" s="319"/>
      <c r="D220" s="320"/>
      <c r="E220" s="320"/>
      <c r="F220" s="190"/>
      <c r="G2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0" s="190"/>
      <c r="I2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0" s="190"/>
      <c r="K2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0" s="190"/>
      <c r="M2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0" s="190"/>
      <c r="O2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0" s="190"/>
      <c r="Q2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0" s="192">
        <f ca="1">Table66[[#This Row],[Year 1 (Specified in RFO) - N/A]]+Table66[[#This Row],[Year 2 (Specified in RFO) - N/A]]+Table66[[#This Row],[Year 3 (Specified in RFO) - N/A]]+Table66[[#This Row],[Year 4 (Specified in RFO) - N/A]]+Table66[[#This Row],[Year 5 (Specified in RFO) - N/A]]+Table66[[#This Row],[Year 6 (Specified in RFO) - N/A]]</f>
        <v>0</v>
      </c>
      <c r="S220" s="402">
        <f ca="1">Table66[[#This Row],[Year 1  (Proposed)]]+Table66[[#This Row],[Year 2 (Proposed)]]+Table66[[#This Row],[Year 3 (Proposed)]]+Table66[[#This Row],[Year 4 (Proposed)]]+Table66[[#This Row],[Year 5 (Proposed)]]+Table66[[#This Row],[Year 6 (Proposed)]]</f>
        <v>0</v>
      </c>
      <c r="T220" s="403" t="b">
        <f ca="1">Table66[[#This Row],[Total Specifed in RFO - N/A]]=Table66[[#This Row],[Total Proposed]]</f>
        <v>1</v>
      </c>
      <c r="U220" s="439"/>
      <c r="V220" s="441">
        <f ca="1">Table66[[#This Row],[Year 6 (Specified in RFO) - N/A]]-Table66[[#This Row],[Column1]]</f>
        <v>0</v>
      </c>
    </row>
    <row r="221" spans="1:22" ht="16.5" thickBot="1">
      <c r="A221" s="227"/>
      <c r="B221" s="227"/>
      <c r="C221" s="227"/>
      <c r="D221" s="320"/>
      <c r="E221" s="320"/>
      <c r="F221" s="190"/>
      <c r="G2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1" s="190"/>
      <c r="I2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1" s="190"/>
      <c r="K2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1" s="190"/>
      <c r="M2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1" s="190"/>
      <c r="O2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1" s="190"/>
      <c r="Q2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1" s="192">
        <f ca="1">Table66[[#This Row],[Year 1 (Specified in RFO) - N/A]]+Table66[[#This Row],[Year 2 (Specified in RFO) - N/A]]+Table66[[#This Row],[Year 3 (Specified in RFO) - N/A]]+Table66[[#This Row],[Year 4 (Specified in RFO) - N/A]]+Table66[[#This Row],[Year 5 (Specified in RFO) - N/A]]+Table66[[#This Row],[Year 6 (Specified in RFO) - N/A]]</f>
        <v>0</v>
      </c>
      <c r="S221" s="402">
        <f ca="1">Table66[[#This Row],[Year 1  (Proposed)]]+Table66[[#This Row],[Year 2 (Proposed)]]+Table66[[#This Row],[Year 3 (Proposed)]]+Table66[[#This Row],[Year 4 (Proposed)]]+Table66[[#This Row],[Year 5 (Proposed)]]+Table66[[#This Row],[Year 6 (Proposed)]]</f>
        <v>0</v>
      </c>
      <c r="T221" s="403" t="b">
        <f ca="1">Table66[[#This Row],[Total Specifed in RFO - N/A]]=Table66[[#This Row],[Total Proposed]]</f>
        <v>1</v>
      </c>
      <c r="U221" s="439"/>
      <c r="V221" s="441">
        <f ca="1">Table66[[#This Row],[Year 6 (Specified in RFO) - N/A]]-Table66[[#This Row],[Column1]]</f>
        <v>0</v>
      </c>
    </row>
    <row r="222" spans="1:22" ht="16.5" thickBot="1">
      <c r="A222" s="227"/>
      <c r="B222" s="319"/>
      <c r="C222" s="319"/>
      <c r="D222" s="320"/>
      <c r="E222" s="320"/>
      <c r="F222" s="190"/>
      <c r="G2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2" s="190"/>
      <c r="I2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2" s="190"/>
      <c r="K2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2" s="190"/>
      <c r="M2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2" s="190"/>
      <c r="O2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2" s="190"/>
      <c r="Q2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2" s="192">
        <f ca="1">Table66[[#This Row],[Year 1 (Specified in RFO) - N/A]]+Table66[[#This Row],[Year 2 (Specified in RFO) - N/A]]+Table66[[#This Row],[Year 3 (Specified in RFO) - N/A]]+Table66[[#This Row],[Year 4 (Specified in RFO) - N/A]]+Table66[[#This Row],[Year 5 (Specified in RFO) - N/A]]+Table66[[#This Row],[Year 6 (Specified in RFO) - N/A]]</f>
        <v>0</v>
      </c>
      <c r="S222" s="402">
        <f ca="1">Table66[[#This Row],[Year 1  (Proposed)]]+Table66[[#This Row],[Year 2 (Proposed)]]+Table66[[#This Row],[Year 3 (Proposed)]]+Table66[[#This Row],[Year 4 (Proposed)]]+Table66[[#This Row],[Year 5 (Proposed)]]+Table66[[#This Row],[Year 6 (Proposed)]]</f>
        <v>0</v>
      </c>
      <c r="T222" s="403" t="b">
        <f ca="1">Table66[[#This Row],[Total Specifed in RFO - N/A]]=Table66[[#This Row],[Total Proposed]]</f>
        <v>1</v>
      </c>
      <c r="U222" s="439"/>
      <c r="V222" s="441">
        <f ca="1">Table66[[#This Row],[Year 6 (Specified in RFO) - N/A]]-Table66[[#This Row],[Column1]]</f>
        <v>0</v>
      </c>
    </row>
    <row r="223" spans="1:22" ht="16.5" thickBot="1">
      <c r="A223" s="227"/>
      <c r="B223" s="319"/>
      <c r="C223" s="319"/>
      <c r="D223" s="320"/>
      <c r="E223" s="320"/>
      <c r="F223" s="190"/>
      <c r="G2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3" s="190"/>
      <c r="I2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3" s="190"/>
      <c r="K2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3" s="190"/>
      <c r="M2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3" s="190"/>
      <c r="O2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3" s="190"/>
      <c r="Q2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3" s="192">
        <f ca="1">Table66[[#This Row],[Year 1 (Specified in RFO) - N/A]]+Table66[[#This Row],[Year 2 (Specified in RFO) - N/A]]+Table66[[#This Row],[Year 3 (Specified in RFO) - N/A]]+Table66[[#This Row],[Year 4 (Specified in RFO) - N/A]]+Table66[[#This Row],[Year 5 (Specified in RFO) - N/A]]+Table66[[#This Row],[Year 6 (Specified in RFO) - N/A]]</f>
        <v>0</v>
      </c>
      <c r="S223" s="402">
        <f ca="1">Table66[[#This Row],[Year 1  (Proposed)]]+Table66[[#This Row],[Year 2 (Proposed)]]+Table66[[#This Row],[Year 3 (Proposed)]]+Table66[[#This Row],[Year 4 (Proposed)]]+Table66[[#This Row],[Year 5 (Proposed)]]+Table66[[#This Row],[Year 6 (Proposed)]]</f>
        <v>0</v>
      </c>
      <c r="T223" s="403" t="b">
        <f ca="1">Table66[[#This Row],[Total Specifed in RFO - N/A]]=Table66[[#This Row],[Total Proposed]]</f>
        <v>1</v>
      </c>
      <c r="U223" s="439"/>
      <c r="V223" s="441">
        <f ca="1">Table66[[#This Row],[Year 6 (Specified in RFO) - N/A]]-Table66[[#This Row],[Column1]]</f>
        <v>0</v>
      </c>
    </row>
    <row r="224" spans="1:22" ht="16.5" thickBot="1">
      <c r="A224" s="227"/>
      <c r="B224" s="227"/>
      <c r="C224" s="227"/>
      <c r="D224" s="320"/>
      <c r="E224" s="320"/>
      <c r="F224" s="190"/>
      <c r="G2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4" s="190"/>
      <c r="I2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4" s="190"/>
      <c r="K2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4" s="190"/>
      <c r="M2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4" s="190"/>
      <c r="O2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4" s="190"/>
      <c r="Q2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4" s="192">
        <f ca="1">Table66[[#This Row],[Year 1 (Specified in RFO) - N/A]]+Table66[[#This Row],[Year 2 (Specified in RFO) - N/A]]+Table66[[#This Row],[Year 3 (Specified in RFO) - N/A]]+Table66[[#This Row],[Year 4 (Specified in RFO) - N/A]]+Table66[[#This Row],[Year 5 (Specified in RFO) - N/A]]+Table66[[#This Row],[Year 6 (Specified in RFO) - N/A]]</f>
        <v>0</v>
      </c>
      <c r="S224" s="402">
        <f ca="1">Table66[[#This Row],[Year 1  (Proposed)]]+Table66[[#This Row],[Year 2 (Proposed)]]+Table66[[#This Row],[Year 3 (Proposed)]]+Table66[[#This Row],[Year 4 (Proposed)]]+Table66[[#This Row],[Year 5 (Proposed)]]+Table66[[#This Row],[Year 6 (Proposed)]]</f>
        <v>0</v>
      </c>
      <c r="T224" s="403" t="b">
        <f ca="1">Table66[[#This Row],[Total Specifed in RFO - N/A]]=Table66[[#This Row],[Total Proposed]]</f>
        <v>1</v>
      </c>
      <c r="U224" s="439"/>
      <c r="V224" s="441">
        <f ca="1">Table66[[#This Row],[Year 6 (Specified in RFO) - N/A]]-Table66[[#This Row],[Column1]]</f>
        <v>0</v>
      </c>
    </row>
    <row r="225" spans="1:22" ht="16.5" thickBot="1">
      <c r="A225" s="227"/>
      <c r="B225" s="319"/>
      <c r="C225" s="319"/>
      <c r="D225" s="320"/>
      <c r="E225" s="320"/>
      <c r="F225" s="190"/>
      <c r="G2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5" s="190"/>
      <c r="I2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5" s="190"/>
      <c r="K2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5" s="190"/>
      <c r="M2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5" s="190"/>
      <c r="O2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5" s="190"/>
      <c r="Q2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5" s="192">
        <f ca="1">Table66[[#This Row],[Year 1 (Specified in RFO) - N/A]]+Table66[[#This Row],[Year 2 (Specified in RFO) - N/A]]+Table66[[#This Row],[Year 3 (Specified in RFO) - N/A]]+Table66[[#This Row],[Year 4 (Specified in RFO) - N/A]]+Table66[[#This Row],[Year 5 (Specified in RFO) - N/A]]+Table66[[#This Row],[Year 6 (Specified in RFO) - N/A]]</f>
        <v>0</v>
      </c>
      <c r="S225" s="402">
        <f ca="1">Table66[[#This Row],[Year 1  (Proposed)]]+Table66[[#This Row],[Year 2 (Proposed)]]+Table66[[#This Row],[Year 3 (Proposed)]]+Table66[[#This Row],[Year 4 (Proposed)]]+Table66[[#This Row],[Year 5 (Proposed)]]+Table66[[#This Row],[Year 6 (Proposed)]]</f>
        <v>0</v>
      </c>
      <c r="T225" s="403" t="b">
        <f ca="1">Table66[[#This Row],[Total Specifed in RFO - N/A]]=Table66[[#This Row],[Total Proposed]]</f>
        <v>1</v>
      </c>
      <c r="U225" s="439"/>
      <c r="V225" s="441">
        <f ca="1">Table66[[#This Row],[Year 6 (Specified in RFO) - N/A]]-Table66[[#This Row],[Column1]]</f>
        <v>0</v>
      </c>
    </row>
    <row r="226" spans="1:22" ht="16.5" thickBot="1">
      <c r="A226" s="227"/>
      <c r="B226" s="319"/>
      <c r="C226" s="319"/>
      <c r="D226" s="320"/>
      <c r="E226" s="320"/>
      <c r="F226" s="190"/>
      <c r="G2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6" s="190"/>
      <c r="I2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6" s="190"/>
      <c r="K2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6" s="190"/>
      <c r="M2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6" s="190"/>
      <c r="O2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6" s="190"/>
      <c r="Q2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6" s="192">
        <f ca="1">Table66[[#This Row],[Year 1 (Specified in RFO) - N/A]]+Table66[[#This Row],[Year 2 (Specified in RFO) - N/A]]+Table66[[#This Row],[Year 3 (Specified in RFO) - N/A]]+Table66[[#This Row],[Year 4 (Specified in RFO) - N/A]]+Table66[[#This Row],[Year 5 (Specified in RFO) - N/A]]+Table66[[#This Row],[Year 6 (Specified in RFO) - N/A]]</f>
        <v>0</v>
      </c>
      <c r="S226" s="402">
        <f ca="1">Table66[[#This Row],[Year 1  (Proposed)]]+Table66[[#This Row],[Year 2 (Proposed)]]+Table66[[#This Row],[Year 3 (Proposed)]]+Table66[[#This Row],[Year 4 (Proposed)]]+Table66[[#This Row],[Year 5 (Proposed)]]+Table66[[#This Row],[Year 6 (Proposed)]]</f>
        <v>0</v>
      </c>
      <c r="T226" s="403" t="b">
        <f ca="1">Table66[[#This Row],[Total Specifed in RFO - N/A]]=Table66[[#This Row],[Total Proposed]]</f>
        <v>1</v>
      </c>
      <c r="U226" s="439"/>
      <c r="V226" s="441">
        <f ca="1">Table66[[#This Row],[Year 6 (Specified in RFO) - N/A]]-Table66[[#This Row],[Column1]]</f>
        <v>0</v>
      </c>
    </row>
    <row r="227" spans="1:22" ht="16.5" thickBot="1">
      <c r="A227" s="227"/>
      <c r="B227" s="227"/>
      <c r="C227" s="227"/>
      <c r="D227" s="320"/>
      <c r="E227" s="320"/>
      <c r="F227" s="190"/>
      <c r="G2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7" s="190"/>
      <c r="I2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7" s="190"/>
      <c r="K2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7" s="190"/>
      <c r="M2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7" s="190"/>
      <c r="O2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7" s="190"/>
      <c r="Q2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7" s="192">
        <f ca="1">Table66[[#This Row],[Year 1 (Specified in RFO) - N/A]]+Table66[[#This Row],[Year 2 (Specified in RFO) - N/A]]+Table66[[#This Row],[Year 3 (Specified in RFO) - N/A]]+Table66[[#This Row],[Year 4 (Specified in RFO) - N/A]]+Table66[[#This Row],[Year 5 (Specified in RFO) - N/A]]+Table66[[#This Row],[Year 6 (Specified in RFO) - N/A]]</f>
        <v>0</v>
      </c>
      <c r="S227" s="402">
        <f ca="1">Table66[[#This Row],[Year 1  (Proposed)]]+Table66[[#This Row],[Year 2 (Proposed)]]+Table66[[#This Row],[Year 3 (Proposed)]]+Table66[[#This Row],[Year 4 (Proposed)]]+Table66[[#This Row],[Year 5 (Proposed)]]+Table66[[#This Row],[Year 6 (Proposed)]]</f>
        <v>0</v>
      </c>
      <c r="T227" s="403" t="b">
        <f ca="1">Table66[[#This Row],[Total Specifed in RFO - N/A]]=Table66[[#This Row],[Total Proposed]]</f>
        <v>1</v>
      </c>
      <c r="U227" s="439"/>
      <c r="V227" s="441">
        <f ca="1">Table66[[#This Row],[Year 6 (Specified in RFO) - N/A]]-Table66[[#This Row],[Column1]]</f>
        <v>0</v>
      </c>
    </row>
    <row r="228" spans="1:22" ht="16.5" thickBot="1">
      <c r="A228" s="227"/>
      <c r="B228" s="319"/>
      <c r="C228" s="319"/>
      <c r="D228" s="320"/>
      <c r="E228" s="320"/>
      <c r="F228" s="190"/>
      <c r="G2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8" s="190"/>
      <c r="I2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8" s="190"/>
      <c r="K2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8" s="190"/>
      <c r="M2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8" s="190"/>
      <c r="O2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8" s="190"/>
      <c r="Q2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8" s="192">
        <f ca="1">Table66[[#This Row],[Year 1 (Specified in RFO) - N/A]]+Table66[[#This Row],[Year 2 (Specified in RFO) - N/A]]+Table66[[#This Row],[Year 3 (Specified in RFO) - N/A]]+Table66[[#This Row],[Year 4 (Specified in RFO) - N/A]]+Table66[[#This Row],[Year 5 (Specified in RFO) - N/A]]+Table66[[#This Row],[Year 6 (Specified in RFO) - N/A]]</f>
        <v>0</v>
      </c>
      <c r="S228" s="402">
        <f ca="1">Table66[[#This Row],[Year 1  (Proposed)]]+Table66[[#This Row],[Year 2 (Proposed)]]+Table66[[#This Row],[Year 3 (Proposed)]]+Table66[[#This Row],[Year 4 (Proposed)]]+Table66[[#This Row],[Year 5 (Proposed)]]+Table66[[#This Row],[Year 6 (Proposed)]]</f>
        <v>0</v>
      </c>
      <c r="T228" s="403" t="b">
        <f ca="1">Table66[[#This Row],[Total Specifed in RFO - N/A]]=Table66[[#This Row],[Total Proposed]]</f>
        <v>1</v>
      </c>
      <c r="U228" s="439"/>
      <c r="V228" s="441">
        <f ca="1">Table66[[#This Row],[Year 6 (Specified in RFO) - N/A]]-Table66[[#This Row],[Column1]]</f>
        <v>0</v>
      </c>
    </row>
    <row r="229" spans="1:22" ht="16.5" thickBot="1">
      <c r="A229" s="227"/>
      <c r="B229" s="319"/>
      <c r="C229" s="319"/>
      <c r="D229" s="320"/>
      <c r="E229" s="320"/>
      <c r="F229" s="190"/>
      <c r="G2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9" s="190"/>
      <c r="I2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9" s="190"/>
      <c r="K2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9" s="190"/>
      <c r="M2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9" s="190"/>
      <c r="O2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9" s="190"/>
      <c r="Q2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9" s="192">
        <f ca="1">Table66[[#This Row],[Year 1 (Specified in RFO) - N/A]]+Table66[[#This Row],[Year 2 (Specified in RFO) - N/A]]+Table66[[#This Row],[Year 3 (Specified in RFO) - N/A]]+Table66[[#This Row],[Year 4 (Specified in RFO) - N/A]]+Table66[[#This Row],[Year 5 (Specified in RFO) - N/A]]+Table66[[#This Row],[Year 6 (Specified in RFO) - N/A]]</f>
        <v>0</v>
      </c>
      <c r="S229" s="402">
        <f ca="1">Table66[[#This Row],[Year 1  (Proposed)]]+Table66[[#This Row],[Year 2 (Proposed)]]+Table66[[#This Row],[Year 3 (Proposed)]]+Table66[[#This Row],[Year 4 (Proposed)]]+Table66[[#This Row],[Year 5 (Proposed)]]+Table66[[#This Row],[Year 6 (Proposed)]]</f>
        <v>0</v>
      </c>
      <c r="T229" s="403" t="b">
        <f ca="1">Table66[[#This Row],[Total Specifed in RFO - N/A]]=Table66[[#This Row],[Total Proposed]]</f>
        <v>1</v>
      </c>
      <c r="U229" s="439"/>
      <c r="V229" s="441">
        <f ca="1">Table66[[#This Row],[Year 6 (Specified in RFO) - N/A]]-Table66[[#This Row],[Column1]]</f>
        <v>0</v>
      </c>
    </row>
    <row r="230" spans="1:22" ht="16.5" thickBot="1">
      <c r="A230" s="227"/>
      <c r="B230" s="227"/>
      <c r="C230" s="227"/>
      <c r="D230" s="320"/>
      <c r="E230" s="320"/>
      <c r="F230" s="190"/>
      <c r="G2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0" s="190"/>
      <c r="I2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0" s="190"/>
      <c r="K2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0" s="190"/>
      <c r="M2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0" s="190"/>
      <c r="O2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0" s="190"/>
      <c r="Q2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0" s="192">
        <f ca="1">Table66[[#This Row],[Year 1 (Specified in RFO) - N/A]]+Table66[[#This Row],[Year 2 (Specified in RFO) - N/A]]+Table66[[#This Row],[Year 3 (Specified in RFO) - N/A]]+Table66[[#This Row],[Year 4 (Specified in RFO) - N/A]]+Table66[[#This Row],[Year 5 (Specified in RFO) - N/A]]+Table66[[#This Row],[Year 6 (Specified in RFO) - N/A]]</f>
        <v>0</v>
      </c>
      <c r="S230" s="402">
        <f ca="1">Table66[[#This Row],[Year 1  (Proposed)]]+Table66[[#This Row],[Year 2 (Proposed)]]+Table66[[#This Row],[Year 3 (Proposed)]]+Table66[[#This Row],[Year 4 (Proposed)]]+Table66[[#This Row],[Year 5 (Proposed)]]+Table66[[#This Row],[Year 6 (Proposed)]]</f>
        <v>0</v>
      </c>
      <c r="T230" s="403" t="b">
        <f ca="1">Table66[[#This Row],[Total Specifed in RFO - N/A]]=Table66[[#This Row],[Total Proposed]]</f>
        <v>1</v>
      </c>
      <c r="U230" s="439"/>
      <c r="V230" s="441">
        <f ca="1">Table66[[#This Row],[Year 6 (Specified in RFO) - N/A]]-Table66[[#This Row],[Column1]]</f>
        <v>0</v>
      </c>
    </row>
    <row r="231" spans="1:22" ht="16.5" thickBot="1">
      <c r="A231" s="227"/>
      <c r="B231" s="319"/>
      <c r="C231" s="319"/>
      <c r="D231" s="320"/>
      <c r="E231" s="320"/>
      <c r="F231" s="190"/>
      <c r="G2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1" s="190"/>
      <c r="I2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1" s="190"/>
      <c r="K2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1" s="190"/>
      <c r="M2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1" s="190"/>
      <c r="O2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1" s="190"/>
      <c r="Q2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1" s="192">
        <f ca="1">Table66[[#This Row],[Year 1 (Specified in RFO) - N/A]]+Table66[[#This Row],[Year 2 (Specified in RFO) - N/A]]+Table66[[#This Row],[Year 3 (Specified in RFO) - N/A]]+Table66[[#This Row],[Year 4 (Specified in RFO) - N/A]]+Table66[[#This Row],[Year 5 (Specified in RFO) - N/A]]+Table66[[#This Row],[Year 6 (Specified in RFO) - N/A]]</f>
        <v>0</v>
      </c>
      <c r="S231" s="402">
        <f ca="1">Table66[[#This Row],[Year 1  (Proposed)]]+Table66[[#This Row],[Year 2 (Proposed)]]+Table66[[#This Row],[Year 3 (Proposed)]]+Table66[[#This Row],[Year 4 (Proposed)]]+Table66[[#This Row],[Year 5 (Proposed)]]+Table66[[#This Row],[Year 6 (Proposed)]]</f>
        <v>0</v>
      </c>
      <c r="T231" s="403" t="b">
        <f ca="1">Table66[[#This Row],[Total Specifed in RFO - N/A]]=Table66[[#This Row],[Total Proposed]]</f>
        <v>1</v>
      </c>
      <c r="U231" s="439"/>
      <c r="V231" s="441">
        <f ca="1">Table66[[#This Row],[Year 6 (Specified in RFO) - N/A]]-Table66[[#This Row],[Column1]]</f>
        <v>0</v>
      </c>
    </row>
    <row r="232" spans="1:22" ht="16.5" thickBot="1">
      <c r="A232" s="227"/>
      <c r="B232" s="319"/>
      <c r="C232" s="319"/>
      <c r="D232" s="320"/>
      <c r="E232" s="320"/>
      <c r="F232" s="190"/>
      <c r="G2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2" s="190"/>
      <c r="I2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2" s="190"/>
      <c r="K2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2" s="190"/>
      <c r="M2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2" s="190"/>
      <c r="O2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2" s="190"/>
      <c r="Q2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2" s="192">
        <f ca="1">Table66[[#This Row],[Year 1 (Specified in RFO) - N/A]]+Table66[[#This Row],[Year 2 (Specified in RFO) - N/A]]+Table66[[#This Row],[Year 3 (Specified in RFO) - N/A]]+Table66[[#This Row],[Year 4 (Specified in RFO) - N/A]]+Table66[[#This Row],[Year 5 (Specified in RFO) - N/A]]+Table66[[#This Row],[Year 6 (Specified in RFO) - N/A]]</f>
        <v>0</v>
      </c>
      <c r="S232" s="402">
        <f ca="1">Table66[[#This Row],[Year 1  (Proposed)]]+Table66[[#This Row],[Year 2 (Proposed)]]+Table66[[#This Row],[Year 3 (Proposed)]]+Table66[[#This Row],[Year 4 (Proposed)]]+Table66[[#This Row],[Year 5 (Proposed)]]+Table66[[#This Row],[Year 6 (Proposed)]]</f>
        <v>0</v>
      </c>
      <c r="T232" s="403" t="b">
        <f ca="1">Table66[[#This Row],[Total Specifed in RFO - N/A]]=Table66[[#This Row],[Total Proposed]]</f>
        <v>1</v>
      </c>
      <c r="U232" s="439"/>
      <c r="V232" s="441">
        <f ca="1">Table66[[#This Row],[Year 6 (Specified in RFO) - N/A]]-Table66[[#This Row],[Column1]]</f>
        <v>0</v>
      </c>
    </row>
    <row r="233" spans="1:22" ht="16.5" thickBot="1">
      <c r="A233" s="227"/>
      <c r="B233" s="227"/>
      <c r="C233" s="227"/>
      <c r="D233" s="320"/>
      <c r="E233" s="320"/>
      <c r="F233" s="190"/>
      <c r="G2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3" s="190"/>
      <c r="I2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3" s="190"/>
      <c r="K2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3" s="190"/>
      <c r="M2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3" s="190"/>
      <c r="O2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3" s="190"/>
      <c r="Q2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3" s="192">
        <f ca="1">Table66[[#This Row],[Year 1 (Specified in RFO) - N/A]]+Table66[[#This Row],[Year 2 (Specified in RFO) - N/A]]+Table66[[#This Row],[Year 3 (Specified in RFO) - N/A]]+Table66[[#This Row],[Year 4 (Specified in RFO) - N/A]]+Table66[[#This Row],[Year 5 (Specified in RFO) - N/A]]+Table66[[#This Row],[Year 6 (Specified in RFO) - N/A]]</f>
        <v>0</v>
      </c>
      <c r="S233" s="402">
        <f ca="1">Table66[[#This Row],[Year 1  (Proposed)]]+Table66[[#This Row],[Year 2 (Proposed)]]+Table66[[#This Row],[Year 3 (Proposed)]]+Table66[[#This Row],[Year 4 (Proposed)]]+Table66[[#This Row],[Year 5 (Proposed)]]+Table66[[#This Row],[Year 6 (Proposed)]]</f>
        <v>0</v>
      </c>
      <c r="T233" s="403" t="b">
        <f ca="1">Table66[[#This Row],[Total Specifed in RFO - N/A]]=Table66[[#This Row],[Total Proposed]]</f>
        <v>1</v>
      </c>
      <c r="U233" s="439"/>
      <c r="V233" s="441">
        <f ca="1">Table66[[#This Row],[Year 6 (Specified in RFO) - N/A]]-Table66[[#This Row],[Column1]]</f>
        <v>0</v>
      </c>
    </row>
    <row r="234" spans="1:22" ht="16.5" thickBot="1">
      <c r="A234" s="227"/>
      <c r="B234" s="319"/>
      <c r="C234" s="319"/>
      <c r="D234" s="320"/>
      <c r="E234" s="320"/>
      <c r="F234" s="190"/>
      <c r="G2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4" s="190"/>
      <c r="I2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4" s="190"/>
      <c r="K2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4" s="190"/>
      <c r="M2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4" s="190"/>
      <c r="O2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4" s="190"/>
      <c r="Q2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4" s="192">
        <f ca="1">Table66[[#This Row],[Year 1 (Specified in RFO) - N/A]]+Table66[[#This Row],[Year 2 (Specified in RFO) - N/A]]+Table66[[#This Row],[Year 3 (Specified in RFO) - N/A]]+Table66[[#This Row],[Year 4 (Specified in RFO) - N/A]]+Table66[[#This Row],[Year 5 (Specified in RFO) - N/A]]+Table66[[#This Row],[Year 6 (Specified in RFO) - N/A]]</f>
        <v>0</v>
      </c>
      <c r="S234" s="402">
        <f ca="1">Table66[[#This Row],[Year 1  (Proposed)]]+Table66[[#This Row],[Year 2 (Proposed)]]+Table66[[#This Row],[Year 3 (Proposed)]]+Table66[[#This Row],[Year 4 (Proposed)]]+Table66[[#This Row],[Year 5 (Proposed)]]+Table66[[#This Row],[Year 6 (Proposed)]]</f>
        <v>0</v>
      </c>
      <c r="T234" s="403" t="b">
        <f ca="1">Table66[[#This Row],[Total Specifed in RFO - N/A]]=Table66[[#This Row],[Total Proposed]]</f>
        <v>1</v>
      </c>
      <c r="U234" s="439"/>
      <c r="V234" s="441">
        <f ca="1">Table66[[#This Row],[Year 6 (Specified in RFO) - N/A]]-Table66[[#This Row],[Column1]]</f>
        <v>0</v>
      </c>
    </row>
    <row r="235" spans="1:22" ht="16.5" thickBot="1">
      <c r="A235" s="227"/>
      <c r="B235" s="319"/>
      <c r="C235" s="319"/>
      <c r="D235" s="320"/>
      <c r="E235" s="320"/>
      <c r="F235" s="190"/>
      <c r="G2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5" s="190"/>
      <c r="I2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5" s="190"/>
      <c r="K2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5" s="190"/>
      <c r="M2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5" s="190"/>
      <c r="O2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5" s="190"/>
      <c r="Q2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5" s="192">
        <f ca="1">Table66[[#This Row],[Year 1 (Specified in RFO) - N/A]]+Table66[[#This Row],[Year 2 (Specified in RFO) - N/A]]+Table66[[#This Row],[Year 3 (Specified in RFO) - N/A]]+Table66[[#This Row],[Year 4 (Specified in RFO) - N/A]]+Table66[[#This Row],[Year 5 (Specified in RFO) - N/A]]+Table66[[#This Row],[Year 6 (Specified in RFO) - N/A]]</f>
        <v>0</v>
      </c>
      <c r="S235" s="402">
        <f ca="1">Table66[[#This Row],[Year 1  (Proposed)]]+Table66[[#This Row],[Year 2 (Proposed)]]+Table66[[#This Row],[Year 3 (Proposed)]]+Table66[[#This Row],[Year 4 (Proposed)]]+Table66[[#This Row],[Year 5 (Proposed)]]+Table66[[#This Row],[Year 6 (Proposed)]]</f>
        <v>0</v>
      </c>
      <c r="T235" s="403" t="b">
        <f ca="1">Table66[[#This Row],[Total Specifed in RFO - N/A]]=Table66[[#This Row],[Total Proposed]]</f>
        <v>1</v>
      </c>
      <c r="U235" s="439"/>
      <c r="V235" s="441">
        <f ca="1">Table66[[#This Row],[Year 6 (Specified in RFO) - N/A]]-Table66[[#This Row],[Column1]]</f>
        <v>0</v>
      </c>
    </row>
    <row r="236" spans="1:22" ht="16.5" thickBot="1">
      <c r="A236" s="227"/>
      <c r="B236" s="227"/>
      <c r="C236" s="227"/>
      <c r="D236" s="320"/>
      <c r="E236" s="320"/>
      <c r="F236" s="190"/>
      <c r="G2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6" s="190"/>
      <c r="I2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6" s="190"/>
      <c r="K2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6" s="190"/>
      <c r="M2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6" s="190"/>
      <c r="O2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6" s="190"/>
      <c r="Q2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6" s="192">
        <f ca="1">Table66[[#This Row],[Year 1 (Specified in RFO) - N/A]]+Table66[[#This Row],[Year 2 (Specified in RFO) - N/A]]+Table66[[#This Row],[Year 3 (Specified in RFO) - N/A]]+Table66[[#This Row],[Year 4 (Specified in RFO) - N/A]]+Table66[[#This Row],[Year 5 (Specified in RFO) - N/A]]+Table66[[#This Row],[Year 6 (Specified in RFO) - N/A]]</f>
        <v>0</v>
      </c>
      <c r="S236" s="402">
        <f ca="1">Table66[[#This Row],[Year 1  (Proposed)]]+Table66[[#This Row],[Year 2 (Proposed)]]+Table66[[#This Row],[Year 3 (Proposed)]]+Table66[[#This Row],[Year 4 (Proposed)]]+Table66[[#This Row],[Year 5 (Proposed)]]+Table66[[#This Row],[Year 6 (Proposed)]]</f>
        <v>0</v>
      </c>
      <c r="T236" s="403" t="b">
        <f ca="1">Table66[[#This Row],[Total Specifed in RFO - N/A]]=Table66[[#This Row],[Total Proposed]]</f>
        <v>1</v>
      </c>
      <c r="U236" s="439"/>
      <c r="V236" s="441">
        <f ca="1">Table66[[#This Row],[Year 6 (Specified in RFO) - N/A]]-Table66[[#This Row],[Column1]]</f>
        <v>0</v>
      </c>
    </row>
    <row r="237" spans="1:22" ht="16.5" thickBot="1">
      <c r="A237" s="227"/>
      <c r="B237" s="319"/>
      <c r="C237" s="319"/>
      <c r="D237" s="320"/>
      <c r="E237" s="320"/>
      <c r="F237" s="190"/>
      <c r="G2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7" s="190"/>
      <c r="I2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7" s="190"/>
      <c r="K2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7" s="190"/>
      <c r="M2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7" s="190"/>
      <c r="O2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7" s="190"/>
      <c r="Q2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7" s="192">
        <f ca="1">Table66[[#This Row],[Year 1 (Specified in RFO) - N/A]]+Table66[[#This Row],[Year 2 (Specified in RFO) - N/A]]+Table66[[#This Row],[Year 3 (Specified in RFO) - N/A]]+Table66[[#This Row],[Year 4 (Specified in RFO) - N/A]]+Table66[[#This Row],[Year 5 (Specified in RFO) - N/A]]+Table66[[#This Row],[Year 6 (Specified in RFO) - N/A]]</f>
        <v>0</v>
      </c>
      <c r="S237" s="402">
        <f ca="1">Table66[[#This Row],[Year 1  (Proposed)]]+Table66[[#This Row],[Year 2 (Proposed)]]+Table66[[#This Row],[Year 3 (Proposed)]]+Table66[[#This Row],[Year 4 (Proposed)]]+Table66[[#This Row],[Year 5 (Proposed)]]+Table66[[#This Row],[Year 6 (Proposed)]]</f>
        <v>0</v>
      </c>
      <c r="T237" s="403" t="b">
        <f ca="1">Table66[[#This Row],[Total Specifed in RFO - N/A]]=Table66[[#This Row],[Total Proposed]]</f>
        <v>1</v>
      </c>
      <c r="U237" s="439"/>
      <c r="V237" s="441">
        <f ca="1">Table66[[#This Row],[Year 6 (Specified in RFO) - N/A]]-Table66[[#This Row],[Column1]]</f>
        <v>0</v>
      </c>
    </row>
    <row r="238" spans="1:22" ht="16.5" thickBot="1">
      <c r="A238" s="227"/>
      <c r="B238" s="319"/>
      <c r="C238" s="319"/>
      <c r="D238" s="320"/>
      <c r="E238" s="320"/>
      <c r="F238" s="190"/>
      <c r="G2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8" s="190"/>
      <c r="I2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8" s="190"/>
      <c r="K2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8" s="190"/>
      <c r="M2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8" s="190"/>
      <c r="O2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8" s="190"/>
      <c r="Q2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8" s="192">
        <f ca="1">Table66[[#This Row],[Year 1 (Specified in RFO) - N/A]]+Table66[[#This Row],[Year 2 (Specified in RFO) - N/A]]+Table66[[#This Row],[Year 3 (Specified in RFO) - N/A]]+Table66[[#This Row],[Year 4 (Specified in RFO) - N/A]]+Table66[[#This Row],[Year 5 (Specified in RFO) - N/A]]+Table66[[#This Row],[Year 6 (Specified in RFO) - N/A]]</f>
        <v>0</v>
      </c>
      <c r="S238" s="402">
        <f ca="1">Table66[[#This Row],[Year 1  (Proposed)]]+Table66[[#This Row],[Year 2 (Proposed)]]+Table66[[#This Row],[Year 3 (Proposed)]]+Table66[[#This Row],[Year 4 (Proposed)]]+Table66[[#This Row],[Year 5 (Proposed)]]+Table66[[#This Row],[Year 6 (Proposed)]]</f>
        <v>0</v>
      </c>
      <c r="T238" s="403" t="b">
        <f ca="1">Table66[[#This Row],[Total Specifed in RFO - N/A]]=Table66[[#This Row],[Total Proposed]]</f>
        <v>1</v>
      </c>
      <c r="U238" s="439"/>
      <c r="V238" s="441">
        <f ca="1">Table66[[#This Row],[Year 6 (Specified in RFO) - N/A]]-Table66[[#This Row],[Column1]]</f>
        <v>0</v>
      </c>
    </row>
    <row r="239" spans="1:22" ht="16.5" thickBot="1">
      <c r="A239" s="227"/>
      <c r="B239" s="227"/>
      <c r="C239" s="227"/>
      <c r="D239" s="320"/>
      <c r="E239" s="320"/>
      <c r="F239" s="190"/>
      <c r="G2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9" s="190"/>
      <c r="I2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9" s="190"/>
      <c r="K2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9" s="190"/>
      <c r="M2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9" s="190"/>
      <c r="O2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9" s="190"/>
      <c r="Q2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9" s="192">
        <f ca="1">Table66[[#This Row],[Year 1 (Specified in RFO) - N/A]]+Table66[[#This Row],[Year 2 (Specified in RFO) - N/A]]+Table66[[#This Row],[Year 3 (Specified in RFO) - N/A]]+Table66[[#This Row],[Year 4 (Specified in RFO) - N/A]]+Table66[[#This Row],[Year 5 (Specified in RFO) - N/A]]+Table66[[#This Row],[Year 6 (Specified in RFO) - N/A]]</f>
        <v>0</v>
      </c>
      <c r="S239" s="402">
        <f ca="1">Table66[[#This Row],[Year 1  (Proposed)]]+Table66[[#This Row],[Year 2 (Proposed)]]+Table66[[#This Row],[Year 3 (Proposed)]]+Table66[[#This Row],[Year 4 (Proposed)]]+Table66[[#This Row],[Year 5 (Proposed)]]+Table66[[#This Row],[Year 6 (Proposed)]]</f>
        <v>0</v>
      </c>
      <c r="T239" s="403" t="b">
        <f ca="1">Table66[[#This Row],[Total Specifed in RFO - N/A]]=Table66[[#This Row],[Total Proposed]]</f>
        <v>1</v>
      </c>
      <c r="U239" s="439"/>
      <c r="V239" s="441">
        <f ca="1">Table66[[#This Row],[Year 6 (Specified in RFO) - N/A]]-Table66[[#This Row],[Column1]]</f>
        <v>0</v>
      </c>
    </row>
    <row r="240" spans="1:22" ht="16.5" thickBot="1">
      <c r="A240" s="227"/>
      <c r="B240" s="319"/>
      <c r="C240" s="319"/>
      <c r="D240" s="320"/>
      <c r="E240" s="320"/>
      <c r="F240" s="190"/>
      <c r="G2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0" s="190"/>
      <c r="I2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0" s="190"/>
      <c r="K2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0" s="190"/>
      <c r="M2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0" s="190"/>
      <c r="O2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0" s="190"/>
      <c r="Q2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0" s="192">
        <f ca="1">Table66[[#This Row],[Year 1 (Specified in RFO) - N/A]]+Table66[[#This Row],[Year 2 (Specified in RFO) - N/A]]+Table66[[#This Row],[Year 3 (Specified in RFO) - N/A]]+Table66[[#This Row],[Year 4 (Specified in RFO) - N/A]]+Table66[[#This Row],[Year 5 (Specified in RFO) - N/A]]+Table66[[#This Row],[Year 6 (Specified in RFO) - N/A]]</f>
        <v>0</v>
      </c>
      <c r="S240" s="402">
        <f ca="1">Table66[[#This Row],[Year 1  (Proposed)]]+Table66[[#This Row],[Year 2 (Proposed)]]+Table66[[#This Row],[Year 3 (Proposed)]]+Table66[[#This Row],[Year 4 (Proposed)]]+Table66[[#This Row],[Year 5 (Proposed)]]+Table66[[#This Row],[Year 6 (Proposed)]]</f>
        <v>0</v>
      </c>
      <c r="T240" s="403" t="b">
        <f ca="1">Table66[[#This Row],[Total Specifed in RFO - N/A]]=Table66[[#This Row],[Total Proposed]]</f>
        <v>1</v>
      </c>
      <c r="U240" s="439"/>
      <c r="V240" s="441">
        <f ca="1">Table66[[#This Row],[Year 6 (Specified in RFO) - N/A]]-Table66[[#This Row],[Column1]]</f>
        <v>0</v>
      </c>
    </row>
    <row r="241" spans="1:22" ht="16.5" thickBot="1">
      <c r="A241" s="227"/>
      <c r="B241" s="319"/>
      <c r="C241" s="319"/>
      <c r="D241" s="320"/>
      <c r="E241" s="320"/>
      <c r="F241" s="190"/>
      <c r="G2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1" s="190"/>
      <c r="I2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1" s="190"/>
      <c r="K2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1" s="190"/>
      <c r="M2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1" s="190"/>
      <c r="O2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1" s="190"/>
      <c r="Q2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1" s="192">
        <f ca="1">Table66[[#This Row],[Year 1 (Specified in RFO) - N/A]]+Table66[[#This Row],[Year 2 (Specified in RFO) - N/A]]+Table66[[#This Row],[Year 3 (Specified in RFO) - N/A]]+Table66[[#This Row],[Year 4 (Specified in RFO) - N/A]]+Table66[[#This Row],[Year 5 (Specified in RFO) - N/A]]+Table66[[#This Row],[Year 6 (Specified in RFO) - N/A]]</f>
        <v>0</v>
      </c>
      <c r="S241" s="402">
        <f ca="1">Table66[[#This Row],[Year 1  (Proposed)]]+Table66[[#This Row],[Year 2 (Proposed)]]+Table66[[#This Row],[Year 3 (Proposed)]]+Table66[[#This Row],[Year 4 (Proposed)]]+Table66[[#This Row],[Year 5 (Proposed)]]+Table66[[#This Row],[Year 6 (Proposed)]]</f>
        <v>0</v>
      </c>
      <c r="T241" s="403" t="b">
        <f ca="1">Table66[[#This Row],[Total Specifed in RFO - N/A]]=Table66[[#This Row],[Total Proposed]]</f>
        <v>1</v>
      </c>
      <c r="U241" s="439"/>
      <c r="V241" s="441">
        <f ca="1">Table66[[#This Row],[Year 6 (Specified in RFO) - N/A]]-Table66[[#This Row],[Column1]]</f>
        <v>0</v>
      </c>
    </row>
    <row r="242" spans="1:22" ht="16.5" thickBot="1">
      <c r="A242" s="227"/>
      <c r="B242" s="227"/>
      <c r="C242" s="227"/>
      <c r="D242" s="320"/>
      <c r="E242" s="320"/>
      <c r="F242" s="190"/>
      <c r="G2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2" s="190"/>
      <c r="I2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2" s="190"/>
      <c r="K2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2" s="190"/>
      <c r="M2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2" s="190"/>
      <c r="O2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2" s="190"/>
      <c r="Q2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2" s="192">
        <f ca="1">Table66[[#This Row],[Year 1 (Specified in RFO) - N/A]]+Table66[[#This Row],[Year 2 (Specified in RFO) - N/A]]+Table66[[#This Row],[Year 3 (Specified in RFO) - N/A]]+Table66[[#This Row],[Year 4 (Specified in RFO) - N/A]]+Table66[[#This Row],[Year 5 (Specified in RFO) - N/A]]+Table66[[#This Row],[Year 6 (Specified in RFO) - N/A]]</f>
        <v>0</v>
      </c>
      <c r="S242" s="402">
        <f ca="1">Table66[[#This Row],[Year 1  (Proposed)]]+Table66[[#This Row],[Year 2 (Proposed)]]+Table66[[#This Row],[Year 3 (Proposed)]]+Table66[[#This Row],[Year 4 (Proposed)]]+Table66[[#This Row],[Year 5 (Proposed)]]+Table66[[#This Row],[Year 6 (Proposed)]]</f>
        <v>0</v>
      </c>
      <c r="T242" s="403" t="b">
        <f ca="1">Table66[[#This Row],[Total Specifed in RFO - N/A]]=Table66[[#This Row],[Total Proposed]]</f>
        <v>1</v>
      </c>
      <c r="U242" s="439"/>
      <c r="V242" s="441">
        <f ca="1">Table66[[#This Row],[Year 6 (Specified in RFO) - N/A]]-Table66[[#This Row],[Column1]]</f>
        <v>0</v>
      </c>
    </row>
    <row r="243" spans="1:22" ht="16.5" thickBot="1">
      <c r="A243" s="227"/>
      <c r="B243" s="319"/>
      <c r="C243" s="319"/>
      <c r="D243" s="320"/>
      <c r="E243" s="320"/>
      <c r="F243" s="190"/>
      <c r="G2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3" s="190"/>
      <c r="I2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3" s="190"/>
      <c r="K2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3" s="190"/>
      <c r="M2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3" s="190"/>
      <c r="O2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3" s="190"/>
      <c r="Q2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3" s="192">
        <f ca="1">Table66[[#This Row],[Year 1 (Specified in RFO) - N/A]]+Table66[[#This Row],[Year 2 (Specified in RFO) - N/A]]+Table66[[#This Row],[Year 3 (Specified in RFO) - N/A]]+Table66[[#This Row],[Year 4 (Specified in RFO) - N/A]]+Table66[[#This Row],[Year 5 (Specified in RFO) - N/A]]+Table66[[#This Row],[Year 6 (Specified in RFO) - N/A]]</f>
        <v>0</v>
      </c>
      <c r="S243" s="402">
        <f ca="1">Table66[[#This Row],[Year 1  (Proposed)]]+Table66[[#This Row],[Year 2 (Proposed)]]+Table66[[#This Row],[Year 3 (Proposed)]]+Table66[[#This Row],[Year 4 (Proposed)]]+Table66[[#This Row],[Year 5 (Proposed)]]+Table66[[#This Row],[Year 6 (Proposed)]]</f>
        <v>0</v>
      </c>
      <c r="T243" s="403" t="b">
        <f ca="1">Table66[[#This Row],[Total Specifed in RFO - N/A]]=Table66[[#This Row],[Total Proposed]]</f>
        <v>1</v>
      </c>
      <c r="U243" s="439"/>
      <c r="V243" s="441">
        <f ca="1">Table66[[#This Row],[Year 6 (Specified in RFO) - N/A]]-Table66[[#This Row],[Column1]]</f>
        <v>0</v>
      </c>
    </row>
    <row r="244" spans="1:22" ht="16.5" thickBot="1">
      <c r="A244" s="227"/>
      <c r="B244" s="319"/>
      <c r="C244" s="319"/>
      <c r="D244" s="320"/>
      <c r="E244" s="320"/>
      <c r="F244" s="190"/>
      <c r="G2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4" s="190"/>
      <c r="I2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4" s="190"/>
      <c r="K2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4" s="190"/>
      <c r="M2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4" s="190"/>
      <c r="O2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4" s="190"/>
      <c r="Q2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4" s="192">
        <f ca="1">Table66[[#This Row],[Year 1 (Specified in RFO) - N/A]]+Table66[[#This Row],[Year 2 (Specified in RFO) - N/A]]+Table66[[#This Row],[Year 3 (Specified in RFO) - N/A]]+Table66[[#This Row],[Year 4 (Specified in RFO) - N/A]]+Table66[[#This Row],[Year 5 (Specified in RFO) - N/A]]+Table66[[#This Row],[Year 6 (Specified in RFO) - N/A]]</f>
        <v>0</v>
      </c>
      <c r="S244" s="402">
        <f ca="1">Table66[[#This Row],[Year 1  (Proposed)]]+Table66[[#This Row],[Year 2 (Proposed)]]+Table66[[#This Row],[Year 3 (Proposed)]]+Table66[[#This Row],[Year 4 (Proposed)]]+Table66[[#This Row],[Year 5 (Proposed)]]+Table66[[#This Row],[Year 6 (Proposed)]]</f>
        <v>0</v>
      </c>
      <c r="T244" s="403" t="b">
        <f ca="1">Table66[[#This Row],[Total Specifed in RFO - N/A]]=Table66[[#This Row],[Total Proposed]]</f>
        <v>1</v>
      </c>
      <c r="U244" s="439"/>
      <c r="V244" s="441">
        <f ca="1">Table66[[#This Row],[Year 6 (Specified in RFO) - N/A]]-Table66[[#This Row],[Column1]]</f>
        <v>0</v>
      </c>
    </row>
    <row r="245" spans="1:22" ht="16.5" thickBot="1">
      <c r="A245" s="227"/>
      <c r="B245" s="227"/>
      <c r="C245" s="227"/>
      <c r="D245" s="320"/>
      <c r="E245" s="320"/>
      <c r="F245" s="190"/>
      <c r="G2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5" s="190"/>
      <c r="I2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5" s="190"/>
      <c r="K2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5" s="190"/>
      <c r="M2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5" s="190"/>
      <c r="O2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5" s="190"/>
      <c r="Q2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5" s="192">
        <f ca="1">Table66[[#This Row],[Year 1 (Specified in RFO) - N/A]]+Table66[[#This Row],[Year 2 (Specified in RFO) - N/A]]+Table66[[#This Row],[Year 3 (Specified in RFO) - N/A]]+Table66[[#This Row],[Year 4 (Specified in RFO) - N/A]]+Table66[[#This Row],[Year 5 (Specified in RFO) - N/A]]+Table66[[#This Row],[Year 6 (Specified in RFO) - N/A]]</f>
        <v>0</v>
      </c>
      <c r="S245" s="402">
        <f ca="1">Table66[[#This Row],[Year 1  (Proposed)]]+Table66[[#This Row],[Year 2 (Proposed)]]+Table66[[#This Row],[Year 3 (Proposed)]]+Table66[[#This Row],[Year 4 (Proposed)]]+Table66[[#This Row],[Year 5 (Proposed)]]+Table66[[#This Row],[Year 6 (Proposed)]]</f>
        <v>0</v>
      </c>
      <c r="T245" s="403" t="b">
        <f ca="1">Table66[[#This Row],[Total Specifed in RFO - N/A]]=Table66[[#This Row],[Total Proposed]]</f>
        <v>1</v>
      </c>
      <c r="U245" s="439"/>
      <c r="V245" s="441">
        <f ca="1">Table66[[#This Row],[Year 6 (Specified in RFO) - N/A]]-Table66[[#This Row],[Column1]]</f>
        <v>0</v>
      </c>
    </row>
    <row r="246" spans="1:22" ht="16.5" thickBot="1">
      <c r="A246" s="227"/>
      <c r="B246" s="319"/>
      <c r="C246" s="319"/>
      <c r="D246" s="320"/>
      <c r="E246" s="320"/>
      <c r="F246" s="190"/>
      <c r="G2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6" s="190"/>
      <c r="I2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6" s="190"/>
      <c r="K2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6" s="190"/>
      <c r="M2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6" s="190"/>
      <c r="O2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6" s="190"/>
      <c r="Q2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6" s="192">
        <f ca="1">Table66[[#This Row],[Year 1 (Specified in RFO) - N/A]]+Table66[[#This Row],[Year 2 (Specified in RFO) - N/A]]+Table66[[#This Row],[Year 3 (Specified in RFO) - N/A]]+Table66[[#This Row],[Year 4 (Specified in RFO) - N/A]]+Table66[[#This Row],[Year 5 (Specified in RFO) - N/A]]+Table66[[#This Row],[Year 6 (Specified in RFO) - N/A]]</f>
        <v>0</v>
      </c>
      <c r="S246" s="402">
        <f ca="1">Table66[[#This Row],[Year 1  (Proposed)]]+Table66[[#This Row],[Year 2 (Proposed)]]+Table66[[#This Row],[Year 3 (Proposed)]]+Table66[[#This Row],[Year 4 (Proposed)]]+Table66[[#This Row],[Year 5 (Proposed)]]+Table66[[#This Row],[Year 6 (Proposed)]]</f>
        <v>0</v>
      </c>
      <c r="T246" s="403" t="b">
        <f ca="1">Table66[[#This Row],[Total Specifed in RFO - N/A]]=Table66[[#This Row],[Total Proposed]]</f>
        <v>1</v>
      </c>
      <c r="U246" s="439"/>
      <c r="V246" s="441">
        <f ca="1">Table66[[#This Row],[Year 6 (Specified in RFO) - N/A]]-Table66[[#This Row],[Column1]]</f>
        <v>0</v>
      </c>
    </row>
    <row r="247" spans="1:22" ht="16.5" thickBot="1">
      <c r="A247" s="227"/>
      <c r="B247" s="319"/>
      <c r="C247" s="319"/>
      <c r="D247" s="320"/>
      <c r="E247" s="320"/>
      <c r="F247" s="190"/>
      <c r="G2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7" s="190"/>
      <c r="I2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7" s="190"/>
      <c r="K2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7" s="190"/>
      <c r="M2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7" s="190"/>
      <c r="O2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7" s="190"/>
      <c r="Q2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7" s="192">
        <f ca="1">Table66[[#This Row],[Year 1 (Specified in RFO) - N/A]]+Table66[[#This Row],[Year 2 (Specified in RFO) - N/A]]+Table66[[#This Row],[Year 3 (Specified in RFO) - N/A]]+Table66[[#This Row],[Year 4 (Specified in RFO) - N/A]]+Table66[[#This Row],[Year 5 (Specified in RFO) - N/A]]+Table66[[#This Row],[Year 6 (Specified in RFO) - N/A]]</f>
        <v>0</v>
      </c>
      <c r="S247" s="402">
        <f ca="1">Table66[[#This Row],[Year 1  (Proposed)]]+Table66[[#This Row],[Year 2 (Proposed)]]+Table66[[#This Row],[Year 3 (Proposed)]]+Table66[[#This Row],[Year 4 (Proposed)]]+Table66[[#This Row],[Year 5 (Proposed)]]+Table66[[#This Row],[Year 6 (Proposed)]]</f>
        <v>0</v>
      </c>
      <c r="T247" s="403" t="b">
        <f ca="1">Table66[[#This Row],[Total Specifed in RFO - N/A]]=Table66[[#This Row],[Total Proposed]]</f>
        <v>1</v>
      </c>
      <c r="U247" s="439"/>
      <c r="V247" s="441">
        <f ca="1">Table66[[#This Row],[Year 6 (Specified in RFO) - N/A]]-Table66[[#This Row],[Column1]]</f>
        <v>0</v>
      </c>
    </row>
    <row r="248" spans="1:22" ht="16.5" thickBot="1">
      <c r="A248" s="227"/>
      <c r="B248" s="319"/>
      <c r="C248" s="319"/>
      <c r="D248" s="320"/>
      <c r="E248" s="320"/>
      <c r="F248" s="190"/>
      <c r="G2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8" s="190"/>
      <c r="I2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8" s="190"/>
      <c r="K2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8" s="190"/>
      <c r="M2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8" s="190"/>
      <c r="O2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8" s="190"/>
      <c r="Q2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8" s="192">
        <f ca="1">Table66[[#This Row],[Year 1 (Specified in RFO) - N/A]]+Table66[[#This Row],[Year 2 (Specified in RFO) - N/A]]+Table66[[#This Row],[Year 3 (Specified in RFO) - N/A]]+Table66[[#This Row],[Year 4 (Specified in RFO) - N/A]]+Table66[[#This Row],[Year 5 (Specified in RFO) - N/A]]+Table66[[#This Row],[Year 6 (Specified in RFO) - N/A]]</f>
        <v>0</v>
      </c>
      <c r="S248" s="402">
        <f ca="1">Table66[[#This Row],[Year 1  (Proposed)]]+Table66[[#This Row],[Year 2 (Proposed)]]+Table66[[#This Row],[Year 3 (Proposed)]]+Table66[[#This Row],[Year 4 (Proposed)]]+Table66[[#This Row],[Year 5 (Proposed)]]+Table66[[#This Row],[Year 6 (Proposed)]]</f>
        <v>0</v>
      </c>
      <c r="T248" s="403" t="b">
        <f ca="1">Table66[[#This Row],[Total Specifed in RFO - N/A]]=Table66[[#This Row],[Total Proposed]]</f>
        <v>1</v>
      </c>
      <c r="U248" s="439"/>
      <c r="V248" s="441">
        <f ca="1">Table66[[#This Row],[Year 6 (Specified in RFO) - N/A]]-Table66[[#This Row],[Column1]]</f>
        <v>0</v>
      </c>
    </row>
    <row r="249" spans="1:22" ht="16.5" thickBot="1">
      <c r="A249" s="227"/>
      <c r="B249" s="319"/>
      <c r="C249" s="319"/>
      <c r="D249" s="320"/>
      <c r="E249" s="320"/>
      <c r="F249" s="190"/>
      <c r="G2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9" s="190"/>
      <c r="I2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9" s="190"/>
      <c r="K2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9" s="190"/>
      <c r="M2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9" s="190"/>
      <c r="O2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9" s="190"/>
      <c r="Q2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9" s="192">
        <f ca="1">Table66[[#This Row],[Year 1 (Specified in RFO) - N/A]]+Table66[[#This Row],[Year 2 (Specified in RFO) - N/A]]+Table66[[#This Row],[Year 3 (Specified in RFO) - N/A]]+Table66[[#This Row],[Year 4 (Specified in RFO) - N/A]]+Table66[[#This Row],[Year 5 (Specified in RFO) - N/A]]+Table66[[#This Row],[Year 6 (Specified in RFO) - N/A]]</f>
        <v>0</v>
      </c>
      <c r="S249" s="402">
        <f ca="1">Table66[[#This Row],[Year 1  (Proposed)]]+Table66[[#This Row],[Year 2 (Proposed)]]+Table66[[#This Row],[Year 3 (Proposed)]]+Table66[[#This Row],[Year 4 (Proposed)]]+Table66[[#This Row],[Year 5 (Proposed)]]+Table66[[#This Row],[Year 6 (Proposed)]]</f>
        <v>0</v>
      </c>
      <c r="T249" s="403" t="b">
        <f ca="1">Table66[[#This Row],[Total Specifed in RFO - N/A]]=Table66[[#This Row],[Total Proposed]]</f>
        <v>1</v>
      </c>
      <c r="U249" s="439"/>
      <c r="V249" s="441">
        <f ca="1">Table66[[#This Row],[Year 6 (Specified in RFO) - N/A]]-Table66[[#This Row],[Column1]]</f>
        <v>0</v>
      </c>
    </row>
    <row r="250" spans="1:22" ht="16.5" thickBot="1">
      <c r="A250" s="227"/>
      <c r="B250" s="319"/>
      <c r="C250" s="319"/>
      <c r="D250" s="320"/>
      <c r="E250" s="320"/>
      <c r="F250" s="190"/>
      <c r="G2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0" s="190"/>
      <c r="I2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0" s="190"/>
      <c r="K2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0" s="190"/>
      <c r="M2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0" s="190"/>
      <c r="O2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0" s="190"/>
      <c r="Q2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0" s="192">
        <f ca="1">Table66[[#This Row],[Year 1 (Specified in RFO) - N/A]]+Table66[[#This Row],[Year 2 (Specified in RFO) - N/A]]+Table66[[#This Row],[Year 3 (Specified in RFO) - N/A]]+Table66[[#This Row],[Year 4 (Specified in RFO) - N/A]]+Table66[[#This Row],[Year 5 (Specified in RFO) - N/A]]+Table66[[#This Row],[Year 6 (Specified in RFO) - N/A]]</f>
        <v>0</v>
      </c>
      <c r="S250" s="402">
        <f ca="1">Table66[[#This Row],[Year 1  (Proposed)]]+Table66[[#This Row],[Year 2 (Proposed)]]+Table66[[#This Row],[Year 3 (Proposed)]]+Table66[[#This Row],[Year 4 (Proposed)]]+Table66[[#This Row],[Year 5 (Proposed)]]+Table66[[#This Row],[Year 6 (Proposed)]]</f>
        <v>0</v>
      </c>
      <c r="T250" s="403" t="b">
        <f ca="1">Table66[[#This Row],[Total Specifed in RFO - N/A]]=Table66[[#This Row],[Total Proposed]]</f>
        <v>1</v>
      </c>
      <c r="U250" s="439"/>
      <c r="V250" s="441">
        <f ca="1">Table66[[#This Row],[Year 6 (Specified in RFO) - N/A]]-Table66[[#This Row],[Column1]]</f>
        <v>0</v>
      </c>
    </row>
    <row r="251" spans="1:22" ht="16.5" thickBot="1">
      <c r="A251" s="227"/>
      <c r="B251" s="319"/>
      <c r="C251" s="319"/>
      <c r="D251" s="320"/>
      <c r="E251" s="320"/>
      <c r="F251" s="190"/>
      <c r="G2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1" s="190"/>
      <c r="I2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1" s="190"/>
      <c r="K2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1" s="190"/>
      <c r="M2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1" s="190"/>
      <c r="O2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1" s="190"/>
      <c r="Q2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1" s="192">
        <f ca="1">Table66[[#This Row],[Year 1 (Specified in RFO) - N/A]]+Table66[[#This Row],[Year 2 (Specified in RFO) - N/A]]+Table66[[#This Row],[Year 3 (Specified in RFO) - N/A]]+Table66[[#This Row],[Year 4 (Specified in RFO) - N/A]]+Table66[[#This Row],[Year 5 (Specified in RFO) - N/A]]+Table66[[#This Row],[Year 6 (Specified in RFO) - N/A]]</f>
        <v>0</v>
      </c>
      <c r="S251" s="402">
        <f ca="1">Table66[[#This Row],[Year 1  (Proposed)]]+Table66[[#This Row],[Year 2 (Proposed)]]+Table66[[#This Row],[Year 3 (Proposed)]]+Table66[[#This Row],[Year 4 (Proposed)]]+Table66[[#This Row],[Year 5 (Proposed)]]+Table66[[#This Row],[Year 6 (Proposed)]]</f>
        <v>0</v>
      </c>
      <c r="T251" s="403" t="b">
        <f ca="1">Table66[[#This Row],[Total Specifed in RFO - N/A]]=Table66[[#This Row],[Total Proposed]]</f>
        <v>1</v>
      </c>
      <c r="U251" s="439"/>
      <c r="V251" s="441">
        <f ca="1">Table66[[#This Row],[Year 6 (Specified in RFO) - N/A]]-Table66[[#This Row],[Column1]]</f>
        <v>0</v>
      </c>
    </row>
    <row r="252" spans="1:22" ht="16.5" thickBot="1">
      <c r="A252" s="227"/>
      <c r="B252" s="319"/>
      <c r="C252" s="319"/>
      <c r="D252" s="320"/>
      <c r="E252" s="320"/>
      <c r="F252" s="190"/>
      <c r="G2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2" s="190"/>
      <c r="I2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2" s="190"/>
      <c r="K2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2" s="190"/>
      <c r="M2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2" s="190"/>
      <c r="O2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2" s="190"/>
      <c r="Q2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2" s="192">
        <f ca="1">Table66[[#This Row],[Year 1 (Specified in RFO) - N/A]]+Table66[[#This Row],[Year 2 (Specified in RFO) - N/A]]+Table66[[#This Row],[Year 3 (Specified in RFO) - N/A]]+Table66[[#This Row],[Year 4 (Specified in RFO) - N/A]]+Table66[[#This Row],[Year 5 (Specified in RFO) - N/A]]+Table66[[#This Row],[Year 6 (Specified in RFO) - N/A]]</f>
        <v>0</v>
      </c>
      <c r="S252" s="402">
        <f ca="1">Table66[[#This Row],[Year 1  (Proposed)]]+Table66[[#This Row],[Year 2 (Proposed)]]+Table66[[#This Row],[Year 3 (Proposed)]]+Table66[[#This Row],[Year 4 (Proposed)]]+Table66[[#This Row],[Year 5 (Proposed)]]+Table66[[#This Row],[Year 6 (Proposed)]]</f>
        <v>0</v>
      </c>
      <c r="T252" s="403" t="b">
        <f ca="1">Table66[[#This Row],[Total Specifed in RFO - N/A]]=Table66[[#This Row],[Total Proposed]]</f>
        <v>1</v>
      </c>
      <c r="U252" s="439"/>
      <c r="V252" s="441">
        <f ca="1">Table66[[#This Row],[Year 6 (Specified in RFO) - N/A]]-Table66[[#This Row],[Column1]]</f>
        <v>0</v>
      </c>
    </row>
    <row r="253" spans="1:22" ht="16.5" thickBot="1">
      <c r="A253" s="227"/>
      <c r="B253" s="319"/>
      <c r="C253" s="319"/>
      <c r="D253" s="320"/>
      <c r="E253" s="320"/>
      <c r="F253" s="190"/>
      <c r="G2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3" s="190"/>
      <c r="I2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3" s="190"/>
      <c r="K2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3" s="190"/>
      <c r="M2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3" s="190"/>
      <c r="O2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3" s="190"/>
      <c r="Q2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3" s="192">
        <f ca="1">Table66[[#This Row],[Year 1 (Specified in RFO) - N/A]]+Table66[[#This Row],[Year 2 (Specified in RFO) - N/A]]+Table66[[#This Row],[Year 3 (Specified in RFO) - N/A]]+Table66[[#This Row],[Year 4 (Specified in RFO) - N/A]]+Table66[[#This Row],[Year 5 (Specified in RFO) - N/A]]+Table66[[#This Row],[Year 6 (Specified in RFO) - N/A]]</f>
        <v>0</v>
      </c>
      <c r="S253" s="402">
        <f ca="1">Table66[[#This Row],[Year 1  (Proposed)]]+Table66[[#This Row],[Year 2 (Proposed)]]+Table66[[#This Row],[Year 3 (Proposed)]]+Table66[[#This Row],[Year 4 (Proposed)]]+Table66[[#This Row],[Year 5 (Proposed)]]+Table66[[#This Row],[Year 6 (Proposed)]]</f>
        <v>0</v>
      </c>
      <c r="T253" s="403" t="b">
        <f ca="1">Table66[[#This Row],[Total Specifed in RFO - N/A]]=Table66[[#This Row],[Total Proposed]]</f>
        <v>1</v>
      </c>
      <c r="U253" s="439"/>
      <c r="V253" s="441">
        <f ca="1">Table66[[#This Row],[Year 6 (Specified in RFO) - N/A]]-Table66[[#This Row],[Column1]]</f>
        <v>0</v>
      </c>
    </row>
    <row r="254" spans="1:22" ht="16.5" thickBot="1">
      <c r="A254" s="227"/>
      <c r="B254" s="319"/>
      <c r="C254" s="319"/>
      <c r="D254" s="320"/>
      <c r="E254" s="320"/>
      <c r="F254" s="190"/>
      <c r="G2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4" s="190"/>
      <c r="I2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4" s="190"/>
      <c r="K2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4" s="190"/>
      <c r="M2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4" s="190"/>
      <c r="O2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4" s="190"/>
      <c r="Q2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4" s="192">
        <f ca="1">Table66[[#This Row],[Year 1 (Specified in RFO) - N/A]]+Table66[[#This Row],[Year 2 (Specified in RFO) - N/A]]+Table66[[#This Row],[Year 3 (Specified in RFO) - N/A]]+Table66[[#This Row],[Year 4 (Specified in RFO) - N/A]]+Table66[[#This Row],[Year 5 (Specified in RFO) - N/A]]+Table66[[#This Row],[Year 6 (Specified in RFO) - N/A]]</f>
        <v>0</v>
      </c>
      <c r="S254" s="402">
        <f ca="1">Table66[[#This Row],[Year 1  (Proposed)]]+Table66[[#This Row],[Year 2 (Proposed)]]+Table66[[#This Row],[Year 3 (Proposed)]]+Table66[[#This Row],[Year 4 (Proposed)]]+Table66[[#This Row],[Year 5 (Proposed)]]+Table66[[#This Row],[Year 6 (Proposed)]]</f>
        <v>0</v>
      </c>
      <c r="T254" s="403" t="b">
        <f ca="1">Table66[[#This Row],[Total Specifed in RFO - N/A]]=Table66[[#This Row],[Total Proposed]]</f>
        <v>1</v>
      </c>
      <c r="U254" s="439"/>
      <c r="V254" s="441">
        <f ca="1">Table66[[#This Row],[Year 6 (Specified in RFO) - N/A]]-Table66[[#This Row],[Column1]]</f>
        <v>0</v>
      </c>
    </row>
    <row r="255" spans="1:22" ht="16.5" thickBot="1">
      <c r="A255" s="227"/>
      <c r="B255" s="319"/>
      <c r="C255" s="319"/>
      <c r="D255" s="320"/>
      <c r="E255" s="320"/>
      <c r="F255" s="190"/>
      <c r="G2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5" s="190"/>
      <c r="I2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5" s="190"/>
      <c r="K2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5" s="190"/>
      <c r="M2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5" s="190"/>
      <c r="O2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5" s="190"/>
      <c r="Q2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5" s="192">
        <f ca="1">Table66[[#This Row],[Year 1 (Specified in RFO) - N/A]]+Table66[[#This Row],[Year 2 (Specified in RFO) - N/A]]+Table66[[#This Row],[Year 3 (Specified in RFO) - N/A]]+Table66[[#This Row],[Year 4 (Specified in RFO) - N/A]]+Table66[[#This Row],[Year 5 (Specified in RFO) - N/A]]+Table66[[#This Row],[Year 6 (Specified in RFO) - N/A]]</f>
        <v>0</v>
      </c>
      <c r="S255" s="402">
        <f ca="1">Table66[[#This Row],[Year 1  (Proposed)]]+Table66[[#This Row],[Year 2 (Proposed)]]+Table66[[#This Row],[Year 3 (Proposed)]]+Table66[[#This Row],[Year 4 (Proposed)]]+Table66[[#This Row],[Year 5 (Proposed)]]+Table66[[#This Row],[Year 6 (Proposed)]]</f>
        <v>0</v>
      </c>
      <c r="T255" s="403" t="b">
        <f ca="1">Table66[[#This Row],[Total Specifed in RFO - N/A]]=Table66[[#This Row],[Total Proposed]]</f>
        <v>1</v>
      </c>
      <c r="U255" s="439"/>
      <c r="V255" s="441">
        <f ca="1">Table66[[#This Row],[Year 6 (Specified in RFO) - N/A]]-Table66[[#This Row],[Column1]]</f>
        <v>0</v>
      </c>
    </row>
    <row r="256" spans="1:22" ht="16.5" thickBot="1">
      <c r="A256" s="227"/>
      <c r="B256" s="319"/>
      <c r="C256" s="319"/>
      <c r="D256" s="320"/>
      <c r="E256" s="320"/>
      <c r="F256" s="190"/>
      <c r="G2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6" s="190"/>
      <c r="I2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6" s="190"/>
      <c r="K2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6" s="190"/>
      <c r="M2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6" s="190"/>
      <c r="O2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6" s="190"/>
      <c r="Q2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6" s="192">
        <f ca="1">Table66[[#This Row],[Year 1 (Specified in RFO) - N/A]]+Table66[[#This Row],[Year 2 (Specified in RFO) - N/A]]+Table66[[#This Row],[Year 3 (Specified in RFO) - N/A]]+Table66[[#This Row],[Year 4 (Specified in RFO) - N/A]]+Table66[[#This Row],[Year 5 (Specified in RFO) - N/A]]+Table66[[#This Row],[Year 6 (Specified in RFO) - N/A]]</f>
        <v>0</v>
      </c>
      <c r="S256" s="402">
        <f ca="1">Table66[[#This Row],[Year 1  (Proposed)]]+Table66[[#This Row],[Year 2 (Proposed)]]+Table66[[#This Row],[Year 3 (Proposed)]]+Table66[[#This Row],[Year 4 (Proposed)]]+Table66[[#This Row],[Year 5 (Proposed)]]+Table66[[#This Row],[Year 6 (Proposed)]]</f>
        <v>0</v>
      </c>
      <c r="T256" s="403" t="b">
        <f ca="1">Table66[[#This Row],[Total Specifed in RFO - N/A]]=Table66[[#This Row],[Total Proposed]]</f>
        <v>1</v>
      </c>
      <c r="U256" s="439"/>
      <c r="V256" s="441">
        <f ca="1">Table66[[#This Row],[Year 6 (Specified in RFO) - N/A]]-Table66[[#This Row],[Column1]]</f>
        <v>0</v>
      </c>
    </row>
    <row r="257" spans="1:22" ht="16.5" thickBot="1">
      <c r="A257" s="227"/>
      <c r="B257" s="319"/>
      <c r="C257" s="319"/>
      <c r="D257" s="320"/>
      <c r="E257" s="320"/>
      <c r="F257" s="190"/>
      <c r="G2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7" s="190"/>
      <c r="I2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7" s="190"/>
      <c r="K2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7" s="190"/>
      <c r="M2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7" s="190"/>
      <c r="O2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7" s="190"/>
      <c r="Q2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7" s="192">
        <f ca="1">Table66[[#This Row],[Year 1 (Specified in RFO) - N/A]]+Table66[[#This Row],[Year 2 (Specified in RFO) - N/A]]+Table66[[#This Row],[Year 3 (Specified in RFO) - N/A]]+Table66[[#This Row],[Year 4 (Specified in RFO) - N/A]]+Table66[[#This Row],[Year 5 (Specified in RFO) - N/A]]+Table66[[#This Row],[Year 6 (Specified in RFO) - N/A]]</f>
        <v>0</v>
      </c>
      <c r="S257" s="402">
        <f ca="1">Table66[[#This Row],[Year 1  (Proposed)]]+Table66[[#This Row],[Year 2 (Proposed)]]+Table66[[#This Row],[Year 3 (Proposed)]]+Table66[[#This Row],[Year 4 (Proposed)]]+Table66[[#This Row],[Year 5 (Proposed)]]+Table66[[#This Row],[Year 6 (Proposed)]]</f>
        <v>0</v>
      </c>
      <c r="T257" s="403" t="b">
        <f ca="1">Table66[[#This Row],[Total Specifed in RFO - N/A]]=Table66[[#This Row],[Total Proposed]]</f>
        <v>1</v>
      </c>
      <c r="U257" s="439"/>
      <c r="V257" s="441">
        <f ca="1">Table66[[#This Row],[Year 6 (Specified in RFO) - N/A]]-Table66[[#This Row],[Column1]]</f>
        <v>0</v>
      </c>
    </row>
    <row r="258" spans="1:22" ht="16.5" thickBot="1">
      <c r="A258" s="227"/>
      <c r="B258" s="319"/>
      <c r="C258" s="319"/>
      <c r="D258" s="320"/>
      <c r="E258" s="320"/>
      <c r="F258" s="190"/>
      <c r="G2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8" s="190"/>
      <c r="I2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8" s="190"/>
      <c r="K2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8" s="190"/>
      <c r="M2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8" s="190"/>
      <c r="O2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8" s="190"/>
      <c r="Q2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8" s="192">
        <f ca="1">Table66[[#This Row],[Year 1 (Specified in RFO) - N/A]]+Table66[[#This Row],[Year 2 (Specified in RFO) - N/A]]+Table66[[#This Row],[Year 3 (Specified in RFO) - N/A]]+Table66[[#This Row],[Year 4 (Specified in RFO) - N/A]]+Table66[[#This Row],[Year 5 (Specified in RFO) - N/A]]+Table66[[#This Row],[Year 6 (Specified in RFO) - N/A]]</f>
        <v>0</v>
      </c>
      <c r="S258" s="402">
        <f ca="1">Table66[[#This Row],[Year 1  (Proposed)]]+Table66[[#This Row],[Year 2 (Proposed)]]+Table66[[#This Row],[Year 3 (Proposed)]]+Table66[[#This Row],[Year 4 (Proposed)]]+Table66[[#This Row],[Year 5 (Proposed)]]+Table66[[#This Row],[Year 6 (Proposed)]]</f>
        <v>0</v>
      </c>
      <c r="T258" s="403" t="b">
        <f ca="1">Table66[[#This Row],[Total Specifed in RFO - N/A]]=Table66[[#This Row],[Total Proposed]]</f>
        <v>1</v>
      </c>
      <c r="U258" s="439"/>
      <c r="V258" s="441">
        <f ca="1">Table66[[#This Row],[Year 6 (Specified in RFO) - N/A]]-Table66[[#This Row],[Column1]]</f>
        <v>0</v>
      </c>
    </row>
    <row r="259" spans="1:22" ht="16.5" thickBot="1">
      <c r="A259" s="227"/>
      <c r="B259" s="319"/>
      <c r="C259" s="319"/>
      <c r="D259" s="320"/>
      <c r="E259" s="320"/>
      <c r="F259" s="190"/>
      <c r="G2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9" s="190"/>
      <c r="I2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9" s="190"/>
      <c r="K2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9" s="190"/>
      <c r="M2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9" s="190"/>
      <c r="O2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9" s="190"/>
      <c r="Q2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9" s="192">
        <f ca="1">Table66[[#This Row],[Year 1 (Specified in RFO) - N/A]]+Table66[[#This Row],[Year 2 (Specified in RFO) - N/A]]+Table66[[#This Row],[Year 3 (Specified in RFO) - N/A]]+Table66[[#This Row],[Year 4 (Specified in RFO) - N/A]]+Table66[[#This Row],[Year 5 (Specified in RFO) - N/A]]+Table66[[#This Row],[Year 6 (Specified in RFO) - N/A]]</f>
        <v>0</v>
      </c>
      <c r="S259" s="402">
        <f ca="1">Table66[[#This Row],[Year 1  (Proposed)]]+Table66[[#This Row],[Year 2 (Proposed)]]+Table66[[#This Row],[Year 3 (Proposed)]]+Table66[[#This Row],[Year 4 (Proposed)]]+Table66[[#This Row],[Year 5 (Proposed)]]+Table66[[#This Row],[Year 6 (Proposed)]]</f>
        <v>0</v>
      </c>
      <c r="T259" s="403" t="b">
        <f ca="1">Table66[[#This Row],[Total Specifed in RFO - N/A]]=Table66[[#This Row],[Total Proposed]]</f>
        <v>1</v>
      </c>
      <c r="U259" s="439"/>
      <c r="V259" s="441">
        <f ca="1">Table66[[#This Row],[Year 6 (Specified in RFO) - N/A]]-Table66[[#This Row],[Column1]]</f>
        <v>0</v>
      </c>
    </row>
    <row r="260" spans="1:22" ht="16.5" thickBot="1">
      <c r="A260" s="227"/>
      <c r="B260" s="319"/>
      <c r="C260" s="319"/>
      <c r="D260" s="320"/>
      <c r="E260" s="320"/>
      <c r="F260" s="190"/>
      <c r="G2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0" s="190"/>
      <c r="I2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0" s="190"/>
      <c r="K2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0" s="190"/>
      <c r="M2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0" s="190"/>
      <c r="O2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0" s="190"/>
      <c r="Q2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0" s="192">
        <f ca="1">Table66[[#This Row],[Year 1 (Specified in RFO) - N/A]]+Table66[[#This Row],[Year 2 (Specified in RFO) - N/A]]+Table66[[#This Row],[Year 3 (Specified in RFO) - N/A]]+Table66[[#This Row],[Year 4 (Specified in RFO) - N/A]]+Table66[[#This Row],[Year 5 (Specified in RFO) - N/A]]+Table66[[#This Row],[Year 6 (Specified in RFO) - N/A]]</f>
        <v>0</v>
      </c>
      <c r="S260" s="402">
        <f ca="1">Table66[[#This Row],[Year 1  (Proposed)]]+Table66[[#This Row],[Year 2 (Proposed)]]+Table66[[#This Row],[Year 3 (Proposed)]]+Table66[[#This Row],[Year 4 (Proposed)]]+Table66[[#This Row],[Year 5 (Proposed)]]+Table66[[#This Row],[Year 6 (Proposed)]]</f>
        <v>0</v>
      </c>
      <c r="T260" s="403" t="b">
        <f ca="1">Table66[[#This Row],[Total Specifed in RFO - N/A]]=Table66[[#This Row],[Total Proposed]]</f>
        <v>1</v>
      </c>
      <c r="U260" s="439"/>
      <c r="V260" s="441">
        <f ca="1">Table66[[#This Row],[Year 6 (Specified in RFO) - N/A]]-Table66[[#This Row],[Column1]]</f>
        <v>0</v>
      </c>
    </row>
    <row r="261" spans="1:22" ht="16.5" thickBot="1">
      <c r="A261" s="227"/>
      <c r="B261" s="319"/>
      <c r="C261" s="319"/>
      <c r="D261" s="320"/>
      <c r="E261" s="320"/>
      <c r="F261" s="190"/>
      <c r="G2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1" s="190"/>
      <c r="I2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1" s="190"/>
      <c r="K2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1" s="190"/>
      <c r="M2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1" s="190"/>
      <c r="O2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1" s="190"/>
      <c r="Q2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1" s="192">
        <f ca="1">Table66[[#This Row],[Year 1 (Specified in RFO) - N/A]]+Table66[[#This Row],[Year 2 (Specified in RFO) - N/A]]+Table66[[#This Row],[Year 3 (Specified in RFO) - N/A]]+Table66[[#This Row],[Year 4 (Specified in RFO) - N/A]]+Table66[[#This Row],[Year 5 (Specified in RFO) - N/A]]+Table66[[#This Row],[Year 6 (Specified in RFO) - N/A]]</f>
        <v>0</v>
      </c>
      <c r="S261" s="402">
        <f ca="1">Table66[[#This Row],[Year 1  (Proposed)]]+Table66[[#This Row],[Year 2 (Proposed)]]+Table66[[#This Row],[Year 3 (Proposed)]]+Table66[[#This Row],[Year 4 (Proposed)]]+Table66[[#This Row],[Year 5 (Proposed)]]+Table66[[#This Row],[Year 6 (Proposed)]]</f>
        <v>0</v>
      </c>
      <c r="T261" s="403" t="b">
        <f ca="1">Table66[[#This Row],[Total Specifed in RFO - N/A]]=Table66[[#This Row],[Total Proposed]]</f>
        <v>1</v>
      </c>
      <c r="U261" s="439"/>
      <c r="V261" s="441">
        <f ca="1">Table66[[#This Row],[Year 6 (Specified in RFO) - N/A]]-Table66[[#This Row],[Column1]]</f>
        <v>0</v>
      </c>
    </row>
    <row r="262" spans="1:22" ht="16.5" thickBot="1">
      <c r="A262" s="227"/>
      <c r="B262" s="319"/>
      <c r="C262" s="319"/>
      <c r="D262" s="320"/>
      <c r="E262" s="320"/>
      <c r="F262" s="190"/>
      <c r="G2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2" s="190"/>
      <c r="I2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2" s="190"/>
      <c r="K2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2" s="190"/>
      <c r="M2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2" s="190"/>
      <c r="O2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2" s="190"/>
      <c r="Q2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2" s="192">
        <f ca="1">Table66[[#This Row],[Year 1 (Specified in RFO) - N/A]]+Table66[[#This Row],[Year 2 (Specified in RFO) - N/A]]+Table66[[#This Row],[Year 3 (Specified in RFO) - N/A]]+Table66[[#This Row],[Year 4 (Specified in RFO) - N/A]]+Table66[[#This Row],[Year 5 (Specified in RFO) - N/A]]+Table66[[#This Row],[Year 6 (Specified in RFO) - N/A]]</f>
        <v>0</v>
      </c>
      <c r="S262" s="402">
        <f ca="1">Table66[[#This Row],[Year 1  (Proposed)]]+Table66[[#This Row],[Year 2 (Proposed)]]+Table66[[#This Row],[Year 3 (Proposed)]]+Table66[[#This Row],[Year 4 (Proposed)]]+Table66[[#This Row],[Year 5 (Proposed)]]+Table66[[#This Row],[Year 6 (Proposed)]]</f>
        <v>0</v>
      </c>
      <c r="T262" s="403" t="b">
        <f ca="1">Table66[[#This Row],[Total Specifed in RFO - N/A]]=Table66[[#This Row],[Total Proposed]]</f>
        <v>1</v>
      </c>
      <c r="U262" s="439"/>
      <c r="V262" s="441">
        <f ca="1">Table66[[#This Row],[Year 6 (Specified in RFO) - N/A]]-Table66[[#This Row],[Column1]]</f>
        <v>0</v>
      </c>
    </row>
    <row r="263" spans="1:22" ht="16.5" thickBot="1">
      <c r="A263" s="227"/>
      <c r="B263" s="319"/>
      <c r="C263" s="319"/>
      <c r="D263" s="320"/>
      <c r="E263" s="320"/>
      <c r="F263" s="190"/>
      <c r="G2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3" s="190"/>
      <c r="I2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3" s="190"/>
      <c r="K2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3" s="190"/>
      <c r="M2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3" s="190"/>
      <c r="O2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3" s="190"/>
      <c r="Q2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3" s="192">
        <f ca="1">Table66[[#This Row],[Year 1 (Specified in RFO) - N/A]]+Table66[[#This Row],[Year 2 (Specified in RFO) - N/A]]+Table66[[#This Row],[Year 3 (Specified in RFO) - N/A]]+Table66[[#This Row],[Year 4 (Specified in RFO) - N/A]]+Table66[[#This Row],[Year 5 (Specified in RFO) - N/A]]+Table66[[#This Row],[Year 6 (Specified in RFO) - N/A]]</f>
        <v>0</v>
      </c>
      <c r="S263" s="402">
        <f ca="1">Table66[[#This Row],[Year 1  (Proposed)]]+Table66[[#This Row],[Year 2 (Proposed)]]+Table66[[#This Row],[Year 3 (Proposed)]]+Table66[[#This Row],[Year 4 (Proposed)]]+Table66[[#This Row],[Year 5 (Proposed)]]+Table66[[#This Row],[Year 6 (Proposed)]]</f>
        <v>0</v>
      </c>
      <c r="T263" s="403" t="b">
        <f ca="1">Table66[[#This Row],[Total Specifed in RFO - N/A]]=Table66[[#This Row],[Total Proposed]]</f>
        <v>1</v>
      </c>
      <c r="U263" s="439"/>
      <c r="V263" s="441">
        <f ca="1">Table66[[#This Row],[Year 6 (Specified in RFO) - N/A]]-Table66[[#This Row],[Column1]]</f>
        <v>0</v>
      </c>
    </row>
    <row r="264" spans="1:22" ht="16.5" thickBot="1">
      <c r="A264" s="227"/>
      <c r="B264" s="319"/>
      <c r="C264" s="319"/>
      <c r="D264" s="320"/>
      <c r="E264" s="320"/>
      <c r="F264" s="190"/>
      <c r="G2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4" s="190"/>
      <c r="I2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4" s="190"/>
      <c r="K2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4" s="190"/>
      <c r="M2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4" s="190"/>
      <c r="O2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4" s="190"/>
      <c r="Q2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4" s="192">
        <f ca="1">Table66[[#This Row],[Year 1 (Specified in RFO) - N/A]]+Table66[[#This Row],[Year 2 (Specified in RFO) - N/A]]+Table66[[#This Row],[Year 3 (Specified in RFO) - N/A]]+Table66[[#This Row],[Year 4 (Specified in RFO) - N/A]]+Table66[[#This Row],[Year 5 (Specified in RFO) - N/A]]+Table66[[#This Row],[Year 6 (Specified in RFO) - N/A]]</f>
        <v>0</v>
      </c>
      <c r="S264" s="402">
        <f ca="1">Table66[[#This Row],[Year 1  (Proposed)]]+Table66[[#This Row],[Year 2 (Proposed)]]+Table66[[#This Row],[Year 3 (Proposed)]]+Table66[[#This Row],[Year 4 (Proposed)]]+Table66[[#This Row],[Year 5 (Proposed)]]+Table66[[#This Row],[Year 6 (Proposed)]]</f>
        <v>0</v>
      </c>
      <c r="T264" s="403" t="b">
        <f ca="1">Table66[[#This Row],[Total Specifed in RFO - N/A]]=Table66[[#This Row],[Total Proposed]]</f>
        <v>1</v>
      </c>
      <c r="U264" s="439"/>
      <c r="V264" s="441">
        <f ca="1">Table66[[#This Row],[Year 6 (Specified in RFO) - N/A]]-Table66[[#This Row],[Column1]]</f>
        <v>0</v>
      </c>
    </row>
    <row r="265" spans="1:22" ht="16.5" thickBot="1">
      <c r="A265" s="227"/>
      <c r="B265" s="319"/>
      <c r="C265" s="319"/>
      <c r="D265" s="320"/>
      <c r="E265" s="320"/>
      <c r="F265" s="190"/>
      <c r="G2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5" s="190"/>
      <c r="I2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5" s="190"/>
      <c r="K2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5" s="190"/>
      <c r="M2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5" s="190"/>
      <c r="O2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5" s="190"/>
      <c r="Q2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5" s="192">
        <f ca="1">Table66[[#This Row],[Year 1 (Specified in RFO) - N/A]]+Table66[[#This Row],[Year 2 (Specified in RFO) - N/A]]+Table66[[#This Row],[Year 3 (Specified in RFO) - N/A]]+Table66[[#This Row],[Year 4 (Specified in RFO) - N/A]]+Table66[[#This Row],[Year 5 (Specified in RFO) - N/A]]+Table66[[#This Row],[Year 6 (Specified in RFO) - N/A]]</f>
        <v>0</v>
      </c>
      <c r="S265" s="402">
        <f ca="1">Table66[[#This Row],[Year 1  (Proposed)]]+Table66[[#This Row],[Year 2 (Proposed)]]+Table66[[#This Row],[Year 3 (Proposed)]]+Table66[[#This Row],[Year 4 (Proposed)]]+Table66[[#This Row],[Year 5 (Proposed)]]+Table66[[#This Row],[Year 6 (Proposed)]]</f>
        <v>0</v>
      </c>
      <c r="T265" s="403" t="b">
        <f ca="1">Table66[[#This Row],[Total Specifed in RFO - N/A]]=Table66[[#This Row],[Total Proposed]]</f>
        <v>1</v>
      </c>
      <c r="U265" s="439"/>
      <c r="V265" s="441">
        <f ca="1">Table66[[#This Row],[Year 6 (Specified in RFO) - N/A]]-Table66[[#This Row],[Column1]]</f>
        <v>0</v>
      </c>
    </row>
    <row r="266" spans="1:22" ht="16.5" thickBot="1">
      <c r="A266" s="227"/>
      <c r="B266" s="319"/>
      <c r="C266" s="319"/>
      <c r="D266" s="320"/>
      <c r="E266" s="320"/>
      <c r="F266" s="190"/>
      <c r="G2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6" s="190"/>
      <c r="I2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6" s="190"/>
      <c r="K2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6" s="190"/>
      <c r="M2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6" s="190"/>
      <c r="O2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6" s="190"/>
      <c r="Q2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6" s="192">
        <f ca="1">Table66[[#This Row],[Year 1 (Specified in RFO) - N/A]]+Table66[[#This Row],[Year 2 (Specified in RFO) - N/A]]+Table66[[#This Row],[Year 3 (Specified in RFO) - N/A]]+Table66[[#This Row],[Year 4 (Specified in RFO) - N/A]]+Table66[[#This Row],[Year 5 (Specified in RFO) - N/A]]+Table66[[#This Row],[Year 6 (Specified in RFO) - N/A]]</f>
        <v>0</v>
      </c>
      <c r="S266" s="402">
        <f ca="1">Table66[[#This Row],[Year 1  (Proposed)]]+Table66[[#This Row],[Year 2 (Proposed)]]+Table66[[#This Row],[Year 3 (Proposed)]]+Table66[[#This Row],[Year 4 (Proposed)]]+Table66[[#This Row],[Year 5 (Proposed)]]+Table66[[#This Row],[Year 6 (Proposed)]]</f>
        <v>0</v>
      </c>
      <c r="T266" s="403" t="b">
        <f ca="1">Table66[[#This Row],[Total Specifed in RFO - N/A]]=Table66[[#This Row],[Total Proposed]]</f>
        <v>1</v>
      </c>
      <c r="U266" s="439"/>
      <c r="V266" s="441">
        <f ca="1">Table66[[#This Row],[Year 6 (Specified in RFO) - N/A]]-Table66[[#This Row],[Column1]]</f>
        <v>0</v>
      </c>
    </row>
    <row r="267" spans="1:22" ht="16.5" thickBot="1">
      <c r="A267" s="227"/>
      <c r="B267" s="319"/>
      <c r="C267" s="319"/>
      <c r="D267" s="320"/>
      <c r="E267" s="320"/>
      <c r="F267" s="190"/>
      <c r="G2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7" s="190"/>
      <c r="I2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7" s="190"/>
      <c r="K2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7" s="190"/>
      <c r="M2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7" s="190"/>
      <c r="O2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7" s="190"/>
      <c r="Q2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7" s="192">
        <f ca="1">Table66[[#This Row],[Year 1 (Specified in RFO) - N/A]]+Table66[[#This Row],[Year 2 (Specified in RFO) - N/A]]+Table66[[#This Row],[Year 3 (Specified in RFO) - N/A]]+Table66[[#This Row],[Year 4 (Specified in RFO) - N/A]]+Table66[[#This Row],[Year 5 (Specified in RFO) - N/A]]+Table66[[#This Row],[Year 6 (Specified in RFO) - N/A]]</f>
        <v>0</v>
      </c>
      <c r="S267" s="402">
        <f ca="1">Table66[[#This Row],[Year 1  (Proposed)]]+Table66[[#This Row],[Year 2 (Proposed)]]+Table66[[#This Row],[Year 3 (Proposed)]]+Table66[[#This Row],[Year 4 (Proposed)]]+Table66[[#This Row],[Year 5 (Proposed)]]+Table66[[#This Row],[Year 6 (Proposed)]]</f>
        <v>0</v>
      </c>
      <c r="T267" s="403" t="b">
        <f ca="1">Table66[[#This Row],[Total Specifed in RFO - N/A]]=Table66[[#This Row],[Total Proposed]]</f>
        <v>1</v>
      </c>
      <c r="U267" s="439"/>
      <c r="V267" s="441">
        <f ca="1">Table66[[#This Row],[Year 6 (Specified in RFO) - N/A]]-Table66[[#This Row],[Column1]]</f>
        <v>0</v>
      </c>
    </row>
    <row r="268" spans="1:22" ht="16.5" thickBot="1">
      <c r="A268" s="227"/>
      <c r="B268" s="319"/>
      <c r="C268" s="319"/>
      <c r="D268" s="320"/>
      <c r="E268" s="320"/>
      <c r="F268" s="190"/>
      <c r="G2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8" s="190"/>
      <c r="I2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8" s="190"/>
      <c r="K2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8" s="190"/>
      <c r="M2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8" s="190"/>
      <c r="O2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8" s="190"/>
      <c r="Q2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8" s="192">
        <f ca="1">Table66[[#This Row],[Year 1 (Specified in RFO) - N/A]]+Table66[[#This Row],[Year 2 (Specified in RFO) - N/A]]+Table66[[#This Row],[Year 3 (Specified in RFO) - N/A]]+Table66[[#This Row],[Year 4 (Specified in RFO) - N/A]]+Table66[[#This Row],[Year 5 (Specified in RFO) - N/A]]+Table66[[#This Row],[Year 6 (Specified in RFO) - N/A]]</f>
        <v>0</v>
      </c>
      <c r="S268" s="402">
        <f ca="1">Table66[[#This Row],[Year 1  (Proposed)]]+Table66[[#This Row],[Year 2 (Proposed)]]+Table66[[#This Row],[Year 3 (Proposed)]]+Table66[[#This Row],[Year 4 (Proposed)]]+Table66[[#This Row],[Year 5 (Proposed)]]+Table66[[#This Row],[Year 6 (Proposed)]]</f>
        <v>0</v>
      </c>
      <c r="T268" s="403" t="b">
        <f ca="1">Table66[[#This Row],[Total Specifed in RFO - N/A]]=Table66[[#This Row],[Total Proposed]]</f>
        <v>1</v>
      </c>
      <c r="U268" s="439"/>
      <c r="V268" s="441">
        <f ca="1">Table66[[#This Row],[Year 6 (Specified in RFO) - N/A]]-Table66[[#This Row],[Column1]]</f>
        <v>0</v>
      </c>
    </row>
    <row r="269" spans="1:22" ht="16.5" thickBot="1">
      <c r="A269" s="227"/>
      <c r="B269" s="319"/>
      <c r="C269" s="319"/>
      <c r="D269" s="320"/>
      <c r="E269" s="320"/>
      <c r="F269" s="190"/>
      <c r="G2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9" s="190"/>
      <c r="I2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9" s="190"/>
      <c r="K2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9" s="190"/>
      <c r="M2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9" s="190"/>
      <c r="O2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9" s="190"/>
      <c r="Q2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9" s="192">
        <f ca="1">Table66[[#This Row],[Year 1 (Specified in RFO) - N/A]]+Table66[[#This Row],[Year 2 (Specified in RFO) - N/A]]+Table66[[#This Row],[Year 3 (Specified in RFO) - N/A]]+Table66[[#This Row],[Year 4 (Specified in RFO) - N/A]]+Table66[[#This Row],[Year 5 (Specified in RFO) - N/A]]+Table66[[#This Row],[Year 6 (Specified in RFO) - N/A]]</f>
        <v>0</v>
      </c>
      <c r="S269" s="402">
        <f ca="1">Table66[[#This Row],[Year 1  (Proposed)]]+Table66[[#This Row],[Year 2 (Proposed)]]+Table66[[#This Row],[Year 3 (Proposed)]]+Table66[[#This Row],[Year 4 (Proposed)]]+Table66[[#This Row],[Year 5 (Proposed)]]+Table66[[#This Row],[Year 6 (Proposed)]]</f>
        <v>0</v>
      </c>
      <c r="T269" s="403" t="b">
        <f ca="1">Table66[[#This Row],[Total Specifed in RFO - N/A]]=Table66[[#This Row],[Total Proposed]]</f>
        <v>1</v>
      </c>
      <c r="U269" s="439"/>
      <c r="V269" s="441">
        <f ca="1">Table66[[#This Row],[Year 6 (Specified in RFO) - N/A]]-Table66[[#This Row],[Column1]]</f>
        <v>0</v>
      </c>
    </row>
    <row r="270" spans="1:22" ht="16.5" thickBot="1">
      <c r="A270" s="227"/>
      <c r="B270" s="319"/>
      <c r="C270" s="319"/>
      <c r="D270" s="320"/>
      <c r="E270" s="320"/>
      <c r="F270" s="190"/>
      <c r="G2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0" s="190"/>
      <c r="I2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0" s="190"/>
      <c r="K2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0" s="190"/>
      <c r="M2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0" s="190"/>
      <c r="O2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0" s="190"/>
      <c r="Q2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0" s="192">
        <f ca="1">Table66[[#This Row],[Year 1 (Specified in RFO) - N/A]]+Table66[[#This Row],[Year 2 (Specified in RFO) - N/A]]+Table66[[#This Row],[Year 3 (Specified in RFO) - N/A]]+Table66[[#This Row],[Year 4 (Specified in RFO) - N/A]]+Table66[[#This Row],[Year 5 (Specified in RFO) - N/A]]+Table66[[#This Row],[Year 6 (Specified in RFO) - N/A]]</f>
        <v>0</v>
      </c>
      <c r="S270" s="402">
        <f ca="1">Table66[[#This Row],[Year 1  (Proposed)]]+Table66[[#This Row],[Year 2 (Proposed)]]+Table66[[#This Row],[Year 3 (Proposed)]]+Table66[[#This Row],[Year 4 (Proposed)]]+Table66[[#This Row],[Year 5 (Proposed)]]+Table66[[#This Row],[Year 6 (Proposed)]]</f>
        <v>0</v>
      </c>
      <c r="T270" s="403" t="b">
        <f ca="1">Table66[[#This Row],[Total Specifed in RFO - N/A]]=Table66[[#This Row],[Total Proposed]]</f>
        <v>1</v>
      </c>
      <c r="U270" s="439"/>
      <c r="V270" s="441">
        <f ca="1">Table66[[#This Row],[Year 6 (Specified in RFO) - N/A]]-Table66[[#This Row],[Column1]]</f>
        <v>0</v>
      </c>
    </row>
    <row r="271" spans="1:22" ht="16.5" thickBot="1">
      <c r="A271" s="227"/>
      <c r="B271" s="319"/>
      <c r="C271" s="319"/>
      <c r="D271" s="320"/>
      <c r="E271" s="320"/>
      <c r="F271" s="190"/>
      <c r="G2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1" s="190"/>
      <c r="I2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1" s="190"/>
      <c r="K2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1" s="190"/>
      <c r="M2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1" s="190"/>
      <c r="O2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1" s="190"/>
      <c r="Q2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1" s="192">
        <f ca="1">Table66[[#This Row],[Year 1 (Specified in RFO) - N/A]]+Table66[[#This Row],[Year 2 (Specified in RFO) - N/A]]+Table66[[#This Row],[Year 3 (Specified in RFO) - N/A]]+Table66[[#This Row],[Year 4 (Specified in RFO) - N/A]]+Table66[[#This Row],[Year 5 (Specified in RFO) - N/A]]+Table66[[#This Row],[Year 6 (Specified in RFO) - N/A]]</f>
        <v>0</v>
      </c>
      <c r="S271" s="402">
        <f ca="1">Table66[[#This Row],[Year 1  (Proposed)]]+Table66[[#This Row],[Year 2 (Proposed)]]+Table66[[#This Row],[Year 3 (Proposed)]]+Table66[[#This Row],[Year 4 (Proposed)]]+Table66[[#This Row],[Year 5 (Proposed)]]+Table66[[#This Row],[Year 6 (Proposed)]]</f>
        <v>0</v>
      </c>
      <c r="T271" s="403" t="b">
        <f ca="1">Table66[[#This Row],[Total Specifed in RFO - N/A]]=Table66[[#This Row],[Total Proposed]]</f>
        <v>1</v>
      </c>
      <c r="U271" s="439"/>
      <c r="V271" s="441">
        <f ca="1">Table66[[#This Row],[Year 6 (Specified in RFO) - N/A]]-Table66[[#This Row],[Column1]]</f>
        <v>0</v>
      </c>
    </row>
    <row r="272" spans="1:22" ht="16.5" thickBot="1">
      <c r="A272" s="227"/>
      <c r="B272" s="319"/>
      <c r="C272" s="319"/>
      <c r="D272" s="320"/>
      <c r="E272" s="320"/>
      <c r="F272" s="190"/>
      <c r="G2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2" s="190"/>
      <c r="I2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2" s="190"/>
      <c r="K2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2" s="190"/>
      <c r="M2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2" s="190"/>
      <c r="O2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2" s="190"/>
      <c r="Q2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2" s="192">
        <f ca="1">Table66[[#This Row],[Year 1 (Specified in RFO) - N/A]]+Table66[[#This Row],[Year 2 (Specified in RFO) - N/A]]+Table66[[#This Row],[Year 3 (Specified in RFO) - N/A]]+Table66[[#This Row],[Year 4 (Specified in RFO) - N/A]]+Table66[[#This Row],[Year 5 (Specified in RFO) - N/A]]+Table66[[#This Row],[Year 6 (Specified in RFO) - N/A]]</f>
        <v>0</v>
      </c>
      <c r="S272" s="402">
        <f ca="1">Table66[[#This Row],[Year 1  (Proposed)]]+Table66[[#This Row],[Year 2 (Proposed)]]+Table66[[#This Row],[Year 3 (Proposed)]]+Table66[[#This Row],[Year 4 (Proposed)]]+Table66[[#This Row],[Year 5 (Proposed)]]+Table66[[#This Row],[Year 6 (Proposed)]]</f>
        <v>0</v>
      </c>
      <c r="T272" s="403" t="b">
        <f ca="1">Table66[[#This Row],[Total Specifed in RFO - N/A]]=Table66[[#This Row],[Total Proposed]]</f>
        <v>1</v>
      </c>
      <c r="U272" s="439"/>
      <c r="V272" s="441">
        <f ca="1">Table66[[#This Row],[Year 6 (Specified in RFO) - N/A]]-Table66[[#This Row],[Column1]]</f>
        <v>0</v>
      </c>
    </row>
    <row r="273" spans="1:22" ht="16.5" thickBot="1">
      <c r="A273" s="227"/>
      <c r="B273" s="319"/>
      <c r="C273" s="319"/>
      <c r="D273" s="320"/>
      <c r="E273" s="320"/>
      <c r="F273" s="190"/>
      <c r="G2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3" s="190"/>
      <c r="I2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3" s="190"/>
      <c r="K2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3" s="190"/>
      <c r="M2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3" s="190"/>
      <c r="O2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3" s="190"/>
      <c r="Q2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3" s="192">
        <f ca="1">Table66[[#This Row],[Year 1 (Specified in RFO) - N/A]]+Table66[[#This Row],[Year 2 (Specified in RFO) - N/A]]+Table66[[#This Row],[Year 3 (Specified in RFO) - N/A]]+Table66[[#This Row],[Year 4 (Specified in RFO) - N/A]]+Table66[[#This Row],[Year 5 (Specified in RFO) - N/A]]+Table66[[#This Row],[Year 6 (Specified in RFO) - N/A]]</f>
        <v>0</v>
      </c>
      <c r="S273" s="402">
        <f ca="1">Table66[[#This Row],[Year 1  (Proposed)]]+Table66[[#This Row],[Year 2 (Proposed)]]+Table66[[#This Row],[Year 3 (Proposed)]]+Table66[[#This Row],[Year 4 (Proposed)]]+Table66[[#This Row],[Year 5 (Proposed)]]+Table66[[#This Row],[Year 6 (Proposed)]]</f>
        <v>0</v>
      </c>
      <c r="T273" s="403" t="b">
        <f ca="1">Table66[[#This Row],[Total Specifed in RFO - N/A]]=Table66[[#This Row],[Total Proposed]]</f>
        <v>1</v>
      </c>
      <c r="U273" s="439"/>
      <c r="V273" s="441">
        <f ca="1">Table66[[#This Row],[Year 6 (Specified in RFO) - N/A]]-Table66[[#This Row],[Column1]]</f>
        <v>0</v>
      </c>
    </row>
    <row r="274" spans="1:22" ht="16.5" thickBot="1">
      <c r="A274" s="227"/>
      <c r="B274" s="319"/>
      <c r="C274" s="319"/>
      <c r="D274" s="320"/>
      <c r="E274" s="320"/>
      <c r="F274" s="190"/>
      <c r="G2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4" s="190"/>
      <c r="I2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4" s="190"/>
      <c r="K2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4" s="190"/>
      <c r="M2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4" s="190"/>
      <c r="O2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4" s="190"/>
      <c r="Q2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4" s="192">
        <f ca="1">Table66[[#This Row],[Year 1 (Specified in RFO) - N/A]]+Table66[[#This Row],[Year 2 (Specified in RFO) - N/A]]+Table66[[#This Row],[Year 3 (Specified in RFO) - N/A]]+Table66[[#This Row],[Year 4 (Specified in RFO) - N/A]]+Table66[[#This Row],[Year 5 (Specified in RFO) - N/A]]+Table66[[#This Row],[Year 6 (Specified in RFO) - N/A]]</f>
        <v>0</v>
      </c>
      <c r="S274" s="402">
        <f ca="1">Table66[[#This Row],[Year 1  (Proposed)]]+Table66[[#This Row],[Year 2 (Proposed)]]+Table66[[#This Row],[Year 3 (Proposed)]]+Table66[[#This Row],[Year 4 (Proposed)]]+Table66[[#This Row],[Year 5 (Proposed)]]+Table66[[#This Row],[Year 6 (Proposed)]]</f>
        <v>0</v>
      </c>
      <c r="T274" s="403" t="b">
        <f ca="1">Table66[[#This Row],[Total Specifed in RFO - N/A]]=Table66[[#This Row],[Total Proposed]]</f>
        <v>1</v>
      </c>
      <c r="U274" s="439"/>
      <c r="V274" s="441">
        <f ca="1">Table66[[#This Row],[Year 6 (Specified in RFO) - N/A]]-Table66[[#This Row],[Column1]]</f>
        <v>0</v>
      </c>
    </row>
    <row r="275" spans="1:22" ht="16.5" thickBot="1">
      <c r="A275" s="227"/>
      <c r="B275" s="319"/>
      <c r="C275" s="319"/>
      <c r="D275" s="320"/>
      <c r="E275" s="320"/>
      <c r="F275" s="190"/>
      <c r="G2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5" s="190"/>
      <c r="I2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5" s="190"/>
      <c r="K2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5" s="190"/>
      <c r="M2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5" s="190"/>
      <c r="O2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5" s="190"/>
      <c r="Q2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5" s="192">
        <f ca="1">Table66[[#This Row],[Year 1 (Specified in RFO) - N/A]]+Table66[[#This Row],[Year 2 (Specified in RFO) - N/A]]+Table66[[#This Row],[Year 3 (Specified in RFO) - N/A]]+Table66[[#This Row],[Year 4 (Specified in RFO) - N/A]]+Table66[[#This Row],[Year 5 (Specified in RFO) - N/A]]+Table66[[#This Row],[Year 6 (Specified in RFO) - N/A]]</f>
        <v>0</v>
      </c>
      <c r="S275" s="402">
        <f ca="1">Table66[[#This Row],[Year 1  (Proposed)]]+Table66[[#This Row],[Year 2 (Proposed)]]+Table66[[#This Row],[Year 3 (Proposed)]]+Table66[[#This Row],[Year 4 (Proposed)]]+Table66[[#This Row],[Year 5 (Proposed)]]+Table66[[#This Row],[Year 6 (Proposed)]]</f>
        <v>0</v>
      </c>
      <c r="T275" s="403" t="b">
        <f ca="1">Table66[[#This Row],[Total Specifed in RFO - N/A]]=Table66[[#This Row],[Total Proposed]]</f>
        <v>1</v>
      </c>
      <c r="U275" s="439"/>
      <c r="V275" s="441">
        <f ca="1">Table66[[#This Row],[Year 6 (Specified in RFO) - N/A]]-Table66[[#This Row],[Column1]]</f>
        <v>0</v>
      </c>
    </row>
    <row r="276" spans="1:22" ht="16.5" thickBot="1">
      <c r="A276" s="227"/>
      <c r="B276" s="319"/>
      <c r="C276" s="319"/>
      <c r="D276" s="320"/>
      <c r="E276" s="320"/>
      <c r="F276" s="190"/>
      <c r="G2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6" s="190"/>
      <c r="I2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6" s="190"/>
      <c r="K2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6" s="190"/>
      <c r="M2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6" s="190"/>
      <c r="O2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6" s="190"/>
      <c r="Q2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6" s="192">
        <f ca="1">Table66[[#This Row],[Year 1 (Specified in RFO) - N/A]]+Table66[[#This Row],[Year 2 (Specified in RFO) - N/A]]+Table66[[#This Row],[Year 3 (Specified in RFO) - N/A]]+Table66[[#This Row],[Year 4 (Specified in RFO) - N/A]]+Table66[[#This Row],[Year 5 (Specified in RFO) - N/A]]+Table66[[#This Row],[Year 6 (Specified in RFO) - N/A]]</f>
        <v>0</v>
      </c>
      <c r="S276" s="402">
        <f ca="1">Table66[[#This Row],[Year 1  (Proposed)]]+Table66[[#This Row],[Year 2 (Proposed)]]+Table66[[#This Row],[Year 3 (Proposed)]]+Table66[[#This Row],[Year 4 (Proposed)]]+Table66[[#This Row],[Year 5 (Proposed)]]+Table66[[#This Row],[Year 6 (Proposed)]]</f>
        <v>0</v>
      </c>
      <c r="T276" s="403" t="b">
        <f ca="1">Table66[[#This Row],[Total Specifed in RFO - N/A]]=Table66[[#This Row],[Total Proposed]]</f>
        <v>1</v>
      </c>
      <c r="U276" s="439"/>
      <c r="V276" s="441">
        <f ca="1">Table66[[#This Row],[Year 6 (Specified in RFO) - N/A]]-Table66[[#This Row],[Column1]]</f>
        <v>0</v>
      </c>
    </row>
    <row r="277" spans="1:22" ht="16.5" thickBot="1">
      <c r="A277" s="227"/>
      <c r="B277" s="319"/>
      <c r="C277" s="319"/>
      <c r="D277" s="320"/>
      <c r="E277" s="320"/>
      <c r="F277" s="190"/>
      <c r="G2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7" s="190"/>
      <c r="I2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7" s="190"/>
      <c r="K2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7" s="190"/>
      <c r="M2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7" s="190"/>
      <c r="O2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7" s="190"/>
      <c r="Q2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7" s="192">
        <f ca="1">Table66[[#This Row],[Year 1 (Specified in RFO) - N/A]]+Table66[[#This Row],[Year 2 (Specified in RFO) - N/A]]+Table66[[#This Row],[Year 3 (Specified in RFO) - N/A]]+Table66[[#This Row],[Year 4 (Specified in RFO) - N/A]]+Table66[[#This Row],[Year 5 (Specified in RFO) - N/A]]+Table66[[#This Row],[Year 6 (Specified in RFO) - N/A]]</f>
        <v>0</v>
      </c>
      <c r="S277" s="402">
        <f ca="1">Table66[[#This Row],[Year 1  (Proposed)]]+Table66[[#This Row],[Year 2 (Proposed)]]+Table66[[#This Row],[Year 3 (Proposed)]]+Table66[[#This Row],[Year 4 (Proposed)]]+Table66[[#This Row],[Year 5 (Proposed)]]+Table66[[#This Row],[Year 6 (Proposed)]]</f>
        <v>0</v>
      </c>
      <c r="T277" s="403" t="b">
        <f ca="1">Table66[[#This Row],[Total Specifed in RFO - N/A]]=Table66[[#This Row],[Total Proposed]]</f>
        <v>1</v>
      </c>
      <c r="U277" s="439"/>
      <c r="V277" s="441">
        <f ca="1">Table66[[#This Row],[Year 6 (Specified in RFO) - N/A]]-Table66[[#This Row],[Column1]]</f>
        <v>0</v>
      </c>
    </row>
    <row r="278" spans="1:22" ht="16.5" thickBot="1">
      <c r="A278" s="227"/>
      <c r="B278" s="319"/>
      <c r="C278" s="319"/>
      <c r="D278" s="320"/>
      <c r="E278" s="320"/>
      <c r="F278" s="190"/>
      <c r="G2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8" s="190"/>
      <c r="I2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8" s="190"/>
      <c r="K2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8" s="190"/>
      <c r="M2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8" s="190"/>
      <c r="O2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8" s="190"/>
      <c r="Q2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8" s="192">
        <f ca="1">Table66[[#This Row],[Year 1 (Specified in RFO) - N/A]]+Table66[[#This Row],[Year 2 (Specified in RFO) - N/A]]+Table66[[#This Row],[Year 3 (Specified in RFO) - N/A]]+Table66[[#This Row],[Year 4 (Specified in RFO) - N/A]]+Table66[[#This Row],[Year 5 (Specified in RFO) - N/A]]+Table66[[#This Row],[Year 6 (Specified in RFO) - N/A]]</f>
        <v>0</v>
      </c>
      <c r="S278" s="402">
        <f ca="1">Table66[[#This Row],[Year 1  (Proposed)]]+Table66[[#This Row],[Year 2 (Proposed)]]+Table66[[#This Row],[Year 3 (Proposed)]]+Table66[[#This Row],[Year 4 (Proposed)]]+Table66[[#This Row],[Year 5 (Proposed)]]+Table66[[#This Row],[Year 6 (Proposed)]]</f>
        <v>0</v>
      </c>
      <c r="T278" s="403" t="b">
        <f ca="1">Table66[[#This Row],[Total Specifed in RFO - N/A]]=Table66[[#This Row],[Total Proposed]]</f>
        <v>1</v>
      </c>
      <c r="U278" s="439"/>
      <c r="V278" s="441">
        <f ca="1">Table66[[#This Row],[Year 6 (Specified in RFO) - N/A]]-Table66[[#This Row],[Column1]]</f>
        <v>0</v>
      </c>
    </row>
    <row r="279" spans="1:22" ht="16.5" thickBot="1">
      <c r="A279" s="227"/>
      <c r="B279" s="319"/>
      <c r="C279" s="319"/>
      <c r="D279" s="320"/>
      <c r="E279" s="320"/>
      <c r="F279" s="190"/>
      <c r="G2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9" s="190"/>
      <c r="I2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9" s="190"/>
      <c r="K2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9" s="190"/>
      <c r="M2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9" s="190"/>
      <c r="O2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9" s="190"/>
      <c r="Q2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9" s="192">
        <f ca="1">Table66[[#This Row],[Year 1 (Specified in RFO) - N/A]]+Table66[[#This Row],[Year 2 (Specified in RFO) - N/A]]+Table66[[#This Row],[Year 3 (Specified in RFO) - N/A]]+Table66[[#This Row],[Year 4 (Specified in RFO) - N/A]]+Table66[[#This Row],[Year 5 (Specified in RFO) - N/A]]+Table66[[#This Row],[Year 6 (Specified in RFO) - N/A]]</f>
        <v>0</v>
      </c>
      <c r="S279" s="402">
        <f ca="1">Table66[[#This Row],[Year 1  (Proposed)]]+Table66[[#This Row],[Year 2 (Proposed)]]+Table66[[#This Row],[Year 3 (Proposed)]]+Table66[[#This Row],[Year 4 (Proposed)]]+Table66[[#This Row],[Year 5 (Proposed)]]+Table66[[#This Row],[Year 6 (Proposed)]]</f>
        <v>0</v>
      </c>
      <c r="T279" s="403" t="b">
        <f ca="1">Table66[[#This Row],[Total Specifed in RFO - N/A]]=Table66[[#This Row],[Total Proposed]]</f>
        <v>1</v>
      </c>
      <c r="U279" s="439"/>
      <c r="V279" s="441">
        <f ca="1">Table66[[#This Row],[Year 6 (Specified in RFO) - N/A]]-Table66[[#This Row],[Column1]]</f>
        <v>0</v>
      </c>
    </row>
    <row r="280" spans="1:22" ht="16.5" thickBot="1">
      <c r="A280" s="227"/>
      <c r="B280" s="319"/>
      <c r="C280" s="319"/>
      <c r="D280" s="320"/>
      <c r="E280" s="320"/>
      <c r="F280" s="190"/>
      <c r="G2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0" s="190"/>
      <c r="I2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0" s="190"/>
      <c r="K2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0" s="190"/>
      <c r="M2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0" s="190"/>
      <c r="O2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0" s="190"/>
      <c r="Q2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0" s="192">
        <f ca="1">Table66[[#This Row],[Year 1 (Specified in RFO) - N/A]]+Table66[[#This Row],[Year 2 (Specified in RFO) - N/A]]+Table66[[#This Row],[Year 3 (Specified in RFO) - N/A]]+Table66[[#This Row],[Year 4 (Specified in RFO) - N/A]]+Table66[[#This Row],[Year 5 (Specified in RFO) - N/A]]+Table66[[#This Row],[Year 6 (Specified in RFO) - N/A]]</f>
        <v>0</v>
      </c>
      <c r="S280" s="402">
        <f ca="1">Table66[[#This Row],[Year 1  (Proposed)]]+Table66[[#This Row],[Year 2 (Proposed)]]+Table66[[#This Row],[Year 3 (Proposed)]]+Table66[[#This Row],[Year 4 (Proposed)]]+Table66[[#This Row],[Year 5 (Proposed)]]+Table66[[#This Row],[Year 6 (Proposed)]]</f>
        <v>0</v>
      </c>
      <c r="T280" s="403" t="b">
        <f ca="1">Table66[[#This Row],[Total Specifed in RFO - N/A]]=Table66[[#This Row],[Total Proposed]]</f>
        <v>1</v>
      </c>
      <c r="U280" s="439"/>
      <c r="V280" s="441">
        <f ca="1">Table66[[#This Row],[Year 6 (Specified in RFO) - N/A]]-Table66[[#This Row],[Column1]]</f>
        <v>0</v>
      </c>
    </row>
    <row r="281" spans="1:22" ht="16.5" thickBot="1">
      <c r="A281" s="227"/>
      <c r="B281" s="319"/>
      <c r="C281" s="319"/>
      <c r="D281" s="320"/>
      <c r="E281" s="320"/>
      <c r="F281" s="190"/>
      <c r="G2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1" s="190"/>
      <c r="I2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1" s="190"/>
      <c r="K2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1" s="190"/>
      <c r="M2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1" s="190"/>
      <c r="O2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1" s="190"/>
      <c r="Q2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1" s="192">
        <f ca="1">Table66[[#This Row],[Year 1 (Specified in RFO) - N/A]]+Table66[[#This Row],[Year 2 (Specified in RFO) - N/A]]+Table66[[#This Row],[Year 3 (Specified in RFO) - N/A]]+Table66[[#This Row],[Year 4 (Specified in RFO) - N/A]]+Table66[[#This Row],[Year 5 (Specified in RFO) - N/A]]+Table66[[#This Row],[Year 6 (Specified in RFO) - N/A]]</f>
        <v>0</v>
      </c>
      <c r="S281" s="402">
        <f ca="1">Table66[[#This Row],[Year 1  (Proposed)]]+Table66[[#This Row],[Year 2 (Proposed)]]+Table66[[#This Row],[Year 3 (Proposed)]]+Table66[[#This Row],[Year 4 (Proposed)]]+Table66[[#This Row],[Year 5 (Proposed)]]+Table66[[#This Row],[Year 6 (Proposed)]]</f>
        <v>0</v>
      </c>
      <c r="T281" s="403" t="b">
        <f ca="1">Table66[[#This Row],[Total Specifed in RFO - N/A]]=Table66[[#This Row],[Total Proposed]]</f>
        <v>1</v>
      </c>
      <c r="U281" s="439"/>
      <c r="V281" s="441">
        <f ca="1">Table66[[#This Row],[Year 6 (Specified in RFO) - N/A]]-Table66[[#This Row],[Column1]]</f>
        <v>0</v>
      </c>
    </row>
    <row r="282" spans="1:22" ht="16.5" thickBot="1">
      <c r="A282" s="227"/>
      <c r="B282" s="319"/>
      <c r="C282" s="319"/>
      <c r="D282" s="320"/>
      <c r="E282" s="320"/>
      <c r="F282" s="190"/>
      <c r="G2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2" s="190"/>
      <c r="I2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2" s="190"/>
      <c r="K2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2" s="190"/>
      <c r="M2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2" s="190"/>
      <c r="O2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2" s="190"/>
      <c r="Q2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2" s="192">
        <f ca="1">Table66[[#This Row],[Year 1 (Specified in RFO) - N/A]]+Table66[[#This Row],[Year 2 (Specified in RFO) - N/A]]+Table66[[#This Row],[Year 3 (Specified in RFO) - N/A]]+Table66[[#This Row],[Year 4 (Specified in RFO) - N/A]]+Table66[[#This Row],[Year 5 (Specified in RFO) - N/A]]+Table66[[#This Row],[Year 6 (Specified in RFO) - N/A]]</f>
        <v>0</v>
      </c>
      <c r="S282" s="402">
        <f ca="1">Table66[[#This Row],[Year 1  (Proposed)]]+Table66[[#This Row],[Year 2 (Proposed)]]+Table66[[#This Row],[Year 3 (Proposed)]]+Table66[[#This Row],[Year 4 (Proposed)]]+Table66[[#This Row],[Year 5 (Proposed)]]+Table66[[#This Row],[Year 6 (Proposed)]]</f>
        <v>0</v>
      </c>
      <c r="T282" s="403" t="b">
        <f ca="1">Table66[[#This Row],[Total Specifed in RFO - N/A]]=Table66[[#This Row],[Total Proposed]]</f>
        <v>1</v>
      </c>
      <c r="U282" s="439"/>
      <c r="V282" s="441">
        <f ca="1">Table66[[#This Row],[Year 6 (Specified in RFO) - N/A]]-Table66[[#This Row],[Column1]]</f>
        <v>0</v>
      </c>
    </row>
    <row r="283" spans="1:22" ht="16.5" thickBot="1">
      <c r="A283" s="227"/>
      <c r="B283" s="319"/>
      <c r="C283" s="319"/>
      <c r="D283" s="320"/>
      <c r="E283" s="320"/>
      <c r="F283" s="190"/>
      <c r="G2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3" s="190"/>
      <c r="I2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3" s="190"/>
      <c r="K2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3" s="190"/>
      <c r="M2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3" s="190"/>
      <c r="O2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3" s="190"/>
      <c r="Q2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3" s="192">
        <f ca="1">Table66[[#This Row],[Year 1 (Specified in RFO) - N/A]]+Table66[[#This Row],[Year 2 (Specified in RFO) - N/A]]+Table66[[#This Row],[Year 3 (Specified in RFO) - N/A]]+Table66[[#This Row],[Year 4 (Specified in RFO) - N/A]]+Table66[[#This Row],[Year 5 (Specified in RFO) - N/A]]+Table66[[#This Row],[Year 6 (Specified in RFO) - N/A]]</f>
        <v>0</v>
      </c>
      <c r="S283" s="402">
        <f ca="1">Table66[[#This Row],[Year 1  (Proposed)]]+Table66[[#This Row],[Year 2 (Proposed)]]+Table66[[#This Row],[Year 3 (Proposed)]]+Table66[[#This Row],[Year 4 (Proposed)]]+Table66[[#This Row],[Year 5 (Proposed)]]+Table66[[#This Row],[Year 6 (Proposed)]]</f>
        <v>0</v>
      </c>
      <c r="T283" s="403" t="b">
        <f ca="1">Table66[[#This Row],[Total Specifed in RFO - N/A]]=Table66[[#This Row],[Total Proposed]]</f>
        <v>1</v>
      </c>
      <c r="U283" s="439"/>
      <c r="V283" s="441">
        <f ca="1">Table66[[#This Row],[Year 6 (Specified in RFO) - N/A]]-Table66[[#This Row],[Column1]]</f>
        <v>0</v>
      </c>
    </row>
    <row r="284" spans="1:22" ht="16.5" thickBot="1">
      <c r="A284" s="227"/>
      <c r="B284" s="319"/>
      <c r="C284" s="319"/>
      <c r="D284" s="320"/>
      <c r="E284" s="320"/>
      <c r="F284" s="190"/>
      <c r="G2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4" s="190"/>
      <c r="I2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4" s="190"/>
      <c r="K2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4" s="190"/>
      <c r="M2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4" s="190"/>
      <c r="O2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4" s="190"/>
      <c r="Q2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4" s="192">
        <f ca="1">Table66[[#This Row],[Year 1 (Specified in RFO) - N/A]]+Table66[[#This Row],[Year 2 (Specified in RFO) - N/A]]+Table66[[#This Row],[Year 3 (Specified in RFO) - N/A]]+Table66[[#This Row],[Year 4 (Specified in RFO) - N/A]]+Table66[[#This Row],[Year 5 (Specified in RFO) - N/A]]+Table66[[#This Row],[Year 6 (Specified in RFO) - N/A]]</f>
        <v>0</v>
      </c>
      <c r="S284" s="402">
        <f ca="1">Table66[[#This Row],[Year 1  (Proposed)]]+Table66[[#This Row],[Year 2 (Proposed)]]+Table66[[#This Row],[Year 3 (Proposed)]]+Table66[[#This Row],[Year 4 (Proposed)]]+Table66[[#This Row],[Year 5 (Proposed)]]+Table66[[#This Row],[Year 6 (Proposed)]]</f>
        <v>0</v>
      </c>
      <c r="T284" s="403" t="b">
        <f ca="1">Table66[[#This Row],[Total Specifed in RFO - N/A]]=Table66[[#This Row],[Total Proposed]]</f>
        <v>1</v>
      </c>
      <c r="U284" s="439"/>
      <c r="V284" s="441">
        <f ca="1">Table66[[#This Row],[Year 6 (Specified in RFO) - N/A]]-Table66[[#This Row],[Column1]]</f>
        <v>0</v>
      </c>
    </row>
    <row r="285" spans="1:22" ht="16.5" thickBot="1">
      <c r="A285" s="227"/>
      <c r="B285" s="319"/>
      <c r="C285" s="319"/>
      <c r="D285" s="320"/>
      <c r="E285" s="320"/>
      <c r="F285" s="190"/>
      <c r="G2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5" s="190"/>
      <c r="I2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5" s="190"/>
      <c r="K2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5" s="190"/>
      <c r="M2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5" s="190"/>
      <c r="O2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5" s="190"/>
      <c r="Q2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5" s="192">
        <f ca="1">Table66[[#This Row],[Year 1 (Specified in RFO) - N/A]]+Table66[[#This Row],[Year 2 (Specified in RFO) - N/A]]+Table66[[#This Row],[Year 3 (Specified in RFO) - N/A]]+Table66[[#This Row],[Year 4 (Specified in RFO) - N/A]]+Table66[[#This Row],[Year 5 (Specified in RFO) - N/A]]+Table66[[#This Row],[Year 6 (Specified in RFO) - N/A]]</f>
        <v>0</v>
      </c>
      <c r="S285" s="402">
        <f ca="1">Table66[[#This Row],[Year 1  (Proposed)]]+Table66[[#This Row],[Year 2 (Proposed)]]+Table66[[#This Row],[Year 3 (Proposed)]]+Table66[[#This Row],[Year 4 (Proposed)]]+Table66[[#This Row],[Year 5 (Proposed)]]+Table66[[#This Row],[Year 6 (Proposed)]]</f>
        <v>0</v>
      </c>
      <c r="T285" s="403" t="b">
        <f ca="1">Table66[[#This Row],[Total Specifed in RFO - N/A]]=Table66[[#This Row],[Total Proposed]]</f>
        <v>1</v>
      </c>
      <c r="U285" s="439"/>
      <c r="V285" s="441">
        <f ca="1">Table66[[#This Row],[Year 6 (Specified in RFO) - N/A]]-Table66[[#This Row],[Column1]]</f>
        <v>0</v>
      </c>
    </row>
    <row r="286" spans="1:22" ht="16.5" thickBot="1">
      <c r="A286" s="227"/>
      <c r="B286" s="319"/>
      <c r="C286" s="319"/>
      <c r="D286" s="320"/>
      <c r="E286" s="320"/>
      <c r="F286" s="190"/>
      <c r="G2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6" s="190"/>
      <c r="I2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6" s="190"/>
      <c r="K2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6" s="190"/>
      <c r="M2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6" s="190"/>
      <c r="O2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6" s="190"/>
      <c r="Q2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6" s="192">
        <f ca="1">Table66[[#This Row],[Year 1 (Specified in RFO) - N/A]]+Table66[[#This Row],[Year 2 (Specified in RFO) - N/A]]+Table66[[#This Row],[Year 3 (Specified in RFO) - N/A]]+Table66[[#This Row],[Year 4 (Specified in RFO) - N/A]]+Table66[[#This Row],[Year 5 (Specified in RFO) - N/A]]+Table66[[#This Row],[Year 6 (Specified in RFO) - N/A]]</f>
        <v>0</v>
      </c>
      <c r="S286" s="402">
        <f ca="1">Table66[[#This Row],[Year 1  (Proposed)]]+Table66[[#This Row],[Year 2 (Proposed)]]+Table66[[#This Row],[Year 3 (Proposed)]]+Table66[[#This Row],[Year 4 (Proposed)]]+Table66[[#This Row],[Year 5 (Proposed)]]+Table66[[#This Row],[Year 6 (Proposed)]]</f>
        <v>0</v>
      </c>
      <c r="T286" s="403" t="b">
        <f ca="1">Table66[[#This Row],[Total Specifed in RFO - N/A]]=Table66[[#This Row],[Total Proposed]]</f>
        <v>1</v>
      </c>
      <c r="U286" s="439"/>
      <c r="V286" s="441">
        <f ca="1">Table66[[#This Row],[Year 6 (Specified in RFO) - N/A]]-Table66[[#This Row],[Column1]]</f>
        <v>0</v>
      </c>
    </row>
    <row r="287" spans="1:22" ht="16.5" thickBot="1">
      <c r="A287" s="227"/>
      <c r="B287" s="319"/>
      <c r="C287" s="319"/>
      <c r="D287" s="320"/>
      <c r="E287" s="320"/>
      <c r="F287" s="190"/>
      <c r="G2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7" s="190"/>
      <c r="I2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7" s="190"/>
      <c r="K2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7" s="190"/>
      <c r="M2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7" s="190"/>
      <c r="O2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7" s="190"/>
      <c r="Q2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7" s="192">
        <f ca="1">Table66[[#This Row],[Year 1 (Specified in RFO) - N/A]]+Table66[[#This Row],[Year 2 (Specified in RFO) - N/A]]+Table66[[#This Row],[Year 3 (Specified in RFO) - N/A]]+Table66[[#This Row],[Year 4 (Specified in RFO) - N/A]]+Table66[[#This Row],[Year 5 (Specified in RFO) - N/A]]+Table66[[#This Row],[Year 6 (Specified in RFO) - N/A]]</f>
        <v>0</v>
      </c>
      <c r="S287" s="402">
        <f ca="1">Table66[[#This Row],[Year 1  (Proposed)]]+Table66[[#This Row],[Year 2 (Proposed)]]+Table66[[#This Row],[Year 3 (Proposed)]]+Table66[[#This Row],[Year 4 (Proposed)]]+Table66[[#This Row],[Year 5 (Proposed)]]+Table66[[#This Row],[Year 6 (Proposed)]]</f>
        <v>0</v>
      </c>
      <c r="T287" s="403" t="b">
        <f ca="1">Table66[[#This Row],[Total Specifed in RFO - N/A]]=Table66[[#This Row],[Total Proposed]]</f>
        <v>1</v>
      </c>
      <c r="U287" s="439"/>
      <c r="V287" s="441">
        <f ca="1">Table66[[#This Row],[Year 6 (Specified in RFO) - N/A]]-Table66[[#This Row],[Column1]]</f>
        <v>0</v>
      </c>
    </row>
    <row r="288" spans="1:22" ht="16.5" thickBot="1">
      <c r="A288" s="227"/>
      <c r="B288" s="319"/>
      <c r="C288" s="319"/>
      <c r="D288" s="320"/>
      <c r="E288" s="320"/>
      <c r="F288" s="190"/>
      <c r="G2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8" s="190"/>
      <c r="I2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8" s="190"/>
      <c r="K2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8" s="190"/>
      <c r="M2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8" s="190"/>
      <c r="O2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8" s="190"/>
      <c r="Q2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8" s="192">
        <f ca="1">Table66[[#This Row],[Year 1 (Specified in RFO) - N/A]]+Table66[[#This Row],[Year 2 (Specified in RFO) - N/A]]+Table66[[#This Row],[Year 3 (Specified in RFO) - N/A]]+Table66[[#This Row],[Year 4 (Specified in RFO) - N/A]]+Table66[[#This Row],[Year 5 (Specified in RFO) - N/A]]+Table66[[#This Row],[Year 6 (Specified in RFO) - N/A]]</f>
        <v>0</v>
      </c>
      <c r="S288" s="402">
        <f ca="1">Table66[[#This Row],[Year 1  (Proposed)]]+Table66[[#This Row],[Year 2 (Proposed)]]+Table66[[#This Row],[Year 3 (Proposed)]]+Table66[[#This Row],[Year 4 (Proposed)]]+Table66[[#This Row],[Year 5 (Proposed)]]+Table66[[#This Row],[Year 6 (Proposed)]]</f>
        <v>0</v>
      </c>
      <c r="T288" s="403" t="b">
        <f ca="1">Table66[[#This Row],[Total Specifed in RFO - N/A]]=Table66[[#This Row],[Total Proposed]]</f>
        <v>1</v>
      </c>
      <c r="U288" s="439"/>
      <c r="V288" s="441">
        <f ca="1">Table66[[#This Row],[Year 6 (Specified in RFO) - N/A]]-Table66[[#This Row],[Column1]]</f>
        <v>0</v>
      </c>
    </row>
    <row r="289" spans="1:22" ht="16.5" thickBot="1">
      <c r="A289" s="227"/>
      <c r="B289" s="319"/>
      <c r="C289" s="319"/>
      <c r="D289" s="320"/>
      <c r="E289" s="320"/>
      <c r="F289" s="190"/>
      <c r="G2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9" s="190"/>
      <c r="I2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9" s="190"/>
      <c r="K2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9" s="190"/>
      <c r="M2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9" s="190"/>
      <c r="O2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9" s="190"/>
      <c r="Q2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9" s="192">
        <f ca="1">Table66[[#This Row],[Year 1 (Specified in RFO) - N/A]]+Table66[[#This Row],[Year 2 (Specified in RFO) - N/A]]+Table66[[#This Row],[Year 3 (Specified in RFO) - N/A]]+Table66[[#This Row],[Year 4 (Specified in RFO) - N/A]]+Table66[[#This Row],[Year 5 (Specified in RFO) - N/A]]+Table66[[#This Row],[Year 6 (Specified in RFO) - N/A]]</f>
        <v>0</v>
      </c>
      <c r="S289" s="402">
        <f ca="1">Table66[[#This Row],[Year 1  (Proposed)]]+Table66[[#This Row],[Year 2 (Proposed)]]+Table66[[#This Row],[Year 3 (Proposed)]]+Table66[[#This Row],[Year 4 (Proposed)]]+Table66[[#This Row],[Year 5 (Proposed)]]+Table66[[#This Row],[Year 6 (Proposed)]]</f>
        <v>0</v>
      </c>
      <c r="T289" s="403" t="b">
        <f ca="1">Table66[[#This Row],[Total Specifed in RFO - N/A]]=Table66[[#This Row],[Total Proposed]]</f>
        <v>1</v>
      </c>
      <c r="U289" s="439"/>
      <c r="V289" s="441">
        <f ca="1">Table66[[#This Row],[Year 6 (Specified in RFO) - N/A]]-Table66[[#This Row],[Column1]]</f>
        <v>0</v>
      </c>
    </row>
    <row r="290" spans="1:22" ht="16.5" thickBot="1">
      <c r="A290" s="227"/>
      <c r="B290" s="319"/>
      <c r="C290" s="319"/>
      <c r="D290" s="320"/>
      <c r="E290" s="320"/>
      <c r="F290" s="190"/>
      <c r="G2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0" s="190"/>
      <c r="I2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0" s="190"/>
      <c r="K2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0" s="190"/>
      <c r="M2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0" s="190"/>
      <c r="O2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0" s="190"/>
      <c r="Q2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0" s="192">
        <f ca="1">Table66[[#This Row],[Year 1 (Specified in RFO) - N/A]]+Table66[[#This Row],[Year 2 (Specified in RFO) - N/A]]+Table66[[#This Row],[Year 3 (Specified in RFO) - N/A]]+Table66[[#This Row],[Year 4 (Specified in RFO) - N/A]]+Table66[[#This Row],[Year 5 (Specified in RFO) - N/A]]+Table66[[#This Row],[Year 6 (Specified in RFO) - N/A]]</f>
        <v>0</v>
      </c>
      <c r="S290" s="402">
        <f ca="1">Table66[[#This Row],[Year 1  (Proposed)]]+Table66[[#This Row],[Year 2 (Proposed)]]+Table66[[#This Row],[Year 3 (Proposed)]]+Table66[[#This Row],[Year 4 (Proposed)]]+Table66[[#This Row],[Year 5 (Proposed)]]+Table66[[#This Row],[Year 6 (Proposed)]]</f>
        <v>0</v>
      </c>
      <c r="T290" s="403" t="b">
        <f ca="1">Table66[[#This Row],[Total Specifed in RFO - N/A]]=Table66[[#This Row],[Total Proposed]]</f>
        <v>1</v>
      </c>
      <c r="U290" s="439"/>
      <c r="V290" s="441">
        <f ca="1">Table66[[#This Row],[Year 6 (Specified in RFO) - N/A]]-Table66[[#This Row],[Column1]]</f>
        <v>0</v>
      </c>
    </row>
    <row r="291" spans="1:22" ht="16.5" thickBot="1">
      <c r="A291" s="227"/>
      <c r="B291" s="319"/>
      <c r="C291" s="319"/>
      <c r="D291" s="320"/>
      <c r="E291" s="320"/>
      <c r="F291" s="190"/>
      <c r="G2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1" s="190"/>
      <c r="I2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1" s="190"/>
      <c r="K2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1" s="190"/>
      <c r="M2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1" s="190"/>
      <c r="O2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1" s="190"/>
      <c r="Q2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1" s="192">
        <f ca="1">Table66[[#This Row],[Year 1 (Specified in RFO) - N/A]]+Table66[[#This Row],[Year 2 (Specified in RFO) - N/A]]+Table66[[#This Row],[Year 3 (Specified in RFO) - N/A]]+Table66[[#This Row],[Year 4 (Specified in RFO) - N/A]]+Table66[[#This Row],[Year 5 (Specified in RFO) - N/A]]+Table66[[#This Row],[Year 6 (Specified in RFO) - N/A]]</f>
        <v>0</v>
      </c>
      <c r="S291" s="402">
        <f ca="1">Table66[[#This Row],[Year 1  (Proposed)]]+Table66[[#This Row],[Year 2 (Proposed)]]+Table66[[#This Row],[Year 3 (Proposed)]]+Table66[[#This Row],[Year 4 (Proposed)]]+Table66[[#This Row],[Year 5 (Proposed)]]+Table66[[#This Row],[Year 6 (Proposed)]]</f>
        <v>0</v>
      </c>
      <c r="T291" s="403" t="b">
        <f ca="1">Table66[[#This Row],[Total Specifed in RFO - N/A]]=Table66[[#This Row],[Total Proposed]]</f>
        <v>1</v>
      </c>
      <c r="U291" s="439"/>
      <c r="V291" s="441">
        <f ca="1">Table66[[#This Row],[Year 6 (Specified in RFO) - N/A]]-Table66[[#This Row],[Column1]]</f>
        <v>0</v>
      </c>
    </row>
    <row r="292" spans="1:22" ht="16.5" thickBot="1">
      <c r="A292" s="227"/>
      <c r="B292" s="319"/>
      <c r="C292" s="319"/>
      <c r="D292" s="320"/>
      <c r="E292" s="320"/>
      <c r="F292" s="190"/>
      <c r="G2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2" s="190"/>
      <c r="I2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2" s="190"/>
      <c r="K2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2" s="190"/>
      <c r="M2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2" s="190"/>
      <c r="O2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2" s="190"/>
      <c r="Q2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2" s="192">
        <f ca="1">Table66[[#This Row],[Year 1 (Specified in RFO) - N/A]]+Table66[[#This Row],[Year 2 (Specified in RFO) - N/A]]+Table66[[#This Row],[Year 3 (Specified in RFO) - N/A]]+Table66[[#This Row],[Year 4 (Specified in RFO) - N/A]]+Table66[[#This Row],[Year 5 (Specified in RFO) - N/A]]+Table66[[#This Row],[Year 6 (Specified in RFO) - N/A]]</f>
        <v>0</v>
      </c>
      <c r="S292" s="402">
        <f ca="1">Table66[[#This Row],[Year 1  (Proposed)]]+Table66[[#This Row],[Year 2 (Proposed)]]+Table66[[#This Row],[Year 3 (Proposed)]]+Table66[[#This Row],[Year 4 (Proposed)]]+Table66[[#This Row],[Year 5 (Proposed)]]+Table66[[#This Row],[Year 6 (Proposed)]]</f>
        <v>0</v>
      </c>
      <c r="T292" s="403" t="b">
        <f ca="1">Table66[[#This Row],[Total Specifed in RFO - N/A]]=Table66[[#This Row],[Total Proposed]]</f>
        <v>1</v>
      </c>
      <c r="U292" s="439"/>
      <c r="V292" s="441">
        <f ca="1">Table66[[#This Row],[Year 6 (Specified in RFO) - N/A]]-Table66[[#This Row],[Column1]]</f>
        <v>0</v>
      </c>
    </row>
    <row r="293" spans="1:22" ht="16.5" thickBot="1">
      <c r="A293" s="227"/>
      <c r="B293" s="319"/>
      <c r="C293" s="319"/>
      <c r="D293" s="320"/>
      <c r="E293" s="320"/>
      <c r="F293" s="190"/>
      <c r="G2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3" s="190"/>
      <c r="I2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3" s="190"/>
      <c r="K2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3" s="190"/>
      <c r="M2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3" s="190"/>
      <c r="O2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3" s="190"/>
      <c r="Q2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3" s="192">
        <f ca="1">Table66[[#This Row],[Year 1 (Specified in RFO) - N/A]]+Table66[[#This Row],[Year 2 (Specified in RFO) - N/A]]+Table66[[#This Row],[Year 3 (Specified in RFO) - N/A]]+Table66[[#This Row],[Year 4 (Specified in RFO) - N/A]]+Table66[[#This Row],[Year 5 (Specified in RFO) - N/A]]+Table66[[#This Row],[Year 6 (Specified in RFO) - N/A]]</f>
        <v>0</v>
      </c>
      <c r="S293" s="402">
        <f ca="1">Table66[[#This Row],[Year 1  (Proposed)]]+Table66[[#This Row],[Year 2 (Proposed)]]+Table66[[#This Row],[Year 3 (Proposed)]]+Table66[[#This Row],[Year 4 (Proposed)]]+Table66[[#This Row],[Year 5 (Proposed)]]+Table66[[#This Row],[Year 6 (Proposed)]]</f>
        <v>0</v>
      </c>
      <c r="T293" s="403" t="b">
        <f ca="1">Table66[[#This Row],[Total Specifed in RFO - N/A]]=Table66[[#This Row],[Total Proposed]]</f>
        <v>1</v>
      </c>
      <c r="U293" s="439"/>
      <c r="V293" s="441">
        <f ca="1">Table66[[#This Row],[Year 6 (Specified in RFO) - N/A]]-Table66[[#This Row],[Column1]]</f>
        <v>0</v>
      </c>
    </row>
    <row r="294" spans="1:22" ht="16.5" thickBot="1">
      <c r="A294" s="227"/>
      <c r="B294" s="319"/>
      <c r="C294" s="319"/>
      <c r="D294" s="320"/>
      <c r="E294" s="320"/>
      <c r="F294" s="190"/>
      <c r="G2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4" s="190"/>
      <c r="I2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4" s="190"/>
      <c r="K2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4" s="190"/>
      <c r="M2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4" s="190"/>
      <c r="O2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4" s="190"/>
      <c r="Q2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4" s="192">
        <f ca="1">Table66[[#This Row],[Year 1 (Specified in RFO) - N/A]]+Table66[[#This Row],[Year 2 (Specified in RFO) - N/A]]+Table66[[#This Row],[Year 3 (Specified in RFO) - N/A]]+Table66[[#This Row],[Year 4 (Specified in RFO) - N/A]]+Table66[[#This Row],[Year 5 (Specified in RFO) - N/A]]+Table66[[#This Row],[Year 6 (Specified in RFO) - N/A]]</f>
        <v>0</v>
      </c>
      <c r="S294" s="402">
        <f ca="1">Table66[[#This Row],[Year 1  (Proposed)]]+Table66[[#This Row],[Year 2 (Proposed)]]+Table66[[#This Row],[Year 3 (Proposed)]]+Table66[[#This Row],[Year 4 (Proposed)]]+Table66[[#This Row],[Year 5 (Proposed)]]+Table66[[#This Row],[Year 6 (Proposed)]]</f>
        <v>0</v>
      </c>
      <c r="T294" s="403" t="b">
        <f ca="1">Table66[[#This Row],[Total Specifed in RFO - N/A]]=Table66[[#This Row],[Total Proposed]]</f>
        <v>1</v>
      </c>
      <c r="U294" s="439"/>
      <c r="V294" s="441">
        <f ca="1">Table66[[#This Row],[Year 6 (Specified in RFO) - N/A]]-Table66[[#This Row],[Column1]]</f>
        <v>0</v>
      </c>
    </row>
    <row r="295" spans="1:22" ht="16.5" thickBot="1">
      <c r="A295" s="227"/>
      <c r="B295" s="319"/>
      <c r="C295" s="319"/>
      <c r="D295" s="320"/>
      <c r="E295" s="320"/>
      <c r="F295" s="190"/>
      <c r="G2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5" s="190"/>
      <c r="I2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5" s="190"/>
      <c r="K2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5" s="190"/>
      <c r="M2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5" s="190"/>
      <c r="O2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5" s="190"/>
      <c r="Q2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5" s="192">
        <f ca="1">Table66[[#This Row],[Year 1 (Specified in RFO) - N/A]]+Table66[[#This Row],[Year 2 (Specified in RFO) - N/A]]+Table66[[#This Row],[Year 3 (Specified in RFO) - N/A]]+Table66[[#This Row],[Year 4 (Specified in RFO) - N/A]]+Table66[[#This Row],[Year 5 (Specified in RFO) - N/A]]+Table66[[#This Row],[Year 6 (Specified in RFO) - N/A]]</f>
        <v>0</v>
      </c>
      <c r="S295" s="402">
        <f ca="1">Table66[[#This Row],[Year 1  (Proposed)]]+Table66[[#This Row],[Year 2 (Proposed)]]+Table66[[#This Row],[Year 3 (Proposed)]]+Table66[[#This Row],[Year 4 (Proposed)]]+Table66[[#This Row],[Year 5 (Proposed)]]+Table66[[#This Row],[Year 6 (Proposed)]]</f>
        <v>0</v>
      </c>
      <c r="T295" s="403" t="b">
        <f ca="1">Table66[[#This Row],[Total Specifed in RFO - N/A]]=Table66[[#This Row],[Total Proposed]]</f>
        <v>1</v>
      </c>
      <c r="U295" s="439"/>
      <c r="V295" s="441">
        <f ca="1">Table66[[#This Row],[Year 6 (Specified in RFO) - N/A]]-Table66[[#This Row],[Column1]]</f>
        <v>0</v>
      </c>
    </row>
    <row r="296" spans="1:22" ht="16.5" thickBot="1">
      <c r="A296" s="227"/>
      <c r="B296" s="319"/>
      <c r="C296" s="319"/>
      <c r="D296" s="320"/>
      <c r="E296" s="320"/>
      <c r="F296" s="190"/>
      <c r="G2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6" s="190"/>
      <c r="I2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6" s="190"/>
      <c r="K2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6" s="190"/>
      <c r="M2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6" s="190"/>
      <c r="O2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6" s="190"/>
      <c r="Q2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6" s="192">
        <f ca="1">Table66[[#This Row],[Year 1 (Specified in RFO) - N/A]]+Table66[[#This Row],[Year 2 (Specified in RFO) - N/A]]+Table66[[#This Row],[Year 3 (Specified in RFO) - N/A]]+Table66[[#This Row],[Year 4 (Specified in RFO) - N/A]]+Table66[[#This Row],[Year 5 (Specified in RFO) - N/A]]+Table66[[#This Row],[Year 6 (Specified in RFO) - N/A]]</f>
        <v>0</v>
      </c>
      <c r="S296" s="402">
        <f ca="1">Table66[[#This Row],[Year 1  (Proposed)]]+Table66[[#This Row],[Year 2 (Proposed)]]+Table66[[#This Row],[Year 3 (Proposed)]]+Table66[[#This Row],[Year 4 (Proposed)]]+Table66[[#This Row],[Year 5 (Proposed)]]+Table66[[#This Row],[Year 6 (Proposed)]]</f>
        <v>0</v>
      </c>
      <c r="T296" s="403" t="b">
        <f ca="1">Table66[[#This Row],[Total Specifed in RFO - N/A]]=Table66[[#This Row],[Total Proposed]]</f>
        <v>1</v>
      </c>
      <c r="U296" s="439"/>
      <c r="V296" s="441">
        <f ca="1">Table66[[#This Row],[Year 6 (Specified in RFO) - N/A]]-Table66[[#This Row],[Column1]]</f>
        <v>0</v>
      </c>
    </row>
    <row r="297" spans="1:22" ht="16.5" thickBot="1">
      <c r="A297" s="227"/>
      <c r="B297" s="319"/>
      <c r="C297" s="319"/>
      <c r="D297" s="320"/>
      <c r="E297" s="320"/>
      <c r="F297" s="190"/>
      <c r="G2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7" s="190"/>
      <c r="I2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7" s="190"/>
      <c r="K2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7" s="190"/>
      <c r="M2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7" s="190"/>
      <c r="O2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7" s="190"/>
      <c r="Q2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7" s="192">
        <f ca="1">Table66[[#This Row],[Year 1 (Specified in RFO) - N/A]]+Table66[[#This Row],[Year 2 (Specified in RFO) - N/A]]+Table66[[#This Row],[Year 3 (Specified in RFO) - N/A]]+Table66[[#This Row],[Year 4 (Specified in RFO) - N/A]]+Table66[[#This Row],[Year 5 (Specified in RFO) - N/A]]+Table66[[#This Row],[Year 6 (Specified in RFO) - N/A]]</f>
        <v>0</v>
      </c>
      <c r="S297" s="402">
        <f ca="1">Table66[[#This Row],[Year 1  (Proposed)]]+Table66[[#This Row],[Year 2 (Proposed)]]+Table66[[#This Row],[Year 3 (Proposed)]]+Table66[[#This Row],[Year 4 (Proposed)]]+Table66[[#This Row],[Year 5 (Proposed)]]+Table66[[#This Row],[Year 6 (Proposed)]]</f>
        <v>0</v>
      </c>
      <c r="T297" s="403" t="b">
        <f ca="1">Table66[[#This Row],[Total Specifed in RFO - N/A]]=Table66[[#This Row],[Total Proposed]]</f>
        <v>1</v>
      </c>
      <c r="U297" s="439"/>
      <c r="V297" s="441">
        <f ca="1">Table66[[#This Row],[Year 6 (Specified in RFO) - N/A]]-Table66[[#This Row],[Column1]]</f>
        <v>0</v>
      </c>
    </row>
    <row r="298" spans="1:22" ht="16.5" thickBot="1">
      <c r="A298" s="227"/>
      <c r="B298" s="319"/>
      <c r="C298" s="319"/>
      <c r="D298" s="320"/>
      <c r="E298" s="320"/>
      <c r="F298" s="190"/>
      <c r="G2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8" s="190"/>
      <c r="I2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8" s="190"/>
      <c r="K2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8" s="190"/>
      <c r="M2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8" s="190"/>
      <c r="O2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8" s="190"/>
      <c r="Q2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8" s="192">
        <f ca="1">Table66[[#This Row],[Year 1 (Specified in RFO) - N/A]]+Table66[[#This Row],[Year 2 (Specified in RFO) - N/A]]+Table66[[#This Row],[Year 3 (Specified in RFO) - N/A]]+Table66[[#This Row],[Year 4 (Specified in RFO) - N/A]]+Table66[[#This Row],[Year 5 (Specified in RFO) - N/A]]+Table66[[#This Row],[Year 6 (Specified in RFO) - N/A]]</f>
        <v>0</v>
      </c>
      <c r="S298" s="402">
        <f ca="1">Table66[[#This Row],[Year 1  (Proposed)]]+Table66[[#This Row],[Year 2 (Proposed)]]+Table66[[#This Row],[Year 3 (Proposed)]]+Table66[[#This Row],[Year 4 (Proposed)]]+Table66[[#This Row],[Year 5 (Proposed)]]+Table66[[#This Row],[Year 6 (Proposed)]]</f>
        <v>0</v>
      </c>
      <c r="T298" s="403" t="b">
        <f ca="1">Table66[[#This Row],[Total Specifed in RFO - N/A]]=Table66[[#This Row],[Total Proposed]]</f>
        <v>1</v>
      </c>
      <c r="U298" s="439"/>
      <c r="V298" s="441">
        <f ca="1">Table66[[#This Row],[Year 6 (Specified in RFO) - N/A]]-Table66[[#This Row],[Column1]]</f>
        <v>0</v>
      </c>
    </row>
    <row r="299" spans="1:22" ht="16.5" thickBot="1">
      <c r="A299" s="227"/>
      <c r="B299" s="319"/>
      <c r="C299" s="319"/>
      <c r="D299" s="320"/>
      <c r="E299" s="320"/>
      <c r="F299" s="190"/>
      <c r="G2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9" s="190"/>
      <c r="I2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9" s="190"/>
      <c r="K2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9" s="190"/>
      <c r="M2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9" s="190"/>
      <c r="O2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9" s="190"/>
      <c r="Q2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9" s="192">
        <f ca="1">Table66[[#This Row],[Year 1 (Specified in RFO) - N/A]]+Table66[[#This Row],[Year 2 (Specified in RFO) - N/A]]+Table66[[#This Row],[Year 3 (Specified in RFO) - N/A]]+Table66[[#This Row],[Year 4 (Specified in RFO) - N/A]]+Table66[[#This Row],[Year 5 (Specified in RFO) - N/A]]+Table66[[#This Row],[Year 6 (Specified in RFO) - N/A]]</f>
        <v>0</v>
      </c>
      <c r="S299" s="402">
        <f ca="1">Table66[[#This Row],[Year 1  (Proposed)]]+Table66[[#This Row],[Year 2 (Proposed)]]+Table66[[#This Row],[Year 3 (Proposed)]]+Table66[[#This Row],[Year 4 (Proposed)]]+Table66[[#This Row],[Year 5 (Proposed)]]+Table66[[#This Row],[Year 6 (Proposed)]]</f>
        <v>0</v>
      </c>
      <c r="T299" s="403" t="b">
        <f ca="1">Table66[[#This Row],[Total Specifed in RFO - N/A]]=Table66[[#This Row],[Total Proposed]]</f>
        <v>1</v>
      </c>
      <c r="U299" s="439"/>
      <c r="V299" s="441">
        <f ca="1">Table66[[#This Row],[Year 6 (Specified in RFO) - N/A]]-Table66[[#This Row],[Column1]]</f>
        <v>0</v>
      </c>
    </row>
    <row r="300" spans="1:22" ht="16.5" thickBot="1">
      <c r="A300" s="227"/>
      <c r="B300" s="319"/>
      <c r="C300" s="319"/>
      <c r="D300" s="320"/>
      <c r="E300" s="320"/>
      <c r="F300" s="190"/>
      <c r="G3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0" s="190"/>
      <c r="I3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0" s="190"/>
      <c r="K3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0" s="190"/>
      <c r="M3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0" s="190"/>
      <c r="O3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0" s="190"/>
      <c r="Q3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0" s="192">
        <f ca="1">Table66[[#This Row],[Year 1 (Specified in RFO) - N/A]]+Table66[[#This Row],[Year 2 (Specified in RFO) - N/A]]+Table66[[#This Row],[Year 3 (Specified in RFO) - N/A]]+Table66[[#This Row],[Year 4 (Specified in RFO) - N/A]]+Table66[[#This Row],[Year 5 (Specified in RFO) - N/A]]+Table66[[#This Row],[Year 6 (Specified in RFO) - N/A]]</f>
        <v>0</v>
      </c>
      <c r="S300" s="402">
        <f ca="1">Table66[[#This Row],[Year 1  (Proposed)]]+Table66[[#This Row],[Year 2 (Proposed)]]+Table66[[#This Row],[Year 3 (Proposed)]]+Table66[[#This Row],[Year 4 (Proposed)]]+Table66[[#This Row],[Year 5 (Proposed)]]+Table66[[#This Row],[Year 6 (Proposed)]]</f>
        <v>0</v>
      </c>
      <c r="T300" s="403" t="b">
        <f ca="1">Table66[[#This Row],[Total Specifed in RFO - N/A]]=Table66[[#This Row],[Total Proposed]]</f>
        <v>1</v>
      </c>
      <c r="U300" s="439"/>
      <c r="V300" s="441">
        <f ca="1">Table66[[#This Row],[Year 6 (Specified in RFO) - N/A]]-Table66[[#This Row],[Column1]]</f>
        <v>0</v>
      </c>
    </row>
    <row r="301" spans="1:22" ht="16.5" thickBot="1">
      <c r="A301" s="227"/>
      <c r="B301" s="319"/>
      <c r="C301" s="319"/>
      <c r="D301" s="320"/>
      <c r="E301" s="320"/>
      <c r="F301" s="190"/>
      <c r="G3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1" s="190"/>
      <c r="I3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1" s="190"/>
      <c r="K3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1" s="190"/>
      <c r="M3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1" s="190"/>
      <c r="O3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1" s="190"/>
      <c r="Q3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1" s="192">
        <f ca="1">Table66[[#This Row],[Year 1 (Specified in RFO) - N/A]]+Table66[[#This Row],[Year 2 (Specified in RFO) - N/A]]+Table66[[#This Row],[Year 3 (Specified in RFO) - N/A]]+Table66[[#This Row],[Year 4 (Specified in RFO) - N/A]]+Table66[[#This Row],[Year 5 (Specified in RFO) - N/A]]+Table66[[#This Row],[Year 6 (Specified in RFO) - N/A]]</f>
        <v>0</v>
      </c>
      <c r="S301" s="402">
        <f ca="1">Table66[[#This Row],[Year 1  (Proposed)]]+Table66[[#This Row],[Year 2 (Proposed)]]+Table66[[#This Row],[Year 3 (Proposed)]]+Table66[[#This Row],[Year 4 (Proposed)]]+Table66[[#This Row],[Year 5 (Proposed)]]+Table66[[#This Row],[Year 6 (Proposed)]]</f>
        <v>0</v>
      </c>
      <c r="T301" s="403" t="b">
        <f ca="1">Table66[[#This Row],[Total Specifed in RFO - N/A]]=Table66[[#This Row],[Total Proposed]]</f>
        <v>1</v>
      </c>
      <c r="U301" s="439"/>
      <c r="V301" s="441">
        <f ca="1">Table66[[#This Row],[Year 6 (Specified in RFO) - N/A]]-Table66[[#This Row],[Column1]]</f>
        <v>0</v>
      </c>
    </row>
    <row r="302" spans="1:22" ht="16.5" thickBot="1">
      <c r="A302" s="227"/>
      <c r="B302" s="319"/>
      <c r="C302" s="319"/>
      <c r="D302" s="320"/>
      <c r="E302" s="320"/>
      <c r="F302" s="190"/>
      <c r="G3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2" s="190"/>
      <c r="I3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2" s="190"/>
      <c r="K3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2" s="190"/>
      <c r="M3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2" s="190"/>
      <c r="O3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2" s="190"/>
      <c r="Q3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2" s="192">
        <f ca="1">Table66[[#This Row],[Year 1 (Specified in RFO) - N/A]]+Table66[[#This Row],[Year 2 (Specified in RFO) - N/A]]+Table66[[#This Row],[Year 3 (Specified in RFO) - N/A]]+Table66[[#This Row],[Year 4 (Specified in RFO) - N/A]]+Table66[[#This Row],[Year 5 (Specified in RFO) - N/A]]+Table66[[#This Row],[Year 6 (Specified in RFO) - N/A]]</f>
        <v>0</v>
      </c>
      <c r="S302" s="402">
        <f ca="1">Table66[[#This Row],[Year 1  (Proposed)]]+Table66[[#This Row],[Year 2 (Proposed)]]+Table66[[#This Row],[Year 3 (Proposed)]]+Table66[[#This Row],[Year 4 (Proposed)]]+Table66[[#This Row],[Year 5 (Proposed)]]+Table66[[#This Row],[Year 6 (Proposed)]]</f>
        <v>0</v>
      </c>
      <c r="T302" s="403" t="b">
        <f ca="1">Table66[[#This Row],[Total Specifed in RFO - N/A]]=Table66[[#This Row],[Total Proposed]]</f>
        <v>1</v>
      </c>
      <c r="U302" s="439"/>
      <c r="V302" s="441">
        <f ca="1">Table66[[#This Row],[Year 6 (Specified in RFO) - N/A]]-Table66[[#This Row],[Column1]]</f>
        <v>0</v>
      </c>
    </row>
    <row r="303" spans="1:22" ht="16.5" thickBot="1">
      <c r="A303" s="227"/>
      <c r="B303" s="319"/>
      <c r="C303" s="319"/>
      <c r="D303" s="320"/>
      <c r="E303" s="320"/>
      <c r="F303" s="190"/>
      <c r="G3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3" s="190"/>
      <c r="I3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3" s="190"/>
      <c r="K3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3" s="190"/>
      <c r="M3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3" s="190"/>
      <c r="O3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3" s="190"/>
      <c r="Q3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3" s="192">
        <f ca="1">Table66[[#This Row],[Year 1 (Specified in RFO) - N/A]]+Table66[[#This Row],[Year 2 (Specified in RFO) - N/A]]+Table66[[#This Row],[Year 3 (Specified in RFO) - N/A]]+Table66[[#This Row],[Year 4 (Specified in RFO) - N/A]]+Table66[[#This Row],[Year 5 (Specified in RFO) - N/A]]+Table66[[#This Row],[Year 6 (Specified in RFO) - N/A]]</f>
        <v>0</v>
      </c>
      <c r="S303" s="402">
        <f ca="1">Table66[[#This Row],[Year 1  (Proposed)]]+Table66[[#This Row],[Year 2 (Proposed)]]+Table66[[#This Row],[Year 3 (Proposed)]]+Table66[[#This Row],[Year 4 (Proposed)]]+Table66[[#This Row],[Year 5 (Proposed)]]+Table66[[#This Row],[Year 6 (Proposed)]]</f>
        <v>0</v>
      </c>
      <c r="T303" s="403" t="b">
        <f ca="1">Table66[[#This Row],[Total Specifed in RFO - N/A]]=Table66[[#This Row],[Total Proposed]]</f>
        <v>1</v>
      </c>
      <c r="U303" s="439"/>
      <c r="V303" s="441">
        <f ca="1">Table66[[#This Row],[Year 6 (Specified in RFO) - N/A]]-Table66[[#This Row],[Column1]]</f>
        <v>0</v>
      </c>
    </row>
    <row r="304" spans="1:22" ht="16.5" thickBot="1">
      <c r="A304" s="227"/>
      <c r="B304" s="319"/>
      <c r="C304" s="319"/>
      <c r="D304" s="320"/>
      <c r="E304" s="320"/>
      <c r="F304" s="190"/>
      <c r="G3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4" s="190"/>
      <c r="I3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4" s="190"/>
      <c r="K3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4" s="190"/>
      <c r="M3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4" s="190"/>
      <c r="O3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4" s="190"/>
      <c r="Q3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4" s="192">
        <f ca="1">Table66[[#This Row],[Year 1 (Specified in RFO) - N/A]]+Table66[[#This Row],[Year 2 (Specified in RFO) - N/A]]+Table66[[#This Row],[Year 3 (Specified in RFO) - N/A]]+Table66[[#This Row],[Year 4 (Specified in RFO) - N/A]]+Table66[[#This Row],[Year 5 (Specified in RFO) - N/A]]+Table66[[#This Row],[Year 6 (Specified in RFO) - N/A]]</f>
        <v>0</v>
      </c>
      <c r="S304" s="402">
        <f ca="1">Table66[[#This Row],[Year 1  (Proposed)]]+Table66[[#This Row],[Year 2 (Proposed)]]+Table66[[#This Row],[Year 3 (Proposed)]]+Table66[[#This Row],[Year 4 (Proposed)]]+Table66[[#This Row],[Year 5 (Proposed)]]+Table66[[#This Row],[Year 6 (Proposed)]]</f>
        <v>0</v>
      </c>
      <c r="T304" s="403" t="b">
        <f ca="1">Table66[[#This Row],[Total Specifed in RFO - N/A]]=Table66[[#This Row],[Total Proposed]]</f>
        <v>1</v>
      </c>
      <c r="U304" s="439"/>
      <c r="V304" s="441">
        <f ca="1">Table66[[#This Row],[Year 6 (Specified in RFO) - N/A]]-Table66[[#This Row],[Column1]]</f>
        <v>0</v>
      </c>
    </row>
    <row r="305" spans="1:22" ht="16.5" thickBot="1">
      <c r="A305" s="227"/>
      <c r="B305" s="319"/>
      <c r="C305" s="319"/>
      <c r="D305" s="320"/>
      <c r="E305" s="320"/>
      <c r="F305" s="190"/>
      <c r="G3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5" s="190"/>
      <c r="I3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5" s="190"/>
      <c r="K3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5" s="190"/>
      <c r="M3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5" s="190"/>
      <c r="O3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5" s="190"/>
      <c r="Q3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5" s="192">
        <f ca="1">Table66[[#This Row],[Year 1 (Specified in RFO) - N/A]]+Table66[[#This Row],[Year 2 (Specified in RFO) - N/A]]+Table66[[#This Row],[Year 3 (Specified in RFO) - N/A]]+Table66[[#This Row],[Year 4 (Specified in RFO) - N/A]]+Table66[[#This Row],[Year 5 (Specified in RFO) - N/A]]+Table66[[#This Row],[Year 6 (Specified in RFO) - N/A]]</f>
        <v>0</v>
      </c>
      <c r="S305" s="402">
        <f ca="1">Table66[[#This Row],[Year 1  (Proposed)]]+Table66[[#This Row],[Year 2 (Proposed)]]+Table66[[#This Row],[Year 3 (Proposed)]]+Table66[[#This Row],[Year 4 (Proposed)]]+Table66[[#This Row],[Year 5 (Proposed)]]+Table66[[#This Row],[Year 6 (Proposed)]]</f>
        <v>0</v>
      </c>
      <c r="T305" s="403" t="b">
        <f ca="1">Table66[[#This Row],[Total Specifed in RFO - N/A]]=Table66[[#This Row],[Total Proposed]]</f>
        <v>1</v>
      </c>
      <c r="U305" s="439"/>
      <c r="V305" s="441">
        <f ca="1">Table66[[#This Row],[Year 6 (Specified in RFO) - N/A]]-Table66[[#This Row],[Column1]]</f>
        <v>0</v>
      </c>
    </row>
    <row r="306" spans="1:22" ht="16.5" thickBot="1">
      <c r="A306" s="227"/>
      <c r="B306" s="319"/>
      <c r="C306" s="319"/>
      <c r="D306" s="320"/>
      <c r="E306" s="320"/>
      <c r="F306" s="190"/>
      <c r="G3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6" s="190"/>
      <c r="I3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6" s="190"/>
      <c r="K3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6" s="190"/>
      <c r="M3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6" s="190"/>
      <c r="O3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6" s="190"/>
      <c r="Q3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6" s="192">
        <f ca="1">Table66[[#This Row],[Year 1 (Specified in RFO) - N/A]]+Table66[[#This Row],[Year 2 (Specified in RFO) - N/A]]+Table66[[#This Row],[Year 3 (Specified in RFO) - N/A]]+Table66[[#This Row],[Year 4 (Specified in RFO) - N/A]]+Table66[[#This Row],[Year 5 (Specified in RFO) - N/A]]+Table66[[#This Row],[Year 6 (Specified in RFO) - N/A]]</f>
        <v>0</v>
      </c>
      <c r="S306" s="402">
        <f ca="1">Table66[[#This Row],[Year 1  (Proposed)]]+Table66[[#This Row],[Year 2 (Proposed)]]+Table66[[#This Row],[Year 3 (Proposed)]]+Table66[[#This Row],[Year 4 (Proposed)]]+Table66[[#This Row],[Year 5 (Proposed)]]+Table66[[#This Row],[Year 6 (Proposed)]]</f>
        <v>0</v>
      </c>
      <c r="T306" s="403" t="b">
        <f ca="1">Table66[[#This Row],[Total Specifed in RFO - N/A]]=Table66[[#This Row],[Total Proposed]]</f>
        <v>1</v>
      </c>
      <c r="U306" s="439"/>
      <c r="V306" s="441">
        <f ca="1">Table66[[#This Row],[Year 6 (Specified in RFO) - N/A]]-Table66[[#This Row],[Column1]]</f>
        <v>0</v>
      </c>
    </row>
    <row r="307" spans="1:22" ht="16.5" thickBot="1">
      <c r="A307" s="227"/>
      <c r="B307" s="319"/>
      <c r="C307" s="319"/>
      <c r="D307" s="320"/>
      <c r="E307" s="320"/>
      <c r="F307" s="190"/>
      <c r="G3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7" s="190"/>
      <c r="I3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7" s="190"/>
      <c r="K3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7" s="190"/>
      <c r="M3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7" s="190"/>
      <c r="O3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7" s="190"/>
      <c r="Q3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7" s="192">
        <f ca="1">Table66[[#This Row],[Year 1 (Specified in RFO) - N/A]]+Table66[[#This Row],[Year 2 (Specified in RFO) - N/A]]+Table66[[#This Row],[Year 3 (Specified in RFO) - N/A]]+Table66[[#This Row],[Year 4 (Specified in RFO) - N/A]]+Table66[[#This Row],[Year 5 (Specified in RFO) - N/A]]+Table66[[#This Row],[Year 6 (Specified in RFO) - N/A]]</f>
        <v>0</v>
      </c>
      <c r="S307" s="402">
        <f ca="1">Table66[[#This Row],[Year 1  (Proposed)]]+Table66[[#This Row],[Year 2 (Proposed)]]+Table66[[#This Row],[Year 3 (Proposed)]]+Table66[[#This Row],[Year 4 (Proposed)]]+Table66[[#This Row],[Year 5 (Proposed)]]+Table66[[#This Row],[Year 6 (Proposed)]]</f>
        <v>0</v>
      </c>
      <c r="T307" s="403" t="b">
        <f ca="1">Table66[[#This Row],[Total Specifed in RFO - N/A]]=Table66[[#This Row],[Total Proposed]]</f>
        <v>1</v>
      </c>
      <c r="U307" s="439"/>
      <c r="V307" s="441">
        <f ca="1">Table66[[#This Row],[Year 6 (Specified in RFO) - N/A]]-Table66[[#This Row],[Column1]]</f>
        <v>0</v>
      </c>
    </row>
    <row r="308" spans="1:22" ht="16.5" thickBot="1">
      <c r="A308" s="227"/>
      <c r="B308" s="319"/>
      <c r="C308" s="319"/>
      <c r="D308" s="320"/>
      <c r="E308" s="320"/>
      <c r="F308" s="190"/>
      <c r="G3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8" s="190"/>
      <c r="I3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8" s="190"/>
      <c r="K3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8" s="190"/>
      <c r="M3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8" s="190"/>
      <c r="O3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8" s="190"/>
      <c r="Q3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8" s="192">
        <f ca="1">Table66[[#This Row],[Year 1 (Specified in RFO) - N/A]]+Table66[[#This Row],[Year 2 (Specified in RFO) - N/A]]+Table66[[#This Row],[Year 3 (Specified in RFO) - N/A]]+Table66[[#This Row],[Year 4 (Specified in RFO) - N/A]]+Table66[[#This Row],[Year 5 (Specified in RFO) - N/A]]+Table66[[#This Row],[Year 6 (Specified in RFO) - N/A]]</f>
        <v>0</v>
      </c>
      <c r="S308" s="402">
        <f ca="1">Table66[[#This Row],[Year 1  (Proposed)]]+Table66[[#This Row],[Year 2 (Proposed)]]+Table66[[#This Row],[Year 3 (Proposed)]]+Table66[[#This Row],[Year 4 (Proposed)]]+Table66[[#This Row],[Year 5 (Proposed)]]+Table66[[#This Row],[Year 6 (Proposed)]]</f>
        <v>0</v>
      </c>
      <c r="T308" s="403" t="b">
        <f ca="1">Table66[[#This Row],[Total Specifed in RFO - N/A]]=Table66[[#This Row],[Total Proposed]]</f>
        <v>1</v>
      </c>
      <c r="U308" s="439"/>
      <c r="V308" s="441">
        <f ca="1">Table66[[#This Row],[Year 6 (Specified in RFO) - N/A]]-Table66[[#This Row],[Column1]]</f>
        <v>0</v>
      </c>
    </row>
    <row r="309" spans="1:22" ht="16.5" thickBot="1">
      <c r="A309" s="227"/>
      <c r="B309" s="319"/>
      <c r="C309" s="319"/>
      <c r="D309" s="320"/>
      <c r="E309" s="320"/>
      <c r="F309" s="190"/>
      <c r="G3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9" s="190"/>
      <c r="I3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9" s="190"/>
      <c r="K3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9" s="190"/>
      <c r="M3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9" s="190"/>
      <c r="O3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9" s="190"/>
      <c r="Q3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9" s="192">
        <f ca="1">Table66[[#This Row],[Year 1 (Specified in RFO) - N/A]]+Table66[[#This Row],[Year 2 (Specified in RFO) - N/A]]+Table66[[#This Row],[Year 3 (Specified in RFO) - N/A]]+Table66[[#This Row],[Year 4 (Specified in RFO) - N/A]]+Table66[[#This Row],[Year 5 (Specified in RFO) - N/A]]+Table66[[#This Row],[Year 6 (Specified in RFO) - N/A]]</f>
        <v>0</v>
      </c>
      <c r="S309" s="402">
        <f ca="1">Table66[[#This Row],[Year 1  (Proposed)]]+Table66[[#This Row],[Year 2 (Proposed)]]+Table66[[#This Row],[Year 3 (Proposed)]]+Table66[[#This Row],[Year 4 (Proposed)]]+Table66[[#This Row],[Year 5 (Proposed)]]+Table66[[#This Row],[Year 6 (Proposed)]]</f>
        <v>0</v>
      </c>
      <c r="T309" s="403" t="b">
        <f ca="1">Table66[[#This Row],[Total Specifed in RFO - N/A]]=Table66[[#This Row],[Total Proposed]]</f>
        <v>1</v>
      </c>
      <c r="U309" s="439"/>
      <c r="V309" s="441">
        <f ca="1">Table66[[#This Row],[Year 6 (Specified in RFO) - N/A]]-Table66[[#This Row],[Column1]]</f>
        <v>0</v>
      </c>
    </row>
    <row r="310" spans="1:22" ht="16.5" thickBot="1">
      <c r="A310" s="227"/>
      <c r="B310" s="319"/>
      <c r="C310" s="319"/>
      <c r="D310" s="320"/>
      <c r="E310" s="320"/>
      <c r="F310" s="190"/>
      <c r="G3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0" s="190"/>
      <c r="I3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0" s="190"/>
      <c r="K3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0" s="190"/>
      <c r="M3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0" s="190"/>
      <c r="O3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0" s="190"/>
      <c r="Q3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0" s="192">
        <f ca="1">Table66[[#This Row],[Year 1 (Specified in RFO) - N/A]]+Table66[[#This Row],[Year 2 (Specified in RFO) - N/A]]+Table66[[#This Row],[Year 3 (Specified in RFO) - N/A]]+Table66[[#This Row],[Year 4 (Specified in RFO) - N/A]]+Table66[[#This Row],[Year 5 (Specified in RFO) - N/A]]+Table66[[#This Row],[Year 6 (Specified in RFO) - N/A]]</f>
        <v>0</v>
      </c>
      <c r="S310" s="402">
        <f ca="1">Table66[[#This Row],[Year 1  (Proposed)]]+Table66[[#This Row],[Year 2 (Proposed)]]+Table66[[#This Row],[Year 3 (Proposed)]]+Table66[[#This Row],[Year 4 (Proposed)]]+Table66[[#This Row],[Year 5 (Proposed)]]+Table66[[#This Row],[Year 6 (Proposed)]]</f>
        <v>0</v>
      </c>
      <c r="T310" s="403" t="b">
        <f ca="1">Table66[[#This Row],[Total Specifed in RFO - N/A]]=Table66[[#This Row],[Total Proposed]]</f>
        <v>1</v>
      </c>
      <c r="U310" s="439"/>
      <c r="V310" s="441">
        <f ca="1">Table66[[#This Row],[Year 6 (Specified in RFO) - N/A]]-Table66[[#This Row],[Column1]]</f>
        <v>0</v>
      </c>
    </row>
    <row r="311" spans="1:22" ht="16.5" thickBot="1">
      <c r="A311" s="227"/>
      <c r="B311" s="319"/>
      <c r="C311" s="319"/>
      <c r="D311" s="320"/>
      <c r="E311" s="320"/>
      <c r="F311" s="190"/>
      <c r="G3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1" s="190"/>
      <c r="I3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1" s="190"/>
      <c r="K3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1" s="190"/>
      <c r="M3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1" s="190"/>
      <c r="O3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1" s="190"/>
      <c r="Q3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1" s="192">
        <f ca="1">Table66[[#This Row],[Year 1 (Specified in RFO) - N/A]]+Table66[[#This Row],[Year 2 (Specified in RFO) - N/A]]+Table66[[#This Row],[Year 3 (Specified in RFO) - N/A]]+Table66[[#This Row],[Year 4 (Specified in RFO) - N/A]]+Table66[[#This Row],[Year 5 (Specified in RFO) - N/A]]+Table66[[#This Row],[Year 6 (Specified in RFO) - N/A]]</f>
        <v>0</v>
      </c>
      <c r="S311" s="402">
        <f ca="1">Table66[[#This Row],[Year 1  (Proposed)]]+Table66[[#This Row],[Year 2 (Proposed)]]+Table66[[#This Row],[Year 3 (Proposed)]]+Table66[[#This Row],[Year 4 (Proposed)]]+Table66[[#This Row],[Year 5 (Proposed)]]+Table66[[#This Row],[Year 6 (Proposed)]]</f>
        <v>0</v>
      </c>
      <c r="T311" s="403" t="b">
        <f ca="1">Table66[[#This Row],[Total Specifed in RFO - N/A]]=Table66[[#This Row],[Total Proposed]]</f>
        <v>1</v>
      </c>
      <c r="U311" s="439"/>
      <c r="V311" s="441">
        <f ca="1">Table66[[#This Row],[Year 6 (Specified in RFO) - N/A]]-Table66[[#This Row],[Column1]]</f>
        <v>0</v>
      </c>
    </row>
    <row r="312" spans="1:22" ht="16.5" thickBot="1">
      <c r="A312" s="227"/>
      <c r="B312" s="319"/>
      <c r="C312" s="319"/>
      <c r="D312" s="320"/>
      <c r="E312" s="320"/>
      <c r="F312" s="190"/>
      <c r="G3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2" s="190"/>
      <c r="I3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2" s="190"/>
      <c r="K3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2" s="190"/>
      <c r="M3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2" s="190"/>
      <c r="O3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2" s="190"/>
      <c r="Q3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2" s="192">
        <f ca="1">Table66[[#This Row],[Year 1 (Specified in RFO) - N/A]]+Table66[[#This Row],[Year 2 (Specified in RFO) - N/A]]+Table66[[#This Row],[Year 3 (Specified in RFO) - N/A]]+Table66[[#This Row],[Year 4 (Specified in RFO) - N/A]]+Table66[[#This Row],[Year 5 (Specified in RFO) - N/A]]+Table66[[#This Row],[Year 6 (Specified in RFO) - N/A]]</f>
        <v>0</v>
      </c>
      <c r="S312" s="402">
        <f ca="1">Table66[[#This Row],[Year 1  (Proposed)]]+Table66[[#This Row],[Year 2 (Proposed)]]+Table66[[#This Row],[Year 3 (Proposed)]]+Table66[[#This Row],[Year 4 (Proposed)]]+Table66[[#This Row],[Year 5 (Proposed)]]+Table66[[#This Row],[Year 6 (Proposed)]]</f>
        <v>0</v>
      </c>
      <c r="T312" s="403" t="b">
        <f ca="1">Table66[[#This Row],[Total Specifed in RFO - N/A]]=Table66[[#This Row],[Total Proposed]]</f>
        <v>1</v>
      </c>
      <c r="U312" s="439"/>
      <c r="V312" s="441">
        <f ca="1">Table66[[#This Row],[Year 6 (Specified in RFO) - N/A]]-Table66[[#This Row],[Column1]]</f>
        <v>0</v>
      </c>
    </row>
    <row r="313" spans="1:22" ht="16.5" thickBot="1">
      <c r="A313" s="227"/>
      <c r="B313" s="319"/>
      <c r="C313" s="319"/>
      <c r="D313" s="320"/>
      <c r="E313" s="320"/>
      <c r="F313" s="190"/>
      <c r="G3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3" s="190"/>
      <c r="I3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3" s="190"/>
      <c r="K3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3" s="190"/>
      <c r="M3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3" s="190"/>
      <c r="O3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3" s="190"/>
      <c r="Q3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3" s="192">
        <f ca="1">Table66[[#This Row],[Year 1 (Specified in RFO) - N/A]]+Table66[[#This Row],[Year 2 (Specified in RFO) - N/A]]+Table66[[#This Row],[Year 3 (Specified in RFO) - N/A]]+Table66[[#This Row],[Year 4 (Specified in RFO) - N/A]]+Table66[[#This Row],[Year 5 (Specified in RFO) - N/A]]+Table66[[#This Row],[Year 6 (Specified in RFO) - N/A]]</f>
        <v>0</v>
      </c>
      <c r="S313" s="402">
        <f ca="1">Table66[[#This Row],[Year 1  (Proposed)]]+Table66[[#This Row],[Year 2 (Proposed)]]+Table66[[#This Row],[Year 3 (Proposed)]]+Table66[[#This Row],[Year 4 (Proposed)]]+Table66[[#This Row],[Year 5 (Proposed)]]+Table66[[#This Row],[Year 6 (Proposed)]]</f>
        <v>0</v>
      </c>
      <c r="T313" s="403" t="b">
        <f ca="1">Table66[[#This Row],[Total Specifed in RFO - N/A]]=Table66[[#This Row],[Total Proposed]]</f>
        <v>1</v>
      </c>
      <c r="U313" s="439"/>
      <c r="V313" s="441">
        <f ca="1">Table66[[#This Row],[Year 6 (Specified in RFO) - N/A]]-Table66[[#This Row],[Column1]]</f>
        <v>0</v>
      </c>
    </row>
    <row r="314" spans="1:22" ht="16.5" thickBot="1">
      <c r="A314" s="227"/>
      <c r="B314" s="319"/>
      <c r="C314" s="319"/>
      <c r="D314" s="320"/>
      <c r="E314" s="320"/>
      <c r="F314" s="190"/>
      <c r="G3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4" s="190"/>
      <c r="I3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4" s="190"/>
      <c r="K3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4" s="190"/>
      <c r="M3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4" s="190"/>
      <c r="O3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4" s="190"/>
      <c r="Q3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4" s="192">
        <f ca="1">Table66[[#This Row],[Year 1 (Specified in RFO) - N/A]]+Table66[[#This Row],[Year 2 (Specified in RFO) - N/A]]+Table66[[#This Row],[Year 3 (Specified in RFO) - N/A]]+Table66[[#This Row],[Year 4 (Specified in RFO) - N/A]]+Table66[[#This Row],[Year 5 (Specified in RFO) - N/A]]+Table66[[#This Row],[Year 6 (Specified in RFO) - N/A]]</f>
        <v>0</v>
      </c>
      <c r="S314" s="402">
        <f ca="1">Table66[[#This Row],[Year 1  (Proposed)]]+Table66[[#This Row],[Year 2 (Proposed)]]+Table66[[#This Row],[Year 3 (Proposed)]]+Table66[[#This Row],[Year 4 (Proposed)]]+Table66[[#This Row],[Year 5 (Proposed)]]+Table66[[#This Row],[Year 6 (Proposed)]]</f>
        <v>0</v>
      </c>
      <c r="T314" s="403" t="b">
        <f ca="1">Table66[[#This Row],[Total Specifed in RFO - N/A]]=Table66[[#This Row],[Total Proposed]]</f>
        <v>1</v>
      </c>
      <c r="U314" s="439"/>
      <c r="V314" s="441">
        <f ca="1">Table66[[#This Row],[Year 6 (Specified in RFO) - N/A]]-Table66[[#This Row],[Column1]]</f>
        <v>0</v>
      </c>
    </row>
    <row r="315" spans="1:22" ht="16.5" thickBot="1">
      <c r="A315" s="227"/>
      <c r="B315" s="319"/>
      <c r="C315" s="319"/>
      <c r="D315" s="320"/>
      <c r="E315" s="320"/>
      <c r="F315" s="190"/>
      <c r="G3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5" s="190"/>
      <c r="I3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5" s="190"/>
      <c r="K3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5" s="190"/>
      <c r="M3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5" s="190"/>
      <c r="O3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5" s="190"/>
      <c r="Q3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5" s="192">
        <f ca="1">Table66[[#This Row],[Year 1 (Specified in RFO) - N/A]]+Table66[[#This Row],[Year 2 (Specified in RFO) - N/A]]+Table66[[#This Row],[Year 3 (Specified in RFO) - N/A]]+Table66[[#This Row],[Year 4 (Specified in RFO) - N/A]]+Table66[[#This Row],[Year 5 (Specified in RFO) - N/A]]+Table66[[#This Row],[Year 6 (Specified in RFO) - N/A]]</f>
        <v>0</v>
      </c>
      <c r="S315" s="402">
        <f ca="1">Table66[[#This Row],[Year 1  (Proposed)]]+Table66[[#This Row],[Year 2 (Proposed)]]+Table66[[#This Row],[Year 3 (Proposed)]]+Table66[[#This Row],[Year 4 (Proposed)]]+Table66[[#This Row],[Year 5 (Proposed)]]+Table66[[#This Row],[Year 6 (Proposed)]]</f>
        <v>0</v>
      </c>
      <c r="T315" s="403" t="b">
        <f ca="1">Table66[[#This Row],[Total Specifed in RFO - N/A]]=Table66[[#This Row],[Total Proposed]]</f>
        <v>1</v>
      </c>
      <c r="U315" s="439"/>
      <c r="V315" s="441">
        <f ca="1">Table66[[#This Row],[Year 6 (Specified in RFO) - N/A]]-Table66[[#This Row],[Column1]]</f>
        <v>0</v>
      </c>
    </row>
    <row r="316" spans="1:22" ht="16.5" thickBot="1">
      <c r="A316" s="227"/>
      <c r="B316" s="319"/>
      <c r="C316" s="319"/>
      <c r="D316" s="320"/>
      <c r="E316" s="320"/>
      <c r="F316" s="190"/>
      <c r="G3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6" s="190"/>
      <c r="I3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6" s="190"/>
      <c r="K3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6" s="190"/>
      <c r="M3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6" s="190"/>
      <c r="O3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6" s="190"/>
      <c r="Q3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6" s="192">
        <f ca="1">Table66[[#This Row],[Year 1 (Specified in RFO) - N/A]]+Table66[[#This Row],[Year 2 (Specified in RFO) - N/A]]+Table66[[#This Row],[Year 3 (Specified in RFO) - N/A]]+Table66[[#This Row],[Year 4 (Specified in RFO) - N/A]]+Table66[[#This Row],[Year 5 (Specified in RFO) - N/A]]+Table66[[#This Row],[Year 6 (Specified in RFO) - N/A]]</f>
        <v>0</v>
      </c>
      <c r="S316" s="402">
        <f ca="1">Table66[[#This Row],[Year 1  (Proposed)]]+Table66[[#This Row],[Year 2 (Proposed)]]+Table66[[#This Row],[Year 3 (Proposed)]]+Table66[[#This Row],[Year 4 (Proposed)]]+Table66[[#This Row],[Year 5 (Proposed)]]+Table66[[#This Row],[Year 6 (Proposed)]]</f>
        <v>0</v>
      </c>
      <c r="T316" s="403" t="b">
        <f ca="1">Table66[[#This Row],[Total Specifed in RFO - N/A]]=Table66[[#This Row],[Total Proposed]]</f>
        <v>1</v>
      </c>
      <c r="U316" s="439"/>
      <c r="V316" s="441">
        <f ca="1">Table66[[#This Row],[Year 6 (Specified in RFO) - N/A]]-Table66[[#This Row],[Column1]]</f>
        <v>0</v>
      </c>
    </row>
    <row r="317" spans="1:22" ht="16.5" thickBot="1">
      <c r="A317" s="227"/>
      <c r="B317" s="319"/>
      <c r="C317" s="319"/>
      <c r="D317" s="320"/>
      <c r="E317" s="320"/>
      <c r="F317" s="190"/>
      <c r="G3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7" s="190"/>
      <c r="I3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7" s="190"/>
      <c r="K3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7" s="190"/>
      <c r="M3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7" s="190"/>
      <c r="O3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7" s="190"/>
      <c r="Q3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7" s="192">
        <f ca="1">Table66[[#This Row],[Year 1 (Specified in RFO) - N/A]]+Table66[[#This Row],[Year 2 (Specified in RFO) - N/A]]+Table66[[#This Row],[Year 3 (Specified in RFO) - N/A]]+Table66[[#This Row],[Year 4 (Specified in RFO) - N/A]]+Table66[[#This Row],[Year 5 (Specified in RFO) - N/A]]+Table66[[#This Row],[Year 6 (Specified in RFO) - N/A]]</f>
        <v>0</v>
      </c>
      <c r="S317" s="402">
        <f ca="1">Table66[[#This Row],[Year 1  (Proposed)]]+Table66[[#This Row],[Year 2 (Proposed)]]+Table66[[#This Row],[Year 3 (Proposed)]]+Table66[[#This Row],[Year 4 (Proposed)]]+Table66[[#This Row],[Year 5 (Proposed)]]+Table66[[#This Row],[Year 6 (Proposed)]]</f>
        <v>0</v>
      </c>
      <c r="T317" s="403" t="b">
        <f ca="1">Table66[[#This Row],[Total Specifed in RFO - N/A]]=Table66[[#This Row],[Total Proposed]]</f>
        <v>1</v>
      </c>
      <c r="U317" s="439"/>
      <c r="V317" s="441">
        <f ca="1">Table66[[#This Row],[Year 6 (Specified in RFO) - N/A]]-Table66[[#This Row],[Column1]]</f>
        <v>0</v>
      </c>
    </row>
    <row r="318" spans="1:22" ht="16.5" thickBot="1">
      <c r="A318" s="227"/>
      <c r="B318" s="319"/>
      <c r="C318" s="319"/>
      <c r="D318" s="320"/>
      <c r="E318" s="320"/>
      <c r="F318" s="190"/>
      <c r="G3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8" s="190"/>
      <c r="I3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8" s="190"/>
      <c r="K3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8" s="190"/>
      <c r="M3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8" s="190"/>
      <c r="O3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8" s="190"/>
      <c r="Q3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8" s="192">
        <f ca="1">Table66[[#This Row],[Year 1 (Specified in RFO) - N/A]]+Table66[[#This Row],[Year 2 (Specified in RFO) - N/A]]+Table66[[#This Row],[Year 3 (Specified in RFO) - N/A]]+Table66[[#This Row],[Year 4 (Specified in RFO) - N/A]]+Table66[[#This Row],[Year 5 (Specified in RFO) - N/A]]+Table66[[#This Row],[Year 6 (Specified in RFO) - N/A]]</f>
        <v>0</v>
      </c>
      <c r="S318" s="402">
        <f ca="1">Table66[[#This Row],[Year 1  (Proposed)]]+Table66[[#This Row],[Year 2 (Proposed)]]+Table66[[#This Row],[Year 3 (Proposed)]]+Table66[[#This Row],[Year 4 (Proposed)]]+Table66[[#This Row],[Year 5 (Proposed)]]+Table66[[#This Row],[Year 6 (Proposed)]]</f>
        <v>0</v>
      </c>
      <c r="T318" s="403" t="b">
        <f ca="1">Table66[[#This Row],[Total Specifed in RFO - N/A]]=Table66[[#This Row],[Total Proposed]]</f>
        <v>1</v>
      </c>
      <c r="U318" s="439"/>
      <c r="V318" s="441">
        <f ca="1">Table66[[#This Row],[Year 6 (Specified in RFO) - N/A]]-Table66[[#This Row],[Column1]]</f>
        <v>0</v>
      </c>
    </row>
    <row r="319" spans="1:22" ht="16.5" thickBot="1">
      <c r="A319" s="227"/>
      <c r="B319" s="319"/>
      <c r="C319" s="319"/>
      <c r="D319" s="320"/>
      <c r="E319" s="320"/>
      <c r="F319" s="190"/>
      <c r="G3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9" s="190"/>
      <c r="I3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9" s="190"/>
      <c r="K3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9" s="190"/>
      <c r="M3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9" s="190"/>
      <c r="O3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9" s="190"/>
      <c r="Q3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9" s="192">
        <f ca="1">Table66[[#This Row],[Year 1 (Specified in RFO) - N/A]]+Table66[[#This Row],[Year 2 (Specified in RFO) - N/A]]+Table66[[#This Row],[Year 3 (Specified in RFO) - N/A]]+Table66[[#This Row],[Year 4 (Specified in RFO) - N/A]]+Table66[[#This Row],[Year 5 (Specified in RFO) - N/A]]+Table66[[#This Row],[Year 6 (Specified in RFO) - N/A]]</f>
        <v>0</v>
      </c>
      <c r="S319" s="402">
        <f ca="1">Table66[[#This Row],[Year 1  (Proposed)]]+Table66[[#This Row],[Year 2 (Proposed)]]+Table66[[#This Row],[Year 3 (Proposed)]]+Table66[[#This Row],[Year 4 (Proposed)]]+Table66[[#This Row],[Year 5 (Proposed)]]+Table66[[#This Row],[Year 6 (Proposed)]]</f>
        <v>0</v>
      </c>
      <c r="T319" s="403" t="b">
        <f ca="1">Table66[[#This Row],[Total Specifed in RFO - N/A]]=Table66[[#This Row],[Total Proposed]]</f>
        <v>1</v>
      </c>
      <c r="U319" s="439"/>
      <c r="V319" s="441">
        <f ca="1">Table66[[#This Row],[Year 6 (Specified in RFO) - N/A]]-Table66[[#This Row],[Column1]]</f>
        <v>0</v>
      </c>
    </row>
    <row r="320" spans="1:22" ht="16.5" thickBot="1">
      <c r="A320" s="227"/>
      <c r="B320" s="319"/>
      <c r="C320" s="319"/>
      <c r="D320" s="320"/>
      <c r="E320" s="320"/>
      <c r="F320" s="190"/>
      <c r="G3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0" s="190"/>
      <c r="I3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0" s="190"/>
      <c r="K3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0" s="190"/>
      <c r="M3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0" s="190"/>
      <c r="O3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0" s="190"/>
      <c r="Q3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0" s="192">
        <f ca="1">Table66[[#This Row],[Year 1 (Specified in RFO) - N/A]]+Table66[[#This Row],[Year 2 (Specified in RFO) - N/A]]+Table66[[#This Row],[Year 3 (Specified in RFO) - N/A]]+Table66[[#This Row],[Year 4 (Specified in RFO) - N/A]]+Table66[[#This Row],[Year 5 (Specified in RFO) - N/A]]+Table66[[#This Row],[Year 6 (Specified in RFO) - N/A]]</f>
        <v>0</v>
      </c>
      <c r="S320" s="402">
        <f ca="1">Table66[[#This Row],[Year 1  (Proposed)]]+Table66[[#This Row],[Year 2 (Proposed)]]+Table66[[#This Row],[Year 3 (Proposed)]]+Table66[[#This Row],[Year 4 (Proposed)]]+Table66[[#This Row],[Year 5 (Proposed)]]+Table66[[#This Row],[Year 6 (Proposed)]]</f>
        <v>0</v>
      </c>
      <c r="T320" s="403" t="b">
        <f ca="1">Table66[[#This Row],[Total Specifed in RFO - N/A]]=Table66[[#This Row],[Total Proposed]]</f>
        <v>1</v>
      </c>
      <c r="U320" s="439"/>
      <c r="V320" s="441">
        <f ca="1">Table66[[#This Row],[Year 6 (Specified in RFO) - N/A]]-Table66[[#This Row],[Column1]]</f>
        <v>0</v>
      </c>
    </row>
    <row r="321" spans="1:22" ht="16.5" thickBot="1">
      <c r="A321" s="227"/>
      <c r="B321" s="319"/>
      <c r="C321" s="319"/>
      <c r="D321" s="320"/>
      <c r="E321" s="320"/>
      <c r="F321" s="190"/>
      <c r="G3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1" s="190"/>
      <c r="I3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1" s="190"/>
      <c r="K3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1" s="190"/>
      <c r="M3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1" s="190"/>
      <c r="O3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1" s="190"/>
      <c r="Q3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1" s="192">
        <f ca="1">Table66[[#This Row],[Year 1 (Specified in RFO) - N/A]]+Table66[[#This Row],[Year 2 (Specified in RFO) - N/A]]+Table66[[#This Row],[Year 3 (Specified in RFO) - N/A]]+Table66[[#This Row],[Year 4 (Specified in RFO) - N/A]]+Table66[[#This Row],[Year 5 (Specified in RFO) - N/A]]+Table66[[#This Row],[Year 6 (Specified in RFO) - N/A]]</f>
        <v>0</v>
      </c>
      <c r="S321" s="402">
        <f ca="1">Table66[[#This Row],[Year 1  (Proposed)]]+Table66[[#This Row],[Year 2 (Proposed)]]+Table66[[#This Row],[Year 3 (Proposed)]]+Table66[[#This Row],[Year 4 (Proposed)]]+Table66[[#This Row],[Year 5 (Proposed)]]+Table66[[#This Row],[Year 6 (Proposed)]]</f>
        <v>0</v>
      </c>
      <c r="T321" s="403" t="b">
        <f ca="1">Table66[[#This Row],[Total Specifed in RFO - N/A]]=Table66[[#This Row],[Total Proposed]]</f>
        <v>1</v>
      </c>
      <c r="U321" s="439"/>
      <c r="V321" s="441">
        <f ca="1">Table66[[#This Row],[Year 6 (Specified in RFO) - N/A]]-Table66[[#This Row],[Column1]]</f>
        <v>0</v>
      </c>
    </row>
    <row r="322" spans="1:22" ht="16.5" thickBot="1">
      <c r="A322" s="227"/>
      <c r="B322" s="319"/>
      <c r="C322" s="319"/>
      <c r="D322" s="320"/>
      <c r="E322" s="320"/>
      <c r="F322" s="190"/>
      <c r="G3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2" s="190"/>
      <c r="I3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2" s="190"/>
      <c r="K3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2" s="190"/>
      <c r="M3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2" s="190"/>
      <c r="O3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2" s="190"/>
      <c r="Q3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2" s="192">
        <f ca="1">Table66[[#This Row],[Year 1 (Specified in RFO) - N/A]]+Table66[[#This Row],[Year 2 (Specified in RFO) - N/A]]+Table66[[#This Row],[Year 3 (Specified in RFO) - N/A]]+Table66[[#This Row],[Year 4 (Specified in RFO) - N/A]]+Table66[[#This Row],[Year 5 (Specified in RFO) - N/A]]+Table66[[#This Row],[Year 6 (Specified in RFO) - N/A]]</f>
        <v>0</v>
      </c>
      <c r="S322" s="402">
        <f ca="1">Table66[[#This Row],[Year 1  (Proposed)]]+Table66[[#This Row],[Year 2 (Proposed)]]+Table66[[#This Row],[Year 3 (Proposed)]]+Table66[[#This Row],[Year 4 (Proposed)]]+Table66[[#This Row],[Year 5 (Proposed)]]+Table66[[#This Row],[Year 6 (Proposed)]]</f>
        <v>0</v>
      </c>
      <c r="T322" s="403" t="b">
        <f ca="1">Table66[[#This Row],[Total Specifed in RFO - N/A]]=Table66[[#This Row],[Total Proposed]]</f>
        <v>1</v>
      </c>
      <c r="U322" s="439"/>
      <c r="V322" s="441">
        <f ca="1">Table66[[#This Row],[Year 6 (Specified in RFO) - N/A]]-Table66[[#This Row],[Column1]]</f>
        <v>0</v>
      </c>
    </row>
    <row r="323" spans="1:22" ht="16.5" thickBot="1">
      <c r="A323" s="227"/>
      <c r="B323" s="319"/>
      <c r="C323" s="319"/>
      <c r="D323" s="320"/>
      <c r="E323" s="320"/>
      <c r="F323" s="190"/>
      <c r="G3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3" s="190"/>
      <c r="I3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3" s="190"/>
      <c r="K3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3" s="190"/>
      <c r="M3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3" s="190"/>
      <c r="O3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3" s="190"/>
      <c r="Q3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3" s="192">
        <f ca="1">Table66[[#This Row],[Year 1 (Specified in RFO) - N/A]]+Table66[[#This Row],[Year 2 (Specified in RFO) - N/A]]+Table66[[#This Row],[Year 3 (Specified in RFO) - N/A]]+Table66[[#This Row],[Year 4 (Specified in RFO) - N/A]]+Table66[[#This Row],[Year 5 (Specified in RFO) - N/A]]+Table66[[#This Row],[Year 6 (Specified in RFO) - N/A]]</f>
        <v>0</v>
      </c>
      <c r="S323" s="402">
        <f ca="1">Table66[[#This Row],[Year 1  (Proposed)]]+Table66[[#This Row],[Year 2 (Proposed)]]+Table66[[#This Row],[Year 3 (Proposed)]]+Table66[[#This Row],[Year 4 (Proposed)]]+Table66[[#This Row],[Year 5 (Proposed)]]+Table66[[#This Row],[Year 6 (Proposed)]]</f>
        <v>0</v>
      </c>
      <c r="T323" s="403" t="b">
        <f ca="1">Table66[[#This Row],[Total Specifed in RFO - N/A]]=Table66[[#This Row],[Total Proposed]]</f>
        <v>1</v>
      </c>
      <c r="U323" s="439"/>
      <c r="V323" s="441">
        <f ca="1">Table66[[#This Row],[Year 6 (Specified in RFO) - N/A]]-Table66[[#This Row],[Column1]]</f>
        <v>0</v>
      </c>
    </row>
    <row r="324" spans="1:22" ht="16.5" thickBot="1">
      <c r="A324" s="227"/>
      <c r="B324" s="319"/>
      <c r="C324" s="319"/>
      <c r="D324" s="320"/>
      <c r="E324" s="320"/>
      <c r="F324" s="190"/>
      <c r="G3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4" s="190"/>
      <c r="I3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4" s="190"/>
      <c r="K3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4" s="190"/>
      <c r="M3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4" s="190"/>
      <c r="O3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4" s="190"/>
      <c r="Q3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4" s="192">
        <f ca="1">Table66[[#This Row],[Year 1 (Specified in RFO) - N/A]]+Table66[[#This Row],[Year 2 (Specified in RFO) - N/A]]+Table66[[#This Row],[Year 3 (Specified in RFO) - N/A]]+Table66[[#This Row],[Year 4 (Specified in RFO) - N/A]]+Table66[[#This Row],[Year 5 (Specified in RFO) - N/A]]+Table66[[#This Row],[Year 6 (Specified in RFO) - N/A]]</f>
        <v>0</v>
      </c>
      <c r="S324" s="402">
        <f ca="1">Table66[[#This Row],[Year 1  (Proposed)]]+Table66[[#This Row],[Year 2 (Proposed)]]+Table66[[#This Row],[Year 3 (Proposed)]]+Table66[[#This Row],[Year 4 (Proposed)]]+Table66[[#This Row],[Year 5 (Proposed)]]+Table66[[#This Row],[Year 6 (Proposed)]]</f>
        <v>0</v>
      </c>
      <c r="T324" s="403" t="b">
        <f ca="1">Table66[[#This Row],[Total Specifed in RFO - N/A]]=Table66[[#This Row],[Total Proposed]]</f>
        <v>1</v>
      </c>
      <c r="U324" s="439"/>
      <c r="V324" s="441">
        <f ca="1">Table66[[#This Row],[Year 6 (Specified in RFO) - N/A]]-Table66[[#This Row],[Column1]]</f>
        <v>0</v>
      </c>
    </row>
    <row r="325" spans="1:22" ht="16.5" thickBot="1">
      <c r="A325" s="227"/>
      <c r="B325" s="319"/>
      <c r="C325" s="319"/>
      <c r="D325" s="320"/>
      <c r="E325" s="320"/>
      <c r="F325" s="190"/>
      <c r="G3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5" s="190"/>
      <c r="I3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5" s="190"/>
      <c r="K3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5" s="190"/>
      <c r="M3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5" s="190"/>
      <c r="O3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5" s="190"/>
      <c r="Q3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5" s="192">
        <f ca="1">Table66[[#This Row],[Year 1 (Specified in RFO) - N/A]]+Table66[[#This Row],[Year 2 (Specified in RFO) - N/A]]+Table66[[#This Row],[Year 3 (Specified in RFO) - N/A]]+Table66[[#This Row],[Year 4 (Specified in RFO) - N/A]]+Table66[[#This Row],[Year 5 (Specified in RFO) - N/A]]+Table66[[#This Row],[Year 6 (Specified in RFO) - N/A]]</f>
        <v>0</v>
      </c>
      <c r="S325" s="402">
        <f ca="1">Table66[[#This Row],[Year 1  (Proposed)]]+Table66[[#This Row],[Year 2 (Proposed)]]+Table66[[#This Row],[Year 3 (Proposed)]]+Table66[[#This Row],[Year 4 (Proposed)]]+Table66[[#This Row],[Year 5 (Proposed)]]+Table66[[#This Row],[Year 6 (Proposed)]]</f>
        <v>0</v>
      </c>
      <c r="T325" s="403" t="b">
        <f ca="1">Table66[[#This Row],[Total Specifed in RFO - N/A]]=Table66[[#This Row],[Total Proposed]]</f>
        <v>1</v>
      </c>
      <c r="U325" s="439"/>
      <c r="V325" s="441">
        <f ca="1">Table66[[#This Row],[Year 6 (Specified in RFO) - N/A]]-Table66[[#This Row],[Column1]]</f>
        <v>0</v>
      </c>
    </row>
    <row r="326" spans="1:22" ht="16.5" thickBot="1">
      <c r="A326" s="227"/>
      <c r="B326" s="319"/>
      <c r="C326" s="319"/>
      <c r="D326" s="320"/>
      <c r="E326" s="320"/>
      <c r="F326" s="190"/>
      <c r="G3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6" s="190"/>
      <c r="I3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6" s="190"/>
      <c r="K3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6" s="190"/>
      <c r="M3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6" s="190"/>
      <c r="O3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6" s="190"/>
      <c r="Q3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6" s="192">
        <f ca="1">Table66[[#This Row],[Year 1 (Specified in RFO) - N/A]]+Table66[[#This Row],[Year 2 (Specified in RFO) - N/A]]+Table66[[#This Row],[Year 3 (Specified in RFO) - N/A]]+Table66[[#This Row],[Year 4 (Specified in RFO) - N/A]]+Table66[[#This Row],[Year 5 (Specified in RFO) - N/A]]+Table66[[#This Row],[Year 6 (Specified in RFO) - N/A]]</f>
        <v>0</v>
      </c>
      <c r="S326" s="402">
        <f ca="1">Table66[[#This Row],[Year 1  (Proposed)]]+Table66[[#This Row],[Year 2 (Proposed)]]+Table66[[#This Row],[Year 3 (Proposed)]]+Table66[[#This Row],[Year 4 (Proposed)]]+Table66[[#This Row],[Year 5 (Proposed)]]+Table66[[#This Row],[Year 6 (Proposed)]]</f>
        <v>0</v>
      </c>
      <c r="T326" s="403" t="b">
        <f ca="1">Table66[[#This Row],[Total Specifed in RFO - N/A]]=Table66[[#This Row],[Total Proposed]]</f>
        <v>1</v>
      </c>
      <c r="U326" s="439"/>
      <c r="V326" s="441">
        <f ca="1">Table66[[#This Row],[Year 6 (Specified in RFO) - N/A]]-Table66[[#This Row],[Column1]]</f>
        <v>0</v>
      </c>
    </row>
    <row r="327" spans="1:22" ht="16.5" thickBot="1">
      <c r="A327" s="227"/>
      <c r="B327" s="319"/>
      <c r="C327" s="319"/>
      <c r="D327" s="320"/>
      <c r="E327" s="320"/>
      <c r="F327" s="190"/>
      <c r="G3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7" s="190"/>
      <c r="I3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7" s="190"/>
      <c r="K3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7" s="190"/>
      <c r="M3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7" s="190"/>
      <c r="O3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7" s="190"/>
      <c r="Q3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7" s="192">
        <f ca="1">Table66[[#This Row],[Year 1 (Specified in RFO) - N/A]]+Table66[[#This Row],[Year 2 (Specified in RFO) - N/A]]+Table66[[#This Row],[Year 3 (Specified in RFO) - N/A]]+Table66[[#This Row],[Year 4 (Specified in RFO) - N/A]]+Table66[[#This Row],[Year 5 (Specified in RFO) - N/A]]+Table66[[#This Row],[Year 6 (Specified in RFO) - N/A]]</f>
        <v>0</v>
      </c>
      <c r="S327" s="402">
        <f ca="1">Table66[[#This Row],[Year 1  (Proposed)]]+Table66[[#This Row],[Year 2 (Proposed)]]+Table66[[#This Row],[Year 3 (Proposed)]]+Table66[[#This Row],[Year 4 (Proposed)]]+Table66[[#This Row],[Year 5 (Proposed)]]+Table66[[#This Row],[Year 6 (Proposed)]]</f>
        <v>0</v>
      </c>
      <c r="T327" s="403" t="b">
        <f ca="1">Table66[[#This Row],[Total Specifed in RFO - N/A]]=Table66[[#This Row],[Total Proposed]]</f>
        <v>1</v>
      </c>
      <c r="U327" s="439"/>
      <c r="V327" s="441">
        <f ca="1">Table66[[#This Row],[Year 6 (Specified in RFO) - N/A]]-Table66[[#This Row],[Column1]]</f>
        <v>0</v>
      </c>
    </row>
    <row r="328" spans="1:22" ht="16.5" thickBot="1">
      <c r="A328" s="227"/>
      <c r="B328" s="319"/>
      <c r="C328" s="319"/>
      <c r="D328" s="320"/>
      <c r="E328" s="320"/>
      <c r="F328" s="190"/>
      <c r="G3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8" s="190"/>
      <c r="I3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8" s="190"/>
      <c r="K3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8" s="190"/>
      <c r="M3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8" s="190"/>
      <c r="O3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8" s="190"/>
      <c r="Q3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8" s="192">
        <f ca="1">Table66[[#This Row],[Year 1 (Specified in RFO) - N/A]]+Table66[[#This Row],[Year 2 (Specified in RFO) - N/A]]+Table66[[#This Row],[Year 3 (Specified in RFO) - N/A]]+Table66[[#This Row],[Year 4 (Specified in RFO) - N/A]]+Table66[[#This Row],[Year 5 (Specified in RFO) - N/A]]+Table66[[#This Row],[Year 6 (Specified in RFO) - N/A]]</f>
        <v>0</v>
      </c>
      <c r="S328" s="402">
        <f ca="1">Table66[[#This Row],[Year 1  (Proposed)]]+Table66[[#This Row],[Year 2 (Proposed)]]+Table66[[#This Row],[Year 3 (Proposed)]]+Table66[[#This Row],[Year 4 (Proposed)]]+Table66[[#This Row],[Year 5 (Proposed)]]+Table66[[#This Row],[Year 6 (Proposed)]]</f>
        <v>0</v>
      </c>
      <c r="T328" s="403" t="b">
        <f ca="1">Table66[[#This Row],[Total Specifed in RFO - N/A]]=Table66[[#This Row],[Total Proposed]]</f>
        <v>1</v>
      </c>
      <c r="U328" s="439"/>
      <c r="V328" s="441">
        <f ca="1">Table66[[#This Row],[Year 6 (Specified in RFO) - N/A]]-Table66[[#This Row],[Column1]]</f>
        <v>0</v>
      </c>
    </row>
    <row r="329" spans="1:22" ht="16.5" thickBot="1">
      <c r="A329" s="227"/>
      <c r="B329" s="319"/>
      <c r="C329" s="319"/>
      <c r="D329" s="320"/>
      <c r="E329" s="320"/>
      <c r="F329" s="190"/>
      <c r="G3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9" s="190"/>
      <c r="I3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9" s="190"/>
      <c r="K3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9" s="190"/>
      <c r="M3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9" s="190"/>
      <c r="O3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9" s="190"/>
      <c r="Q3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9" s="192">
        <f ca="1">Table66[[#This Row],[Year 1 (Specified in RFO) - N/A]]+Table66[[#This Row],[Year 2 (Specified in RFO) - N/A]]+Table66[[#This Row],[Year 3 (Specified in RFO) - N/A]]+Table66[[#This Row],[Year 4 (Specified in RFO) - N/A]]+Table66[[#This Row],[Year 5 (Specified in RFO) - N/A]]+Table66[[#This Row],[Year 6 (Specified in RFO) - N/A]]</f>
        <v>0</v>
      </c>
      <c r="S329" s="402">
        <f ca="1">Table66[[#This Row],[Year 1  (Proposed)]]+Table66[[#This Row],[Year 2 (Proposed)]]+Table66[[#This Row],[Year 3 (Proposed)]]+Table66[[#This Row],[Year 4 (Proposed)]]+Table66[[#This Row],[Year 5 (Proposed)]]+Table66[[#This Row],[Year 6 (Proposed)]]</f>
        <v>0</v>
      </c>
      <c r="T329" s="403" t="b">
        <f ca="1">Table66[[#This Row],[Total Specifed in RFO - N/A]]=Table66[[#This Row],[Total Proposed]]</f>
        <v>1</v>
      </c>
      <c r="U329" s="439"/>
      <c r="V329" s="441">
        <f ca="1">Table66[[#This Row],[Year 6 (Specified in RFO) - N/A]]-Table66[[#This Row],[Column1]]</f>
        <v>0</v>
      </c>
    </row>
    <row r="330" spans="1:22" ht="16.5" thickBot="1">
      <c r="A330" s="227"/>
      <c r="B330" s="319"/>
      <c r="C330" s="319"/>
      <c r="D330" s="320"/>
      <c r="E330" s="320"/>
      <c r="F330" s="190"/>
      <c r="G3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0" s="190"/>
      <c r="I3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0" s="190"/>
      <c r="K3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0" s="190"/>
      <c r="M3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0" s="190"/>
      <c r="O3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0" s="190"/>
      <c r="Q3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0" s="192">
        <f ca="1">Table66[[#This Row],[Year 1 (Specified in RFO) - N/A]]+Table66[[#This Row],[Year 2 (Specified in RFO) - N/A]]+Table66[[#This Row],[Year 3 (Specified in RFO) - N/A]]+Table66[[#This Row],[Year 4 (Specified in RFO) - N/A]]+Table66[[#This Row],[Year 5 (Specified in RFO) - N/A]]+Table66[[#This Row],[Year 6 (Specified in RFO) - N/A]]</f>
        <v>0</v>
      </c>
      <c r="S330" s="402">
        <f ca="1">Table66[[#This Row],[Year 1  (Proposed)]]+Table66[[#This Row],[Year 2 (Proposed)]]+Table66[[#This Row],[Year 3 (Proposed)]]+Table66[[#This Row],[Year 4 (Proposed)]]+Table66[[#This Row],[Year 5 (Proposed)]]+Table66[[#This Row],[Year 6 (Proposed)]]</f>
        <v>0</v>
      </c>
      <c r="T330" s="403" t="b">
        <f ca="1">Table66[[#This Row],[Total Specifed in RFO - N/A]]=Table66[[#This Row],[Total Proposed]]</f>
        <v>1</v>
      </c>
      <c r="U330" s="439"/>
      <c r="V330" s="441">
        <f ca="1">Table66[[#This Row],[Year 6 (Specified in RFO) - N/A]]-Table66[[#This Row],[Column1]]</f>
        <v>0</v>
      </c>
    </row>
    <row r="331" spans="1:22" ht="16.5" thickBot="1">
      <c r="A331" s="227"/>
      <c r="B331" s="319"/>
      <c r="C331" s="319"/>
      <c r="D331" s="320"/>
      <c r="E331" s="320"/>
      <c r="F331" s="190"/>
      <c r="G3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1" s="190"/>
      <c r="I3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1" s="190"/>
      <c r="K3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1" s="190"/>
      <c r="M3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1" s="190"/>
      <c r="O3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1" s="190"/>
      <c r="Q3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1" s="192">
        <f ca="1">Table66[[#This Row],[Year 1 (Specified in RFO) - N/A]]+Table66[[#This Row],[Year 2 (Specified in RFO) - N/A]]+Table66[[#This Row],[Year 3 (Specified in RFO) - N/A]]+Table66[[#This Row],[Year 4 (Specified in RFO) - N/A]]+Table66[[#This Row],[Year 5 (Specified in RFO) - N/A]]+Table66[[#This Row],[Year 6 (Specified in RFO) - N/A]]</f>
        <v>0</v>
      </c>
      <c r="S331" s="402">
        <f ca="1">Table66[[#This Row],[Year 1  (Proposed)]]+Table66[[#This Row],[Year 2 (Proposed)]]+Table66[[#This Row],[Year 3 (Proposed)]]+Table66[[#This Row],[Year 4 (Proposed)]]+Table66[[#This Row],[Year 5 (Proposed)]]+Table66[[#This Row],[Year 6 (Proposed)]]</f>
        <v>0</v>
      </c>
      <c r="T331" s="403" t="b">
        <f ca="1">Table66[[#This Row],[Total Specifed in RFO - N/A]]=Table66[[#This Row],[Total Proposed]]</f>
        <v>1</v>
      </c>
      <c r="U331" s="439"/>
      <c r="V331" s="441">
        <f ca="1">Table66[[#This Row],[Year 6 (Specified in RFO) - N/A]]-Table66[[#This Row],[Column1]]</f>
        <v>0</v>
      </c>
    </row>
    <row r="332" spans="1:22" ht="16.5" thickBot="1">
      <c r="A332" s="227"/>
      <c r="B332" s="319"/>
      <c r="C332" s="319"/>
      <c r="D332" s="320"/>
      <c r="E332" s="320"/>
      <c r="F332" s="190"/>
      <c r="G3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2" s="190"/>
      <c r="I3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2" s="190"/>
      <c r="K3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2" s="190"/>
      <c r="M3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2" s="190"/>
      <c r="O3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2" s="190"/>
      <c r="Q3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2" s="192">
        <f ca="1">Table66[[#This Row],[Year 1 (Specified in RFO) - N/A]]+Table66[[#This Row],[Year 2 (Specified in RFO) - N/A]]+Table66[[#This Row],[Year 3 (Specified in RFO) - N/A]]+Table66[[#This Row],[Year 4 (Specified in RFO) - N/A]]+Table66[[#This Row],[Year 5 (Specified in RFO) - N/A]]+Table66[[#This Row],[Year 6 (Specified in RFO) - N/A]]</f>
        <v>0</v>
      </c>
      <c r="S332" s="402">
        <f ca="1">Table66[[#This Row],[Year 1  (Proposed)]]+Table66[[#This Row],[Year 2 (Proposed)]]+Table66[[#This Row],[Year 3 (Proposed)]]+Table66[[#This Row],[Year 4 (Proposed)]]+Table66[[#This Row],[Year 5 (Proposed)]]+Table66[[#This Row],[Year 6 (Proposed)]]</f>
        <v>0</v>
      </c>
      <c r="T332" s="403" t="b">
        <f ca="1">Table66[[#This Row],[Total Specifed in RFO - N/A]]=Table66[[#This Row],[Total Proposed]]</f>
        <v>1</v>
      </c>
      <c r="U332" s="439"/>
      <c r="V332" s="441">
        <f ca="1">Table66[[#This Row],[Year 6 (Specified in RFO) - N/A]]-Table66[[#This Row],[Column1]]</f>
        <v>0</v>
      </c>
    </row>
    <row r="333" spans="1:22" ht="16.5" thickBot="1">
      <c r="A333" s="227"/>
      <c r="B333" s="319"/>
      <c r="C333" s="319"/>
      <c r="D333" s="320"/>
      <c r="E333" s="320"/>
      <c r="F333" s="190"/>
      <c r="G3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3" s="190"/>
      <c r="I3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3" s="190"/>
      <c r="K3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3" s="190"/>
      <c r="M3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3" s="190"/>
      <c r="O3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3" s="190"/>
      <c r="Q3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3" s="192">
        <f ca="1">Table66[[#This Row],[Year 1 (Specified in RFO) - N/A]]+Table66[[#This Row],[Year 2 (Specified in RFO) - N/A]]+Table66[[#This Row],[Year 3 (Specified in RFO) - N/A]]+Table66[[#This Row],[Year 4 (Specified in RFO) - N/A]]+Table66[[#This Row],[Year 5 (Specified in RFO) - N/A]]+Table66[[#This Row],[Year 6 (Specified in RFO) - N/A]]</f>
        <v>0</v>
      </c>
      <c r="S333" s="402">
        <f ca="1">Table66[[#This Row],[Year 1  (Proposed)]]+Table66[[#This Row],[Year 2 (Proposed)]]+Table66[[#This Row],[Year 3 (Proposed)]]+Table66[[#This Row],[Year 4 (Proposed)]]+Table66[[#This Row],[Year 5 (Proposed)]]+Table66[[#This Row],[Year 6 (Proposed)]]</f>
        <v>0</v>
      </c>
      <c r="T333" s="403" t="b">
        <f ca="1">Table66[[#This Row],[Total Specifed in RFO - N/A]]=Table66[[#This Row],[Total Proposed]]</f>
        <v>1</v>
      </c>
      <c r="U333" s="439"/>
      <c r="V333" s="441">
        <f ca="1">Table66[[#This Row],[Year 6 (Specified in RFO) - N/A]]-Table66[[#This Row],[Column1]]</f>
        <v>0</v>
      </c>
    </row>
    <row r="334" spans="1:22" ht="16.5" thickBot="1">
      <c r="A334" s="227"/>
      <c r="B334" s="319"/>
      <c r="C334" s="319"/>
      <c r="D334" s="320"/>
      <c r="E334" s="320"/>
      <c r="F334" s="190"/>
      <c r="G3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4" s="190"/>
      <c r="I3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4" s="190"/>
      <c r="K3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4" s="190"/>
      <c r="M3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4" s="190"/>
      <c r="O3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4" s="190"/>
      <c r="Q3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4" s="192">
        <f ca="1">Table66[[#This Row],[Year 1 (Specified in RFO) - N/A]]+Table66[[#This Row],[Year 2 (Specified in RFO) - N/A]]+Table66[[#This Row],[Year 3 (Specified in RFO) - N/A]]+Table66[[#This Row],[Year 4 (Specified in RFO) - N/A]]+Table66[[#This Row],[Year 5 (Specified in RFO) - N/A]]+Table66[[#This Row],[Year 6 (Specified in RFO) - N/A]]</f>
        <v>0</v>
      </c>
      <c r="S334" s="402">
        <f ca="1">Table66[[#This Row],[Year 1  (Proposed)]]+Table66[[#This Row],[Year 2 (Proposed)]]+Table66[[#This Row],[Year 3 (Proposed)]]+Table66[[#This Row],[Year 4 (Proposed)]]+Table66[[#This Row],[Year 5 (Proposed)]]+Table66[[#This Row],[Year 6 (Proposed)]]</f>
        <v>0</v>
      </c>
      <c r="T334" s="403" t="b">
        <f ca="1">Table66[[#This Row],[Total Specifed in RFO - N/A]]=Table66[[#This Row],[Total Proposed]]</f>
        <v>1</v>
      </c>
      <c r="U334" s="439"/>
      <c r="V334" s="441">
        <f ca="1">Table66[[#This Row],[Year 6 (Specified in RFO) - N/A]]-Table66[[#This Row],[Column1]]</f>
        <v>0</v>
      </c>
    </row>
    <row r="335" spans="1:22" ht="16.5" thickBot="1">
      <c r="A335" s="227"/>
      <c r="B335" s="319"/>
      <c r="C335" s="319"/>
      <c r="D335" s="320"/>
      <c r="E335" s="320"/>
      <c r="F335" s="190"/>
      <c r="G3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5" s="190"/>
      <c r="I3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5" s="190"/>
      <c r="K3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5" s="190"/>
      <c r="M3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5" s="190"/>
      <c r="O3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5" s="190"/>
      <c r="Q3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5" s="192">
        <f ca="1">Table66[[#This Row],[Year 1 (Specified in RFO) - N/A]]+Table66[[#This Row],[Year 2 (Specified in RFO) - N/A]]+Table66[[#This Row],[Year 3 (Specified in RFO) - N/A]]+Table66[[#This Row],[Year 4 (Specified in RFO) - N/A]]+Table66[[#This Row],[Year 5 (Specified in RFO) - N/A]]+Table66[[#This Row],[Year 6 (Specified in RFO) - N/A]]</f>
        <v>0</v>
      </c>
      <c r="S335" s="402">
        <f ca="1">Table66[[#This Row],[Year 1  (Proposed)]]+Table66[[#This Row],[Year 2 (Proposed)]]+Table66[[#This Row],[Year 3 (Proposed)]]+Table66[[#This Row],[Year 4 (Proposed)]]+Table66[[#This Row],[Year 5 (Proposed)]]+Table66[[#This Row],[Year 6 (Proposed)]]</f>
        <v>0</v>
      </c>
      <c r="T335" s="403" t="b">
        <f ca="1">Table66[[#This Row],[Total Specifed in RFO - N/A]]=Table66[[#This Row],[Total Proposed]]</f>
        <v>1</v>
      </c>
      <c r="U335" s="439"/>
      <c r="V335" s="441">
        <f ca="1">Table66[[#This Row],[Year 6 (Specified in RFO) - N/A]]-Table66[[#This Row],[Column1]]</f>
        <v>0</v>
      </c>
    </row>
    <row r="336" spans="1:22" ht="16.5" thickBot="1">
      <c r="A336" s="227"/>
      <c r="B336" s="319"/>
      <c r="C336" s="319"/>
      <c r="D336" s="320"/>
      <c r="E336" s="320"/>
      <c r="F336" s="190"/>
      <c r="G3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6" s="190"/>
      <c r="I3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6" s="190"/>
      <c r="K3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6" s="190"/>
      <c r="M3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6" s="190"/>
      <c r="O3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6" s="190"/>
      <c r="Q3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6" s="192">
        <f ca="1">Table66[[#This Row],[Year 1 (Specified in RFO) - N/A]]+Table66[[#This Row],[Year 2 (Specified in RFO) - N/A]]+Table66[[#This Row],[Year 3 (Specified in RFO) - N/A]]+Table66[[#This Row],[Year 4 (Specified in RFO) - N/A]]+Table66[[#This Row],[Year 5 (Specified in RFO) - N/A]]+Table66[[#This Row],[Year 6 (Specified in RFO) - N/A]]</f>
        <v>0</v>
      </c>
      <c r="S336" s="402">
        <f ca="1">Table66[[#This Row],[Year 1  (Proposed)]]+Table66[[#This Row],[Year 2 (Proposed)]]+Table66[[#This Row],[Year 3 (Proposed)]]+Table66[[#This Row],[Year 4 (Proposed)]]+Table66[[#This Row],[Year 5 (Proposed)]]+Table66[[#This Row],[Year 6 (Proposed)]]</f>
        <v>0</v>
      </c>
      <c r="T336" s="403" t="b">
        <f ca="1">Table66[[#This Row],[Total Specifed in RFO - N/A]]=Table66[[#This Row],[Total Proposed]]</f>
        <v>1</v>
      </c>
      <c r="U336" s="439"/>
      <c r="V336" s="441">
        <f ca="1">Table66[[#This Row],[Year 6 (Specified in RFO) - N/A]]-Table66[[#This Row],[Column1]]</f>
        <v>0</v>
      </c>
    </row>
    <row r="337" spans="1:22" ht="16.5" thickBot="1">
      <c r="A337" s="227"/>
      <c r="B337" s="319"/>
      <c r="C337" s="319"/>
      <c r="D337" s="320"/>
      <c r="E337" s="320"/>
      <c r="F337" s="190"/>
      <c r="G3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7" s="190"/>
      <c r="I3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7" s="190"/>
      <c r="K3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7" s="190"/>
      <c r="M3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7" s="190"/>
      <c r="O3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7" s="190"/>
      <c r="Q3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7" s="192">
        <f ca="1">Table66[[#This Row],[Year 1 (Specified in RFO) - N/A]]+Table66[[#This Row],[Year 2 (Specified in RFO) - N/A]]+Table66[[#This Row],[Year 3 (Specified in RFO) - N/A]]+Table66[[#This Row],[Year 4 (Specified in RFO) - N/A]]+Table66[[#This Row],[Year 5 (Specified in RFO) - N/A]]+Table66[[#This Row],[Year 6 (Specified in RFO) - N/A]]</f>
        <v>0</v>
      </c>
      <c r="S337" s="402">
        <f ca="1">Table66[[#This Row],[Year 1  (Proposed)]]+Table66[[#This Row],[Year 2 (Proposed)]]+Table66[[#This Row],[Year 3 (Proposed)]]+Table66[[#This Row],[Year 4 (Proposed)]]+Table66[[#This Row],[Year 5 (Proposed)]]+Table66[[#This Row],[Year 6 (Proposed)]]</f>
        <v>0</v>
      </c>
      <c r="T337" s="403" t="b">
        <f ca="1">Table66[[#This Row],[Total Specifed in RFO - N/A]]=Table66[[#This Row],[Total Proposed]]</f>
        <v>1</v>
      </c>
      <c r="U337" s="439"/>
      <c r="V337" s="441">
        <f ca="1">Table66[[#This Row],[Year 6 (Specified in RFO) - N/A]]-Table66[[#This Row],[Column1]]</f>
        <v>0</v>
      </c>
    </row>
    <row r="338" spans="1:22" ht="16.5" thickBot="1">
      <c r="A338" s="227"/>
      <c r="B338" s="319"/>
      <c r="C338" s="319"/>
      <c r="D338" s="320"/>
      <c r="E338" s="320"/>
      <c r="F338" s="190"/>
      <c r="G3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8" s="190"/>
      <c r="I3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8" s="190"/>
      <c r="K3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8" s="190"/>
      <c r="M3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8" s="190"/>
      <c r="O3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8" s="190"/>
      <c r="Q3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8" s="192">
        <f ca="1">Table66[[#This Row],[Year 1 (Specified in RFO) - N/A]]+Table66[[#This Row],[Year 2 (Specified in RFO) - N/A]]+Table66[[#This Row],[Year 3 (Specified in RFO) - N/A]]+Table66[[#This Row],[Year 4 (Specified in RFO) - N/A]]+Table66[[#This Row],[Year 5 (Specified in RFO) - N/A]]+Table66[[#This Row],[Year 6 (Specified in RFO) - N/A]]</f>
        <v>0</v>
      </c>
      <c r="S338" s="402">
        <f ca="1">Table66[[#This Row],[Year 1  (Proposed)]]+Table66[[#This Row],[Year 2 (Proposed)]]+Table66[[#This Row],[Year 3 (Proposed)]]+Table66[[#This Row],[Year 4 (Proposed)]]+Table66[[#This Row],[Year 5 (Proposed)]]+Table66[[#This Row],[Year 6 (Proposed)]]</f>
        <v>0</v>
      </c>
      <c r="T338" s="403" t="b">
        <f ca="1">Table66[[#This Row],[Total Specifed in RFO - N/A]]=Table66[[#This Row],[Total Proposed]]</f>
        <v>1</v>
      </c>
      <c r="U338" s="439"/>
      <c r="V338" s="441">
        <f ca="1">Table66[[#This Row],[Year 6 (Specified in RFO) - N/A]]-Table66[[#This Row],[Column1]]</f>
        <v>0</v>
      </c>
    </row>
    <row r="339" spans="1:22" ht="16.5" thickBot="1">
      <c r="A339" s="227"/>
      <c r="B339" s="319"/>
      <c r="C339" s="319"/>
      <c r="D339" s="320"/>
      <c r="E339" s="320"/>
      <c r="F339" s="190"/>
      <c r="G3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9" s="190"/>
      <c r="I3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9" s="190"/>
      <c r="K3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9" s="190"/>
      <c r="M3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9" s="190"/>
      <c r="O3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9" s="190"/>
      <c r="Q3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9" s="192">
        <f ca="1">Table66[[#This Row],[Year 1 (Specified in RFO) - N/A]]+Table66[[#This Row],[Year 2 (Specified in RFO) - N/A]]+Table66[[#This Row],[Year 3 (Specified in RFO) - N/A]]+Table66[[#This Row],[Year 4 (Specified in RFO) - N/A]]+Table66[[#This Row],[Year 5 (Specified in RFO) - N/A]]+Table66[[#This Row],[Year 6 (Specified in RFO) - N/A]]</f>
        <v>0</v>
      </c>
      <c r="S339" s="402">
        <f ca="1">Table66[[#This Row],[Year 1  (Proposed)]]+Table66[[#This Row],[Year 2 (Proposed)]]+Table66[[#This Row],[Year 3 (Proposed)]]+Table66[[#This Row],[Year 4 (Proposed)]]+Table66[[#This Row],[Year 5 (Proposed)]]+Table66[[#This Row],[Year 6 (Proposed)]]</f>
        <v>0</v>
      </c>
      <c r="T339" s="403" t="b">
        <f ca="1">Table66[[#This Row],[Total Specifed in RFO - N/A]]=Table66[[#This Row],[Total Proposed]]</f>
        <v>1</v>
      </c>
      <c r="U339" s="439"/>
      <c r="V339" s="441">
        <f ca="1">Table66[[#This Row],[Year 6 (Specified in RFO) - N/A]]-Table66[[#This Row],[Column1]]</f>
        <v>0</v>
      </c>
    </row>
    <row r="340" spans="1:22" ht="16.5" thickBot="1">
      <c r="A340" s="227"/>
      <c r="B340" s="319"/>
      <c r="C340" s="319"/>
      <c r="D340" s="320"/>
      <c r="E340" s="320"/>
      <c r="F340" s="190"/>
      <c r="G3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0" s="190"/>
      <c r="I3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0" s="190"/>
      <c r="K3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0" s="190"/>
      <c r="M3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0" s="190"/>
      <c r="O3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0" s="190"/>
      <c r="Q3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0" s="192">
        <f ca="1">Table66[[#This Row],[Year 1 (Specified in RFO) - N/A]]+Table66[[#This Row],[Year 2 (Specified in RFO) - N/A]]+Table66[[#This Row],[Year 3 (Specified in RFO) - N/A]]+Table66[[#This Row],[Year 4 (Specified in RFO) - N/A]]+Table66[[#This Row],[Year 5 (Specified in RFO) - N/A]]+Table66[[#This Row],[Year 6 (Specified in RFO) - N/A]]</f>
        <v>0</v>
      </c>
      <c r="S340" s="402">
        <f ca="1">Table66[[#This Row],[Year 1  (Proposed)]]+Table66[[#This Row],[Year 2 (Proposed)]]+Table66[[#This Row],[Year 3 (Proposed)]]+Table66[[#This Row],[Year 4 (Proposed)]]+Table66[[#This Row],[Year 5 (Proposed)]]+Table66[[#This Row],[Year 6 (Proposed)]]</f>
        <v>0</v>
      </c>
      <c r="T340" s="403" t="b">
        <f ca="1">Table66[[#This Row],[Total Specifed in RFO - N/A]]=Table66[[#This Row],[Total Proposed]]</f>
        <v>1</v>
      </c>
      <c r="U340" s="439"/>
      <c r="V340" s="441">
        <f ca="1">Table66[[#This Row],[Year 6 (Specified in RFO) - N/A]]-Table66[[#This Row],[Column1]]</f>
        <v>0</v>
      </c>
    </row>
    <row r="341" spans="1:22" ht="16.5" thickBot="1">
      <c r="A341" s="227"/>
      <c r="B341" s="319"/>
      <c r="C341" s="319"/>
      <c r="D341" s="320"/>
      <c r="E341" s="320"/>
      <c r="F341" s="190"/>
      <c r="G3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1" s="190"/>
      <c r="I3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1" s="190"/>
      <c r="K3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1" s="190"/>
      <c r="M3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1" s="190"/>
      <c r="O3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1" s="190"/>
      <c r="Q3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1" s="192">
        <f ca="1">Table66[[#This Row],[Year 1 (Specified in RFO) - N/A]]+Table66[[#This Row],[Year 2 (Specified in RFO) - N/A]]+Table66[[#This Row],[Year 3 (Specified in RFO) - N/A]]+Table66[[#This Row],[Year 4 (Specified in RFO) - N/A]]+Table66[[#This Row],[Year 5 (Specified in RFO) - N/A]]+Table66[[#This Row],[Year 6 (Specified in RFO) - N/A]]</f>
        <v>0</v>
      </c>
      <c r="S341" s="402">
        <f ca="1">Table66[[#This Row],[Year 1  (Proposed)]]+Table66[[#This Row],[Year 2 (Proposed)]]+Table66[[#This Row],[Year 3 (Proposed)]]+Table66[[#This Row],[Year 4 (Proposed)]]+Table66[[#This Row],[Year 5 (Proposed)]]+Table66[[#This Row],[Year 6 (Proposed)]]</f>
        <v>0</v>
      </c>
      <c r="T341" s="403" t="b">
        <f ca="1">Table66[[#This Row],[Total Specifed in RFO - N/A]]=Table66[[#This Row],[Total Proposed]]</f>
        <v>1</v>
      </c>
      <c r="U341" s="439"/>
      <c r="V341" s="441">
        <f ca="1">Table66[[#This Row],[Year 6 (Specified in RFO) - N/A]]-Table66[[#This Row],[Column1]]</f>
        <v>0</v>
      </c>
    </row>
    <row r="342" spans="1:22" ht="16.5" thickBot="1">
      <c r="A342" s="227"/>
      <c r="B342" s="319"/>
      <c r="C342" s="319"/>
      <c r="D342" s="320"/>
      <c r="E342" s="320"/>
      <c r="F342" s="190"/>
      <c r="G3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2" s="190"/>
      <c r="I3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2" s="190"/>
      <c r="K3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2" s="190"/>
      <c r="M3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2" s="190"/>
      <c r="O3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2" s="190"/>
      <c r="Q3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2" s="192">
        <f ca="1">Table66[[#This Row],[Year 1 (Specified in RFO) - N/A]]+Table66[[#This Row],[Year 2 (Specified in RFO) - N/A]]+Table66[[#This Row],[Year 3 (Specified in RFO) - N/A]]+Table66[[#This Row],[Year 4 (Specified in RFO) - N/A]]+Table66[[#This Row],[Year 5 (Specified in RFO) - N/A]]+Table66[[#This Row],[Year 6 (Specified in RFO) - N/A]]</f>
        <v>0</v>
      </c>
      <c r="S342" s="402">
        <f ca="1">Table66[[#This Row],[Year 1  (Proposed)]]+Table66[[#This Row],[Year 2 (Proposed)]]+Table66[[#This Row],[Year 3 (Proposed)]]+Table66[[#This Row],[Year 4 (Proposed)]]+Table66[[#This Row],[Year 5 (Proposed)]]+Table66[[#This Row],[Year 6 (Proposed)]]</f>
        <v>0</v>
      </c>
      <c r="T342" s="403" t="b">
        <f ca="1">Table66[[#This Row],[Total Specifed in RFO - N/A]]=Table66[[#This Row],[Total Proposed]]</f>
        <v>1</v>
      </c>
      <c r="U342" s="439"/>
      <c r="V342" s="441">
        <f ca="1">Table66[[#This Row],[Year 6 (Specified in RFO) - N/A]]-Table66[[#This Row],[Column1]]</f>
        <v>0</v>
      </c>
    </row>
    <row r="343" spans="1:22" ht="16.5" thickBot="1">
      <c r="A343" s="227"/>
      <c r="B343" s="319"/>
      <c r="C343" s="319"/>
      <c r="D343" s="320"/>
      <c r="E343" s="320"/>
      <c r="F343" s="190"/>
      <c r="G3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3" s="190"/>
      <c r="I3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3" s="190"/>
      <c r="K3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3" s="190"/>
      <c r="M3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3" s="190"/>
      <c r="O3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3" s="190"/>
      <c r="Q3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3" s="192">
        <f ca="1">Table66[[#This Row],[Year 1 (Specified in RFO) - N/A]]+Table66[[#This Row],[Year 2 (Specified in RFO) - N/A]]+Table66[[#This Row],[Year 3 (Specified in RFO) - N/A]]+Table66[[#This Row],[Year 4 (Specified in RFO) - N/A]]+Table66[[#This Row],[Year 5 (Specified in RFO) - N/A]]+Table66[[#This Row],[Year 6 (Specified in RFO) - N/A]]</f>
        <v>0</v>
      </c>
      <c r="S343" s="402">
        <f ca="1">Table66[[#This Row],[Year 1  (Proposed)]]+Table66[[#This Row],[Year 2 (Proposed)]]+Table66[[#This Row],[Year 3 (Proposed)]]+Table66[[#This Row],[Year 4 (Proposed)]]+Table66[[#This Row],[Year 5 (Proposed)]]+Table66[[#This Row],[Year 6 (Proposed)]]</f>
        <v>0</v>
      </c>
      <c r="T343" s="403" t="b">
        <f ca="1">Table66[[#This Row],[Total Specifed in RFO - N/A]]=Table66[[#This Row],[Total Proposed]]</f>
        <v>1</v>
      </c>
      <c r="U343" s="439"/>
      <c r="V343" s="441">
        <f ca="1">Table66[[#This Row],[Year 6 (Specified in RFO) - N/A]]-Table66[[#This Row],[Column1]]</f>
        <v>0</v>
      </c>
    </row>
    <row r="344" spans="1:22" ht="16.5" thickBot="1">
      <c r="A344" s="227"/>
      <c r="B344" s="319"/>
      <c r="C344" s="319"/>
      <c r="D344" s="320"/>
      <c r="E344" s="320"/>
      <c r="F344" s="190"/>
      <c r="G3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4" s="190"/>
      <c r="I3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4" s="190"/>
      <c r="K3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4" s="190"/>
      <c r="M3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4" s="190"/>
      <c r="O3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4" s="190"/>
      <c r="Q3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4" s="192">
        <f ca="1">Table66[[#This Row],[Year 1 (Specified in RFO) - N/A]]+Table66[[#This Row],[Year 2 (Specified in RFO) - N/A]]+Table66[[#This Row],[Year 3 (Specified in RFO) - N/A]]+Table66[[#This Row],[Year 4 (Specified in RFO) - N/A]]+Table66[[#This Row],[Year 5 (Specified in RFO) - N/A]]+Table66[[#This Row],[Year 6 (Specified in RFO) - N/A]]</f>
        <v>0</v>
      </c>
      <c r="S344" s="402">
        <f ca="1">Table66[[#This Row],[Year 1  (Proposed)]]+Table66[[#This Row],[Year 2 (Proposed)]]+Table66[[#This Row],[Year 3 (Proposed)]]+Table66[[#This Row],[Year 4 (Proposed)]]+Table66[[#This Row],[Year 5 (Proposed)]]+Table66[[#This Row],[Year 6 (Proposed)]]</f>
        <v>0</v>
      </c>
      <c r="T344" s="403" t="b">
        <f ca="1">Table66[[#This Row],[Total Specifed in RFO - N/A]]=Table66[[#This Row],[Total Proposed]]</f>
        <v>1</v>
      </c>
      <c r="U344" s="439"/>
      <c r="V344" s="441">
        <f ca="1">Table66[[#This Row],[Year 6 (Specified in RFO) - N/A]]-Table66[[#This Row],[Column1]]</f>
        <v>0</v>
      </c>
    </row>
    <row r="345" spans="1:22" ht="16.5" thickBot="1">
      <c r="A345" s="227"/>
      <c r="B345" s="319"/>
      <c r="C345" s="319"/>
      <c r="D345" s="320"/>
      <c r="E345" s="320"/>
      <c r="F345" s="190"/>
      <c r="G3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5" s="190"/>
      <c r="I3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5" s="190"/>
      <c r="K3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5" s="190"/>
      <c r="M3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5" s="190"/>
      <c r="O3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5" s="190"/>
      <c r="Q3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5" s="192">
        <f ca="1">Table66[[#This Row],[Year 1 (Specified in RFO) - N/A]]+Table66[[#This Row],[Year 2 (Specified in RFO) - N/A]]+Table66[[#This Row],[Year 3 (Specified in RFO) - N/A]]+Table66[[#This Row],[Year 4 (Specified in RFO) - N/A]]+Table66[[#This Row],[Year 5 (Specified in RFO) - N/A]]+Table66[[#This Row],[Year 6 (Specified in RFO) - N/A]]</f>
        <v>0</v>
      </c>
      <c r="S345" s="402">
        <f ca="1">Table66[[#This Row],[Year 1  (Proposed)]]+Table66[[#This Row],[Year 2 (Proposed)]]+Table66[[#This Row],[Year 3 (Proposed)]]+Table66[[#This Row],[Year 4 (Proposed)]]+Table66[[#This Row],[Year 5 (Proposed)]]+Table66[[#This Row],[Year 6 (Proposed)]]</f>
        <v>0</v>
      </c>
      <c r="T345" s="403" t="b">
        <f ca="1">Table66[[#This Row],[Total Specifed in RFO - N/A]]=Table66[[#This Row],[Total Proposed]]</f>
        <v>1</v>
      </c>
      <c r="U345" s="439"/>
      <c r="V345" s="441">
        <f ca="1">Table66[[#This Row],[Year 6 (Specified in RFO) - N/A]]-Table66[[#This Row],[Column1]]</f>
        <v>0</v>
      </c>
    </row>
    <row r="346" spans="1:22" ht="16.5" thickBot="1">
      <c r="A346" s="227"/>
      <c r="B346" s="319"/>
      <c r="C346" s="319"/>
      <c r="D346" s="320"/>
      <c r="E346" s="320"/>
      <c r="F346" s="190"/>
      <c r="G3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6" s="190"/>
      <c r="I3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6" s="190"/>
      <c r="K3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6" s="190"/>
      <c r="M3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6" s="190"/>
      <c r="O3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6" s="190"/>
      <c r="Q3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6" s="192">
        <f ca="1">Table66[[#This Row],[Year 1 (Specified in RFO) - N/A]]+Table66[[#This Row],[Year 2 (Specified in RFO) - N/A]]+Table66[[#This Row],[Year 3 (Specified in RFO) - N/A]]+Table66[[#This Row],[Year 4 (Specified in RFO) - N/A]]+Table66[[#This Row],[Year 5 (Specified in RFO) - N/A]]+Table66[[#This Row],[Year 6 (Specified in RFO) - N/A]]</f>
        <v>0</v>
      </c>
      <c r="S346" s="402">
        <f ca="1">Table66[[#This Row],[Year 1  (Proposed)]]+Table66[[#This Row],[Year 2 (Proposed)]]+Table66[[#This Row],[Year 3 (Proposed)]]+Table66[[#This Row],[Year 4 (Proposed)]]+Table66[[#This Row],[Year 5 (Proposed)]]+Table66[[#This Row],[Year 6 (Proposed)]]</f>
        <v>0</v>
      </c>
      <c r="T346" s="403" t="b">
        <f ca="1">Table66[[#This Row],[Total Specifed in RFO - N/A]]=Table66[[#This Row],[Total Proposed]]</f>
        <v>1</v>
      </c>
      <c r="U346" s="439"/>
      <c r="V346" s="441">
        <f ca="1">Table66[[#This Row],[Year 6 (Specified in RFO) - N/A]]-Table66[[#This Row],[Column1]]</f>
        <v>0</v>
      </c>
    </row>
    <row r="347" spans="1:22" ht="16.5" thickBot="1">
      <c r="A347" s="227"/>
      <c r="B347" s="319"/>
      <c r="C347" s="319"/>
      <c r="D347" s="320"/>
      <c r="E347" s="320"/>
      <c r="F347" s="190"/>
      <c r="G3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7" s="190"/>
      <c r="I3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7" s="190"/>
      <c r="K3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7" s="190"/>
      <c r="M3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7" s="190"/>
      <c r="O3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7" s="190"/>
      <c r="Q3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7" s="192">
        <f ca="1">Table66[[#This Row],[Year 1 (Specified in RFO) - N/A]]+Table66[[#This Row],[Year 2 (Specified in RFO) - N/A]]+Table66[[#This Row],[Year 3 (Specified in RFO) - N/A]]+Table66[[#This Row],[Year 4 (Specified in RFO) - N/A]]+Table66[[#This Row],[Year 5 (Specified in RFO) - N/A]]+Table66[[#This Row],[Year 6 (Specified in RFO) - N/A]]</f>
        <v>0</v>
      </c>
      <c r="S347" s="402">
        <f ca="1">Table66[[#This Row],[Year 1  (Proposed)]]+Table66[[#This Row],[Year 2 (Proposed)]]+Table66[[#This Row],[Year 3 (Proposed)]]+Table66[[#This Row],[Year 4 (Proposed)]]+Table66[[#This Row],[Year 5 (Proposed)]]+Table66[[#This Row],[Year 6 (Proposed)]]</f>
        <v>0</v>
      </c>
      <c r="T347" s="403" t="b">
        <f ca="1">Table66[[#This Row],[Total Specifed in RFO - N/A]]=Table66[[#This Row],[Total Proposed]]</f>
        <v>1</v>
      </c>
      <c r="U347" s="439"/>
      <c r="V347" s="441">
        <f ca="1">Table66[[#This Row],[Year 6 (Specified in RFO) - N/A]]-Table66[[#This Row],[Column1]]</f>
        <v>0</v>
      </c>
    </row>
    <row r="348" spans="1:22" ht="16.5" thickBot="1">
      <c r="A348" s="227"/>
      <c r="B348" s="319"/>
      <c r="C348" s="319"/>
      <c r="D348" s="320"/>
      <c r="E348" s="320"/>
      <c r="F348" s="190"/>
      <c r="G3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8" s="190"/>
      <c r="I3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8" s="190"/>
      <c r="K3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8" s="190"/>
      <c r="M3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8" s="190"/>
      <c r="O3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8" s="190"/>
      <c r="Q3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8" s="192">
        <f ca="1">Table66[[#This Row],[Year 1 (Specified in RFO) - N/A]]+Table66[[#This Row],[Year 2 (Specified in RFO) - N/A]]+Table66[[#This Row],[Year 3 (Specified in RFO) - N/A]]+Table66[[#This Row],[Year 4 (Specified in RFO) - N/A]]+Table66[[#This Row],[Year 5 (Specified in RFO) - N/A]]+Table66[[#This Row],[Year 6 (Specified in RFO) - N/A]]</f>
        <v>0</v>
      </c>
      <c r="S348" s="402">
        <f ca="1">Table66[[#This Row],[Year 1  (Proposed)]]+Table66[[#This Row],[Year 2 (Proposed)]]+Table66[[#This Row],[Year 3 (Proposed)]]+Table66[[#This Row],[Year 4 (Proposed)]]+Table66[[#This Row],[Year 5 (Proposed)]]+Table66[[#This Row],[Year 6 (Proposed)]]</f>
        <v>0</v>
      </c>
      <c r="T348" s="403" t="b">
        <f ca="1">Table66[[#This Row],[Total Specifed in RFO - N/A]]=Table66[[#This Row],[Total Proposed]]</f>
        <v>1</v>
      </c>
      <c r="U348" s="439"/>
      <c r="V348" s="441">
        <f ca="1">Table66[[#This Row],[Year 6 (Specified in RFO) - N/A]]-Table66[[#This Row],[Column1]]</f>
        <v>0</v>
      </c>
    </row>
    <row r="349" spans="1:22" ht="16.5" thickBot="1">
      <c r="A349" s="227"/>
      <c r="B349" s="319"/>
      <c r="C349" s="319"/>
      <c r="D349" s="320"/>
      <c r="E349" s="320"/>
      <c r="F349" s="190"/>
      <c r="G3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9" s="190"/>
      <c r="I3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9" s="190"/>
      <c r="K3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9" s="190"/>
      <c r="M3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9" s="190"/>
      <c r="O3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9" s="190"/>
      <c r="Q3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9" s="192">
        <f ca="1">Table66[[#This Row],[Year 1 (Specified in RFO) - N/A]]+Table66[[#This Row],[Year 2 (Specified in RFO) - N/A]]+Table66[[#This Row],[Year 3 (Specified in RFO) - N/A]]+Table66[[#This Row],[Year 4 (Specified in RFO) - N/A]]+Table66[[#This Row],[Year 5 (Specified in RFO) - N/A]]+Table66[[#This Row],[Year 6 (Specified in RFO) - N/A]]</f>
        <v>0</v>
      </c>
      <c r="S349" s="402">
        <f ca="1">Table66[[#This Row],[Year 1  (Proposed)]]+Table66[[#This Row],[Year 2 (Proposed)]]+Table66[[#This Row],[Year 3 (Proposed)]]+Table66[[#This Row],[Year 4 (Proposed)]]+Table66[[#This Row],[Year 5 (Proposed)]]+Table66[[#This Row],[Year 6 (Proposed)]]</f>
        <v>0</v>
      </c>
      <c r="T349" s="403" t="b">
        <f ca="1">Table66[[#This Row],[Total Specifed in RFO - N/A]]=Table66[[#This Row],[Total Proposed]]</f>
        <v>1</v>
      </c>
      <c r="U349" s="439"/>
      <c r="V349" s="441">
        <f ca="1">Table66[[#This Row],[Year 6 (Specified in RFO) - N/A]]-Table66[[#This Row],[Column1]]</f>
        <v>0</v>
      </c>
    </row>
    <row r="350" spans="1:22" ht="16.5" thickBot="1">
      <c r="A350" s="227"/>
      <c r="B350" s="319"/>
      <c r="C350" s="319"/>
      <c r="D350" s="320"/>
      <c r="E350" s="320"/>
      <c r="F350" s="190"/>
      <c r="G3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0" s="190"/>
      <c r="I3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0" s="190"/>
      <c r="K3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0" s="190"/>
      <c r="M3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0" s="190"/>
      <c r="O3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0" s="190"/>
      <c r="Q3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0" s="192">
        <f ca="1">Table66[[#This Row],[Year 1 (Specified in RFO) - N/A]]+Table66[[#This Row],[Year 2 (Specified in RFO) - N/A]]+Table66[[#This Row],[Year 3 (Specified in RFO) - N/A]]+Table66[[#This Row],[Year 4 (Specified in RFO) - N/A]]+Table66[[#This Row],[Year 5 (Specified in RFO) - N/A]]+Table66[[#This Row],[Year 6 (Specified in RFO) - N/A]]</f>
        <v>0</v>
      </c>
      <c r="S350" s="402">
        <f ca="1">Table66[[#This Row],[Year 1  (Proposed)]]+Table66[[#This Row],[Year 2 (Proposed)]]+Table66[[#This Row],[Year 3 (Proposed)]]+Table66[[#This Row],[Year 4 (Proposed)]]+Table66[[#This Row],[Year 5 (Proposed)]]+Table66[[#This Row],[Year 6 (Proposed)]]</f>
        <v>0</v>
      </c>
      <c r="T350" s="403" t="b">
        <f ca="1">Table66[[#This Row],[Total Specifed in RFO - N/A]]=Table66[[#This Row],[Total Proposed]]</f>
        <v>1</v>
      </c>
      <c r="U350" s="439"/>
      <c r="V350" s="441">
        <f ca="1">Table66[[#This Row],[Year 6 (Specified in RFO) - N/A]]-Table66[[#This Row],[Column1]]</f>
        <v>0</v>
      </c>
    </row>
    <row r="351" spans="1:22" ht="16.5" thickBot="1">
      <c r="A351" s="227"/>
      <c r="B351" s="319"/>
      <c r="C351" s="319"/>
      <c r="D351" s="320"/>
      <c r="E351" s="320"/>
      <c r="F351" s="190"/>
      <c r="G3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1" s="190"/>
      <c r="I3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1" s="190"/>
      <c r="K3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1" s="190"/>
      <c r="M3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1" s="190"/>
      <c r="O3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1" s="190"/>
      <c r="Q3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1" s="192">
        <f ca="1">Table66[[#This Row],[Year 1 (Specified in RFO) - N/A]]+Table66[[#This Row],[Year 2 (Specified in RFO) - N/A]]+Table66[[#This Row],[Year 3 (Specified in RFO) - N/A]]+Table66[[#This Row],[Year 4 (Specified in RFO) - N/A]]+Table66[[#This Row],[Year 5 (Specified in RFO) - N/A]]+Table66[[#This Row],[Year 6 (Specified in RFO) - N/A]]</f>
        <v>0</v>
      </c>
      <c r="S351" s="402">
        <f ca="1">Table66[[#This Row],[Year 1  (Proposed)]]+Table66[[#This Row],[Year 2 (Proposed)]]+Table66[[#This Row],[Year 3 (Proposed)]]+Table66[[#This Row],[Year 4 (Proposed)]]+Table66[[#This Row],[Year 5 (Proposed)]]+Table66[[#This Row],[Year 6 (Proposed)]]</f>
        <v>0</v>
      </c>
      <c r="T351" s="403" t="b">
        <f ca="1">Table66[[#This Row],[Total Specifed in RFO - N/A]]=Table66[[#This Row],[Total Proposed]]</f>
        <v>1</v>
      </c>
      <c r="U351" s="439"/>
      <c r="V351" s="441">
        <f ca="1">Table66[[#This Row],[Year 6 (Specified in RFO) - N/A]]-Table66[[#This Row],[Column1]]</f>
        <v>0</v>
      </c>
    </row>
    <row r="352" spans="1:22" ht="16.5" thickBot="1">
      <c r="A352" s="227"/>
      <c r="B352" s="319"/>
      <c r="C352" s="319"/>
      <c r="D352" s="320"/>
      <c r="E352" s="320"/>
      <c r="F352" s="190"/>
      <c r="G3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2" s="190"/>
      <c r="I3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2" s="190"/>
      <c r="K3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2" s="190"/>
      <c r="M3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2" s="190"/>
      <c r="O3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2" s="190"/>
      <c r="Q3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2" s="192">
        <f ca="1">Table66[[#This Row],[Year 1 (Specified in RFO) - N/A]]+Table66[[#This Row],[Year 2 (Specified in RFO) - N/A]]+Table66[[#This Row],[Year 3 (Specified in RFO) - N/A]]+Table66[[#This Row],[Year 4 (Specified in RFO) - N/A]]+Table66[[#This Row],[Year 5 (Specified in RFO) - N/A]]+Table66[[#This Row],[Year 6 (Specified in RFO) - N/A]]</f>
        <v>0</v>
      </c>
      <c r="S352" s="402">
        <f ca="1">Table66[[#This Row],[Year 1  (Proposed)]]+Table66[[#This Row],[Year 2 (Proposed)]]+Table66[[#This Row],[Year 3 (Proposed)]]+Table66[[#This Row],[Year 4 (Proposed)]]+Table66[[#This Row],[Year 5 (Proposed)]]+Table66[[#This Row],[Year 6 (Proposed)]]</f>
        <v>0</v>
      </c>
      <c r="T352" s="403" t="b">
        <f ca="1">Table66[[#This Row],[Total Specifed in RFO - N/A]]=Table66[[#This Row],[Total Proposed]]</f>
        <v>1</v>
      </c>
      <c r="U352" s="439"/>
      <c r="V352" s="441">
        <f ca="1">Table66[[#This Row],[Year 6 (Specified in RFO) - N/A]]-Table66[[#This Row],[Column1]]</f>
        <v>0</v>
      </c>
    </row>
    <row r="353" spans="1:22" ht="16.5" thickBot="1">
      <c r="A353" s="227"/>
      <c r="B353" s="319"/>
      <c r="C353" s="319"/>
      <c r="D353" s="320"/>
      <c r="E353" s="320"/>
      <c r="F353" s="190"/>
      <c r="G3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3" s="190"/>
      <c r="I3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3" s="190"/>
      <c r="K3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3" s="190"/>
      <c r="M3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3" s="190"/>
      <c r="O3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3" s="190"/>
      <c r="Q3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3" s="192">
        <f ca="1">Table66[[#This Row],[Year 1 (Specified in RFO) - N/A]]+Table66[[#This Row],[Year 2 (Specified in RFO) - N/A]]+Table66[[#This Row],[Year 3 (Specified in RFO) - N/A]]+Table66[[#This Row],[Year 4 (Specified in RFO) - N/A]]+Table66[[#This Row],[Year 5 (Specified in RFO) - N/A]]+Table66[[#This Row],[Year 6 (Specified in RFO) - N/A]]</f>
        <v>0</v>
      </c>
      <c r="S353" s="402">
        <f ca="1">Table66[[#This Row],[Year 1  (Proposed)]]+Table66[[#This Row],[Year 2 (Proposed)]]+Table66[[#This Row],[Year 3 (Proposed)]]+Table66[[#This Row],[Year 4 (Proposed)]]+Table66[[#This Row],[Year 5 (Proposed)]]+Table66[[#This Row],[Year 6 (Proposed)]]</f>
        <v>0</v>
      </c>
      <c r="T353" s="403" t="b">
        <f ca="1">Table66[[#This Row],[Total Specifed in RFO - N/A]]=Table66[[#This Row],[Total Proposed]]</f>
        <v>1</v>
      </c>
      <c r="U353" s="439"/>
      <c r="V353" s="441">
        <f ca="1">Table66[[#This Row],[Year 6 (Specified in RFO) - N/A]]-Table66[[#This Row],[Column1]]</f>
        <v>0</v>
      </c>
    </row>
    <row r="354" spans="1:22" ht="16.5" thickBot="1">
      <c r="A354" s="227"/>
      <c r="B354" s="319"/>
      <c r="C354" s="319"/>
      <c r="D354" s="320"/>
      <c r="E354" s="320"/>
      <c r="F354" s="190"/>
      <c r="G3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4" s="190"/>
      <c r="I3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4" s="190"/>
      <c r="K3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4" s="190"/>
      <c r="M3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4" s="190"/>
      <c r="O3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4" s="190"/>
      <c r="Q3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4" s="192">
        <f ca="1">Table66[[#This Row],[Year 1 (Specified in RFO) - N/A]]+Table66[[#This Row],[Year 2 (Specified in RFO) - N/A]]+Table66[[#This Row],[Year 3 (Specified in RFO) - N/A]]+Table66[[#This Row],[Year 4 (Specified in RFO) - N/A]]+Table66[[#This Row],[Year 5 (Specified in RFO) - N/A]]+Table66[[#This Row],[Year 6 (Specified in RFO) - N/A]]</f>
        <v>0</v>
      </c>
      <c r="S354" s="402">
        <f ca="1">Table66[[#This Row],[Year 1  (Proposed)]]+Table66[[#This Row],[Year 2 (Proposed)]]+Table66[[#This Row],[Year 3 (Proposed)]]+Table66[[#This Row],[Year 4 (Proposed)]]+Table66[[#This Row],[Year 5 (Proposed)]]+Table66[[#This Row],[Year 6 (Proposed)]]</f>
        <v>0</v>
      </c>
      <c r="T354" s="403" t="b">
        <f ca="1">Table66[[#This Row],[Total Specifed in RFO - N/A]]=Table66[[#This Row],[Total Proposed]]</f>
        <v>1</v>
      </c>
      <c r="U354" s="439"/>
      <c r="V354" s="441">
        <f ca="1">Table66[[#This Row],[Year 6 (Specified in RFO) - N/A]]-Table66[[#This Row],[Column1]]</f>
        <v>0</v>
      </c>
    </row>
    <row r="355" spans="1:22" ht="16.5" thickBot="1">
      <c r="A355" s="227"/>
      <c r="B355" s="319"/>
      <c r="C355" s="319"/>
      <c r="D355" s="320"/>
      <c r="E355" s="320"/>
      <c r="F355" s="190"/>
      <c r="G3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5" s="190"/>
      <c r="I3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5" s="190"/>
      <c r="K3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5" s="190"/>
      <c r="M3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5" s="190"/>
      <c r="O3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5" s="190"/>
      <c r="Q3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5" s="192">
        <f ca="1">Table66[[#This Row],[Year 1 (Specified in RFO) - N/A]]+Table66[[#This Row],[Year 2 (Specified in RFO) - N/A]]+Table66[[#This Row],[Year 3 (Specified in RFO) - N/A]]+Table66[[#This Row],[Year 4 (Specified in RFO) - N/A]]+Table66[[#This Row],[Year 5 (Specified in RFO) - N/A]]+Table66[[#This Row],[Year 6 (Specified in RFO) - N/A]]</f>
        <v>0</v>
      </c>
      <c r="S355" s="402">
        <f ca="1">Table66[[#This Row],[Year 1  (Proposed)]]+Table66[[#This Row],[Year 2 (Proposed)]]+Table66[[#This Row],[Year 3 (Proposed)]]+Table66[[#This Row],[Year 4 (Proposed)]]+Table66[[#This Row],[Year 5 (Proposed)]]+Table66[[#This Row],[Year 6 (Proposed)]]</f>
        <v>0</v>
      </c>
      <c r="T355" s="403" t="b">
        <f ca="1">Table66[[#This Row],[Total Specifed in RFO - N/A]]=Table66[[#This Row],[Total Proposed]]</f>
        <v>1</v>
      </c>
      <c r="U355" s="439"/>
      <c r="V355" s="441">
        <f ca="1">Table66[[#This Row],[Year 6 (Specified in RFO) - N/A]]-Table66[[#This Row],[Column1]]</f>
        <v>0</v>
      </c>
    </row>
    <row r="356" spans="1:22" ht="16.5" thickBot="1">
      <c r="A356" s="227"/>
      <c r="B356" s="319"/>
      <c r="C356" s="319"/>
      <c r="D356" s="320"/>
      <c r="E356" s="320"/>
      <c r="F356" s="190"/>
      <c r="G3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6" s="190"/>
      <c r="I3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6" s="190"/>
      <c r="K3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6" s="190"/>
      <c r="M3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6" s="190"/>
      <c r="O3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6" s="190"/>
      <c r="Q3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6" s="192">
        <f ca="1">Table66[[#This Row],[Year 1 (Specified in RFO) - N/A]]+Table66[[#This Row],[Year 2 (Specified in RFO) - N/A]]+Table66[[#This Row],[Year 3 (Specified in RFO) - N/A]]+Table66[[#This Row],[Year 4 (Specified in RFO) - N/A]]+Table66[[#This Row],[Year 5 (Specified in RFO) - N/A]]+Table66[[#This Row],[Year 6 (Specified in RFO) - N/A]]</f>
        <v>0</v>
      </c>
      <c r="S356" s="402">
        <f ca="1">Table66[[#This Row],[Year 1  (Proposed)]]+Table66[[#This Row],[Year 2 (Proposed)]]+Table66[[#This Row],[Year 3 (Proposed)]]+Table66[[#This Row],[Year 4 (Proposed)]]+Table66[[#This Row],[Year 5 (Proposed)]]+Table66[[#This Row],[Year 6 (Proposed)]]</f>
        <v>0</v>
      </c>
      <c r="T356" s="403" t="b">
        <f ca="1">Table66[[#This Row],[Total Specifed in RFO - N/A]]=Table66[[#This Row],[Total Proposed]]</f>
        <v>1</v>
      </c>
      <c r="U356" s="439"/>
      <c r="V356" s="441">
        <f ca="1">Table66[[#This Row],[Year 6 (Specified in RFO) - N/A]]-Table66[[#This Row],[Column1]]</f>
        <v>0</v>
      </c>
    </row>
    <row r="357" spans="1:22" ht="16.5" thickBot="1">
      <c r="A357" s="227"/>
      <c r="B357" s="319"/>
      <c r="C357" s="319"/>
      <c r="D357" s="320"/>
      <c r="E357" s="320"/>
      <c r="F357" s="190"/>
      <c r="G3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7" s="190"/>
      <c r="I3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7" s="190"/>
      <c r="K3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7" s="190"/>
      <c r="M3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7" s="190"/>
      <c r="O3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7" s="190"/>
      <c r="Q3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7" s="192">
        <f ca="1">Table66[[#This Row],[Year 1 (Specified in RFO) - N/A]]+Table66[[#This Row],[Year 2 (Specified in RFO) - N/A]]+Table66[[#This Row],[Year 3 (Specified in RFO) - N/A]]+Table66[[#This Row],[Year 4 (Specified in RFO) - N/A]]+Table66[[#This Row],[Year 5 (Specified in RFO) - N/A]]+Table66[[#This Row],[Year 6 (Specified in RFO) - N/A]]</f>
        <v>0</v>
      </c>
      <c r="S357" s="402">
        <f ca="1">Table66[[#This Row],[Year 1  (Proposed)]]+Table66[[#This Row],[Year 2 (Proposed)]]+Table66[[#This Row],[Year 3 (Proposed)]]+Table66[[#This Row],[Year 4 (Proposed)]]+Table66[[#This Row],[Year 5 (Proposed)]]+Table66[[#This Row],[Year 6 (Proposed)]]</f>
        <v>0</v>
      </c>
      <c r="T357" s="403" t="b">
        <f ca="1">Table66[[#This Row],[Total Specifed in RFO - N/A]]=Table66[[#This Row],[Total Proposed]]</f>
        <v>1</v>
      </c>
      <c r="U357" s="439"/>
      <c r="V357" s="441">
        <f ca="1">Table66[[#This Row],[Year 6 (Specified in RFO) - N/A]]-Table66[[#This Row],[Column1]]</f>
        <v>0</v>
      </c>
    </row>
    <row r="358" spans="1:22" ht="16.5" thickBot="1">
      <c r="A358" s="227"/>
      <c r="B358" s="319"/>
      <c r="C358" s="319"/>
      <c r="D358" s="320"/>
      <c r="E358" s="320"/>
      <c r="F358" s="190"/>
      <c r="G3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8" s="190"/>
      <c r="I3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8" s="190"/>
      <c r="K3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8" s="190"/>
      <c r="M3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8" s="190"/>
      <c r="O3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8" s="190"/>
      <c r="Q3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8" s="192">
        <f ca="1">Table66[[#This Row],[Year 1 (Specified in RFO) - N/A]]+Table66[[#This Row],[Year 2 (Specified in RFO) - N/A]]+Table66[[#This Row],[Year 3 (Specified in RFO) - N/A]]+Table66[[#This Row],[Year 4 (Specified in RFO) - N/A]]+Table66[[#This Row],[Year 5 (Specified in RFO) - N/A]]+Table66[[#This Row],[Year 6 (Specified in RFO) - N/A]]</f>
        <v>0</v>
      </c>
      <c r="S358" s="402">
        <f ca="1">Table66[[#This Row],[Year 1  (Proposed)]]+Table66[[#This Row],[Year 2 (Proposed)]]+Table66[[#This Row],[Year 3 (Proposed)]]+Table66[[#This Row],[Year 4 (Proposed)]]+Table66[[#This Row],[Year 5 (Proposed)]]+Table66[[#This Row],[Year 6 (Proposed)]]</f>
        <v>0</v>
      </c>
      <c r="T358" s="403" t="b">
        <f ca="1">Table66[[#This Row],[Total Specifed in RFO - N/A]]=Table66[[#This Row],[Total Proposed]]</f>
        <v>1</v>
      </c>
      <c r="U358" s="439"/>
      <c r="V358" s="441">
        <f ca="1">Table66[[#This Row],[Year 6 (Specified in RFO) - N/A]]-Table66[[#This Row],[Column1]]</f>
        <v>0</v>
      </c>
    </row>
    <row r="359" spans="1:22" ht="16.5" thickBot="1">
      <c r="A359" s="227"/>
      <c r="B359" s="319"/>
      <c r="C359" s="319"/>
      <c r="D359" s="320"/>
      <c r="E359" s="320"/>
      <c r="F359" s="190"/>
      <c r="G3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9" s="190"/>
      <c r="I3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9" s="190"/>
      <c r="K3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9" s="190"/>
      <c r="M3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9" s="190"/>
      <c r="O3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9" s="190"/>
      <c r="Q3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9" s="192">
        <f ca="1">Table66[[#This Row],[Year 1 (Specified in RFO) - N/A]]+Table66[[#This Row],[Year 2 (Specified in RFO) - N/A]]+Table66[[#This Row],[Year 3 (Specified in RFO) - N/A]]+Table66[[#This Row],[Year 4 (Specified in RFO) - N/A]]+Table66[[#This Row],[Year 5 (Specified in RFO) - N/A]]+Table66[[#This Row],[Year 6 (Specified in RFO) - N/A]]</f>
        <v>0</v>
      </c>
      <c r="S359" s="402">
        <f ca="1">Table66[[#This Row],[Year 1  (Proposed)]]+Table66[[#This Row],[Year 2 (Proposed)]]+Table66[[#This Row],[Year 3 (Proposed)]]+Table66[[#This Row],[Year 4 (Proposed)]]+Table66[[#This Row],[Year 5 (Proposed)]]+Table66[[#This Row],[Year 6 (Proposed)]]</f>
        <v>0</v>
      </c>
      <c r="T359" s="403" t="b">
        <f ca="1">Table66[[#This Row],[Total Specifed in RFO - N/A]]=Table66[[#This Row],[Total Proposed]]</f>
        <v>1</v>
      </c>
      <c r="U359" s="439"/>
      <c r="V359" s="441">
        <f ca="1">Table66[[#This Row],[Year 6 (Specified in RFO) - N/A]]-Table66[[#This Row],[Column1]]</f>
        <v>0</v>
      </c>
    </row>
    <row r="360" spans="1:22" ht="16.5" thickBot="1">
      <c r="A360" s="227"/>
      <c r="B360" s="319"/>
      <c r="C360" s="319"/>
      <c r="D360" s="320"/>
      <c r="E360" s="320"/>
      <c r="F360" s="190"/>
      <c r="G3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0" s="190"/>
      <c r="I3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0" s="190"/>
      <c r="K3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0" s="190"/>
      <c r="M3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0" s="190"/>
      <c r="O3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0" s="190"/>
      <c r="Q3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0" s="192">
        <f ca="1">Table66[[#This Row],[Year 1 (Specified in RFO) - N/A]]+Table66[[#This Row],[Year 2 (Specified in RFO) - N/A]]+Table66[[#This Row],[Year 3 (Specified in RFO) - N/A]]+Table66[[#This Row],[Year 4 (Specified in RFO) - N/A]]+Table66[[#This Row],[Year 5 (Specified in RFO) - N/A]]+Table66[[#This Row],[Year 6 (Specified in RFO) - N/A]]</f>
        <v>0</v>
      </c>
      <c r="S360" s="402">
        <f ca="1">Table66[[#This Row],[Year 1  (Proposed)]]+Table66[[#This Row],[Year 2 (Proposed)]]+Table66[[#This Row],[Year 3 (Proposed)]]+Table66[[#This Row],[Year 4 (Proposed)]]+Table66[[#This Row],[Year 5 (Proposed)]]+Table66[[#This Row],[Year 6 (Proposed)]]</f>
        <v>0</v>
      </c>
      <c r="T360" s="403" t="b">
        <f ca="1">Table66[[#This Row],[Total Specifed in RFO - N/A]]=Table66[[#This Row],[Total Proposed]]</f>
        <v>1</v>
      </c>
      <c r="U360" s="439"/>
      <c r="V360" s="441">
        <f ca="1">Table66[[#This Row],[Year 6 (Specified in RFO) - N/A]]-Table66[[#This Row],[Column1]]</f>
        <v>0</v>
      </c>
    </row>
    <row r="361" spans="1:22" ht="16.5" thickBot="1">
      <c r="A361" s="227"/>
      <c r="B361" s="319"/>
      <c r="C361" s="319"/>
      <c r="D361" s="320"/>
      <c r="E361" s="320"/>
      <c r="F361" s="190"/>
      <c r="G3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1" s="190"/>
      <c r="I3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1" s="190"/>
      <c r="K3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1" s="190"/>
      <c r="M3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1" s="190"/>
      <c r="O3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1" s="190"/>
      <c r="Q3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1" s="192">
        <f ca="1">Table66[[#This Row],[Year 1 (Specified in RFO) - N/A]]+Table66[[#This Row],[Year 2 (Specified in RFO) - N/A]]+Table66[[#This Row],[Year 3 (Specified in RFO) - N/A]]+Table66[[#This Row],[Year 4 (Specified in RFO) - N/A]]+Table66[[#This Row],[Year 5 (Specified in RFO) - N/A]]+Table66[[#This Row],[Year 6 (Specified in RFO) - N/A]]</f>
        <v>0</v>
      </c>
      <c r="S361" s="402">
        <f ca="1">Table66[[#This Row],[Year 1  (Proposed)]]+Table66[[#This Row],[Year 2 (Proposed)]]+Table66[[#This Row],[Year 3 (Proposed)]]+Table66[[#This Row],[Year 4 (Proposed)]]+Table66[[#This Row],[Year 5 (Proposed)]]+Table66[[#This Row],[Year 6 (Proposed)]]</f>
        <v>0</v>
      </c>
      <c r="T361" s="403" t="b">
        <f ca="1">Table66[[#This Row],[Total Specifed in RFO - N/A]]=Table66[[#This Row],[Total Proposed]]</f>
        <v>1</v>
      </c>
      <c r="U361" s="439"/>
      <c r="V361" s="441">
        <f ca="1">Table66[[#This Row],[Year 6 (Specified in RFO) - N/A]]-Table66[[#This Row],[Column1]]</f>
        <v>0</v>
      </c>
    </row>
    <row r="362" spans="1:22" ht="16.5" thickBot="1">
      <c r="A362" s="227"/>
      <c r="B362" s="319"/>
      <c r="C362" s="319"/>
      <c r="D362" s="320"/>
      <c r="E362" s="320"/>
      <c r="F362" s="190"/>
      <c r="G3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2" s="190"/>
      <c r="I3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2" s="190"/>
      <c r="K3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2" s="190"/>
      <c r="M3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2" s="190"/>
      <c r="O3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2" s="190"/>
      <c r="Q3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2" s="192">
        <f ca="1">Table66[[#This Row],[Year 1 (Specified in RFO) - N/A]]+Table66[[#This Row],[Year 2 (Specified in RFO) - N/A]]+Table66[[#This Row],[Year 3 (Specified in RFO) - N/A]]+Table66[[#This Row],[Year 4 (Specified in RFO) - N/A]]+Table66[[#This Row],[Year 5 (Specified in RFO) - N/A]]+Table66[[#This Row],[Year 6 (Specified in RFO) - N/A]]</f>
        <v>0</v>
      </c>
      <c r="S362" s="402">
        <f ca="1">Table66[[#This Row],[Year 1  (Proposed)]]+Table66[[#This Row],[Year 2 (Proposed)]]+Table66[[#This Row],[Year 3 (Proposed)]]+Table66[[#This Row],[Year 4 (Proposed)]]+Table66[[#This Row],[Year 5 (Proposed)]]+Table66[[#This Row],[Year 6 (Proposed)]]</f>
        <v>0</v>
      </c>
      <c r="T362" s="403" t="b">
        <f ca="1">Table66[[#This Row],[Total Specifed in RFO - N/A]]=Table66[[#This Row],[Total Proposed]]</f>
        <v>1</v>
      </c>
      <c r="U362" s="439"/>
      <c r="V362" s="441">
        <f ca="1">Table66[[#This Row],[Year 6 (Specified in RFO) - N/A]]-Table66[[#This Row],[Column1]]</f>
        <v>0</v>
      </c>
    </row>
    <row r="363" spans="1:22" ht="16.5" thickBot="1">
      <c r="A363" s="227"/>
      <c r="B363" s="319"/>
      <c r="C363" s="319"/>
      <c r="D363" s="320"/>
      <c r="E363" s="320"/>
      <c r="F363" s="190"/>
      <c r="G3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3" s="190"/>
      <c r="I3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3" s="190"/>
      <c r="K3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3" s="190"/>
      <c r="M3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3" s="190"/>
      <c r="O3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3" s="190"/>
      <c r="Q3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3" s="192">
        <f ca="1">Table66[[#This Row],[Year 1 (Specified in RFO) - N/A]]+Table66[[#This Row],[Year 2 (Specified in RFO) - N/A]]+Table66[[#This Row],[Year 3 (Specified in RFO) - N/A]]+Table66[[#This Row],[Year 4 (Specified in RFO) - N/A]]+Table66[[#This Row],[Year 5 (Specified in RFO) - N/A]]+Table66[[#This Row],[Year 6 (Specified in RFO) - N/A]]</f>
        <v>0</v>
      </c>
      <c r="S363" s="402">
        <f ca="1">Table66[[#This Row],[Year 1  (Proposed)]]+Table66[[#This Row],[Year 2 (Proposed)]]+Table66[[#This Row],[Year 3 (Proposed)]]+Table66[[#This Row],[Year 4 (Proposed)]]+Table66[[#This Row],[Year 5 (Proposed)]]+Table66[[#This Row],[Year 6 (Proposed)]]</f>
        <v>0</v>
      </c>
      <c r="T363" s="403" t="b">
        <f ca="1">Table66[[#This Row],[Total Specifed in RFO - N/A]]=Table66[[#This Row],[Total Proposed]]</f>
        <v>1</v>
      </c>
      <c r="U363" s="439"/>
      <c r="V363" s="441">
        <f ca="1">Table66[[#This Row],[Year 6 (Specified in RFO) - N/A]]-Table66[[#This Row],[Column1]]</f>
        <v>0</v>
      </c>
    </row>
    <row r="364" spans="1:22" ht="16.5" thickBot="1">
      <c r="A364" s="227"/>
      <c r="B364" s="319"/>
      <c r="C364" s="319"/>
      <c r="D364" s="320"/>
      <c r="E364" s="320"/>
      <c r="F364" s="190"/>
      <c r="G3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4" s="190"/>
      <c r="I3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4" s="190"/>
      <c r="K3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4" s="190"/>
      <c r="M3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4" s="190"/>
      <c r="O3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4" s="190"/>
      <c r="Q3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4" s="192">
        <f ca="1">Table66[[#This Row],[Year 1 (Specified in RFO) - N/A]]+Table66[[#This Row],[Year 2 (Specified in RFO) - N/A]]+Table66[[#This Row],[Year 3 (Specified in RFO) - N/A]]+Table66[[#This Row],[Year 4 (Specified in RFO) - N/A]]+Table66[[#This Row],[Year 5 (Specified in RFO) - N/A]]+Table66[[#This Row],[Year 6 (Specified in RFO) - N/A]]</f>
        <v>0</v>
      </c>
      <c r="S364" s="402">
        <f ca="1">Table66[[#This Row],[Year 1  (Proposed)]]+Table66[[#This Row],[Year 2 (Proposed)]]+Table66[[#This Row],[Year 3 (Proposed)]]+Table66[[#This Row],[Year 4 (Proposed)]]+Table66[[#This Row],[Year 5 (Proposed)]]+Table66[[#This Row],[Year 6 (Proposed)]]</f>
        <v>0</v>
      </c>
      <c r="T364" s="403" t="b">
        <f ca="1">Table66[[#This Row],[Total Specifed in RFO - N/A]]=Table66[[#This Row],[Total Proposed]]</f>
        <v>1</v>
      </c>
      <c r="U364" s="439"/>
      <c r="V364" s="441">
        <f ca="1">Table66[[#This Row],[Year 6 (Specified in RFO) - N/A]]-Table66[[#This Row],[Column1]]</f>
        <v>0</v>
      </c>
    </row>
    <row r="365" spans="1:22" ht="16.5" thickBot="1">
      <c r="A365" s="227"/>
      <c r="B365" s="319"/>
      <c r="C365" s="319"/>
      <c r="D365" s="320"/>
      <c r="E365" s="320"/>
      <c r="F365" s="190"/>
      <c r="G3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5" s="190"/>
      <c r="I3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5" s="190"/>
      <c r="K3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5" s="190"/>
      <c r="M3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5" s="190"/>
      <c r="O3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5" s="190"/>
      <c r="Q3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5" s="192">
        <f ca="1">Table66[[#This Row],[Year 1 (Specified in RFO) - N/A]]+Table66[[#This Row],[Year 2 (Specified in RFO) - N/A]]+Table66[[#This Row],[Year 3 (Specified in RFO) - N/A]]+Table66[[#This Row],[Year 4 (Specified in RFO) - N/A]]+Table66[[#This Row],[Year 5 (Specified in RFO) - N/A]]+Table66[[#This Row],[Year 6 (Specified in RFO) - N/A]]</f>
        <v>0</v>
      </c>
      <c r="S365" s="402">
        <f ca="1">Table66[[#This Row],[Year 1  (Proposed)]]+Table66[[#This Row],[Year 2 (Proposed)]]+Table66[[#This Row],[Year 3 (Proposed)]]+Table66[[#This Row],[Year 4 (Proposed)]]+Table66[[#This Row],[Year 5 (Proposed)]]+Table66[[#This Row],[Year 6 (Proposed)]]</f>
        <v>0</v>
      </c>
      <c r="T365" s="403" t="b">
        <f ca="1">Table66[[#This Row],[Total Specifed in RFO - N/A]]=Table66[[#This Row],[Total Proposed]]</f>
        <v>1</v>
      </c>
      <c r="U365" s="439"/>
      <c r="V365" s="441">
        <f ca="1">Table66[[#This Row],[Year 6 (Specified in RFO) - N/A]]-Table66[[#This Row],[Column1]]</f>
        <v>0</v>
      </c>
    </row>
    <row r="366" spans="1:22" ht="16.5" thickBot="1">
      <c r="A366" s="227"/>
      <c r="B366" s="319"/>
      <c r="C366" s="319"/>
      <c r="D366" s="320"/>
      <c r="E366" s="320"/>
      <c r="F366" s="190"/>
      <c r="G3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6" s="190"/>
      <c r="I3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6" s="190"/>
      <c r="K3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6" s="190"/>
      <c r="M3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6" s="190"/>
      <c r="O3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6" s="190"/>
      <c r="Q3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6" s="192">
        <f ca="1">Table66[[#This Row],[Year 1 (Specified in RFO) - N/A]]+Table66[[#This Row],[Year 2 (Specified in RFO) - N/A]]+Table66[[#This Row],[Year 3 (Specified in RFO) - N/A]]+Table66[[#This Row],[Year 4 (Specified in RFO) - N/A]]+Table66[[#This Row],[Year 5 (Specified in RFO) - N/A]]+Table66[[#This Row],[Year 6 (Specified in RFO) - N/A]]</f>
        <v>0</v>
      </c>
      <c r="S366" s="402">
        <f ca="1">Table66[[#This Row],[Year 1  (Proposed)]]+Table66[[#This Row],[Year 2 (Proposed)]]+Table66[[#This Row],[Year 3 (Proposed)]]+Table66[[#This Row],[Year 4 (Proposed)]]+Table66[[#This Row],[Year 5 (Proposed)]]+Table66[[#This Row],[Year 6 (Proposed)]]</f>
        <v>0</v>
      </c>
      <c r="T366" s="403" t="b">
        <f ca="1">Table66[[#This Row],[Total Specifed in RFO - N/A]]=Table66[[#This Row],[Total Proposed]]</f>
        <v>1</v>
      </c>
      <c r="U366" s="439"/>
      <c r="V366" s="441">
        <f ca="1">Table66[[#This Row],[Year 6 (Specified in RFO) - N/A]]-Table66[[#This Row],[Column1]]</f>
        <v>0</v>
      </c>
    </row>
    <row r="367" spans="1:22" ht="16.5" thickBot="1">
      <c r="A367" s="227"/>
      <c r="B367" s="319"/>
      <c r="C367" s="319"/>
      <c r="D367" s="320"/>
      <c r="E367" s="320"/>
      <c r="F367" s="190"/>
      <c r="G3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7" s="190"/>
      <c r="I3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7" s="190"/>
      <c r="K3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7" s="190"/>
      <c r="M3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7" s="190"/>
      <c r="O3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7" s="190"/>
      <c r="Q3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7" s="192">
        <f ca="1">Table66[[#This Row],[Year 1 (Specified in RFO) - N/A]]+Table66[[#This Row],[Year 2 (Specified in RFO) - N/A]]+Table66[[#This Row],[Year 3 (Specified in RFO) - N/A]]+Table66[[#This Row],[Year 4 (Specified in RFO) - N/A]]+Table66[[#This Row],[Year 5 (Specified in RFO) - N/A]]+Table66[[#This Row],[Year 6 (Specified in RFO) - N/A]]</f>
        <v>0</v>
      </c>
      <c r="S367" s="402">
        <f ca="1">Table66[[#This Row],[Year 1  (Proposed)]]+Table66[[#This Row],[Year 2 (Proposed)]]+Table66[[#This Row],[Year 3 (Proposed)]]+Table66[[#This Row],[Year 4 (Proposed)]]+Table66[[#This Row],[Year 5 (Proposed)]]+Table66[[#This Row],[Year 6 (Proposed)]]</f>
        <v>0</v>
      </c>
      <c r="T367" s="403" t="b">
        <f ca="1">Table66[[#This Row],[Total Specifed in RFO - N/A]]=Table66[[#This Row],[Total Proposed]]</f>
        <v>1</v>
      </c>
      <c r="U367" s="439"/>
      <c r="V367" s="441">
        <f ca="1">Table66[[#This Row],[Year 6 (Specified in RFO) - N/A]]-Table66[[#This Row],[Column1]]</f>
        <v>0</v>
      </c>
    </row>
    <row r="368" spans="1:22" ht="16.5" thickBot="1">
      <c r="A368" s="227"/>
      <c r="B368" s="319"/>
      <c r="C368" s="319"/>
      <c r="D368" s="320"/>
      <c r="E368" s="320"/>
      <c r="F368" s="190"/>
      <c r="G3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8" s="190"/>
      <c r="I3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8" s="190"/>
      <c r="K3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8" s="190"/>
      <c r="M3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8" s="190"/>
      <c r="O3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8" s="190"/>
      <c r="Q3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8" s="192">
        <f ca="1">Table66[[#This Row],[Year 1 (Specified in RFO) - N/A]]+Table66[[#This Row],[Year 2 (Specified in RFO) - N/A]]+Table66[[#This Row],[Year 3 (Specified in RFO) - N/A]]+Table66[[#This Row],[Year 4 (Specified in RFO) - N/A]]+Table66[[#This Row],[Year 5 (Specified in RFO) - N/A]]+Table66[[#This Row],[Year 6 (Specified in RFO) - N/A]]</f>
        <v>0</v>
      </c>
      <c r="S368" s="402">
        <f ca="1">Table66[[#This Row],[Year 1  (Proposed)]]+Table66[[#This Row],[Year 2 (Proposed)]]+Table66[[#This Row],[Year 3 (Proposed)]]+Table66[[#This Row],[Year 4 (Proposed)]]+Table66[[#This Row],[Year 5 (Proposed)]]+Table66[[#This Row],[Year 6 (Proposed)]]</f>
        <v>0</v>
      </c>
      <c r="T368" s="403" t="b">
        <f ca="1">Table66[[#This Row],[Total Specifed in RFO - N/A]]=Table66[[#This Row],[Total Proposed]]</f>
        <v>1</v>
      </c>
      <c r="U368" s="439"/>
      <c r="V368" s="441">
        <f ca="1">Table66[[#This Row],[Year 6 (Specified in RFO) - N/A]]-Table66[[#This Row],[Column1]]</f>
        <v>0</v>
      </c>
    </row>
    <row r="369" spans="1:22" ht="16.5" thickBot="1">
      <c r="A369" s="227"/>
      <c r="B369" s="319"/>
      <c r="C369" s="319"/>
      <c r="D369" s="320"/>
      <c r="E369" s="320"/>
      <c r="F369" s="190"/>
      <c r="G3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9" s="190"/>
      <c r="I3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9" s="190"/>
      <c r="K3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9" s="190"/>
      <c r="M3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9" s="190"/>
      <c r="O3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9" s="190"/>
      <c r="Q3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9" s="192">
        <f ca="1">Table66[[#This Row],[Year 1 (Specified in RFO) - N/A]]+Table66[[#This Row],[Year 2 (Specified in RFO) - N/A]]+Table66[[#This Row],[Year 3 (Specified in RFO) - N/A]]+Table66[[#This Row],[Year 4 (Specified in RFO) - N/A]]+Table66[[#This Row],[Year 5 (Specified in RFO) - N/A]]+Table66[[#This Row],[Year 6 (Specified in RFO) - N/A]]</f>
        <v>0</v>
      </c>
      <c r="S369" s="402">
        <f ca="1">Table66[[#This Row],[Year 1  (Proposed)]]+Table66[[#This Row],[Year 2 (Proposed)]]+Table66[[#This Row],[Year 3 (Proposed)]]+Table66[[#This Row],[Year 4 (Proposed)]]+Table66[[#This Row],[Year 5 (Proposed)]]+Table66[[#This Row],[Year 6 (Proposed)]]</f>
        <v>0</v>
      </c>
      <c r="T369" s="403" t="b">
        <f ca="1">Table66[[#This Row],[Total Specifed in RFO - N/A]]=Table66[[#This Row],[Total Proposed]]</f>
        <v>1</v>
      </c>
      <c r="U369" s="439"/>
      <c r="V369" s="441">
        <f ca="1">Table66[[#This Row],[Year 6 (Specified in RFO) - N/A]]-Table66[[#This Row],[Column1]]</f>
        <v>0</v>
      </c>
    </row>
    <row r="370" spans="1:22" ht="16.5" thickBot="1">
      <c r="A370" s="227"/>
      <c r="B370" s="319"/>
      <c r="C370" s="319"/>
      <c r="D370" s="320"/>
      <c r="E370" s="320"/>
      <c r="F370" s="190"/>
      <c r="G3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0" s="190"/>
      <c r="I3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0" s="190"/>
      <c r="K3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0" s="190"/>
      <c r="M3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0" s="190"/>
      <c r="O3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0" s="190"/>
      <c r="Q3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0" s="192">
        <f ca="1">Table66[[#This Row],[Year 1 (Specified in RFO) - N/A]]+Table66[[#This Row],[Year 2 (Specified in RFO) - N/A]]+Table66[[#This Row],[Year 3 (Specified in RFO) - N/A]]+Table66[[#This Row],[Year 4 (Specified in RFO) - N/A]]+Table66[[#This Row],[Year 5 (Specified in RFO) - N/A]]+Table66[[#This Row],[Year 6 (Specified in RFO) - N/A]]</f>
        <v>0</v>
      </c>
      <c r="S370" s="402">
        <f ca="1">Table66[[#This Row],[Year 1  (Proposed)]]+Table66[[#This Row],[Year 2 (Proposed)]]+Table66[[#This Row],[Year 3 (Proposed)]]+Table66[[#This Row],[Year 4 (Proposed)]]+Table66[[#This Row],[Year 5 (Proposed)]]+Table66[[#This Row],[Year 6 (Proposed)]]</f>
        <v>0</v>
      </c>
      <c r="T370" s="403" t="b">
        <f ca="1">Table66[[#This Row],[Total Specifed in RFO - N/A]]=Table66[[#This Row],[Total Proposed]]</f>
        <v>1</v>
      </c>
      <c r="U370" s="439"/>
      <c r="V370" s="441">
        <f ca="1">Table66[[#This Row],[Year 6 (Specified in RFO) - N/A]]-Table66[[#This Row],[Column1]]</f>
        <v>0</v>
      </c>
    </row>
    <row r="371" spans="1:22" ht="16.5" thickBot="1">
      <c r="A371" s="227"/>
      <c r="B371" s="319"/>
      <c r="C371" s="319"/>
      <c r="D371" s="320"/>
      <c r="E371" s="320"/>
      <c r="F371" s="190"/>
      <c r="G3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1" s="190"/>
      <c r="I3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1" s="190"/>
      <c r="K3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1" s="190"/>
      <c r="M3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1" s="190"/>
      <c r="O3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1" s="190"/>
      <c r="Q3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1" s="192">
        <f ca="1">Table66[[#This Row],[Year 1 (Specified in RFO) - N/A]]+Table66[[#This Row],[Year 2 (Specified in RFO) - N/A]]+Table66[[#This Row],[Year 3 (Specified in RFO) - N/A]]+Table66[[#This Row],[Year 4 (Specified in RFO) - N/A]]+Table66[[#This Row],[Year 5 (Specified in RFO) - N/A]]+Table66[[#This Row],[Year 6 (Specified in RFO) - N/A]]</f>
        <v>0</v>
      </c>
      <c r="S371" s="402">
        <f ca="1">Table66[[#This Row],[Year 1  (Proposed)]]+Table66[[#This Row],[Year 2 (Proposed)]]+Table66[[#This Row],[Year 3 (Proposed)]]+Table66[[#This Row],[Year 4 (Proposed)]]+Table66[[#This Row],[Year 5 (Proposed)]]+Table66[[#This Row],[Year 6 (Proposed)]]</f>
        <v>0</v>
      </c>
      <c r="T371" s="403" t="b">
        <f ca="1">Table66[[#This Row],[Total Specifed in RFO - N/A]]=Table66[[#This Row],[Total Proposed]]</f>
        <v>1</v>
      </c>
      <c r="U371" s="439"/>
      <c r="V371" s="441">
        <f ca="1">Table66[[#This Row],[Year 6 (Specified in RFO) - N/A]]-Table66[[#This Row],[Column1]]</f>
        <v>0</v>
      </c>
    </row>
    <row r="372" spans="1:22" ht="16.5" thickBot="1">
      <c r="A372" s="227"/>
      <c r="B372" s="319"/>
      <c r="C372" s="319"/>
      <c r="D372" s="320"/>
      <c r="E372" s="320"/>
      <c r="F372" s="190"/>
      <c r="G3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2" s="190"/>
      <c r="I3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2" s="190"/>
      <c r="K3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2" s="190"/>
      <c r="M3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2" s="190"/>
      <c r="O3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2" s="190"/>
      <c r="Q3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2" s="192">
        <f ca="1">Table66[[#This Row],[Year 1 (Specified in RFO) - N/A]]+Table66[[#This Row],[Year 2 (Specified in RFO) - N/A]]+Table66[[#This Row],[Year 3 (Specified in RFO) - N/A]]+Table66[[#This Row],[Year 4 (Specified in RFO) - N/A]]+Table66[[#This Row],[Year 5 (Specified in RFO) - N/A]]+Table66[[#This Row],[Year 6 (Specified in RFO) - N/A]]</f>
        <v>0</v>
      </c>
      <c r="S372" s="402">
        <f ca="1">Table66[[#This Row],[Year 1  (Proposed)]]+Table66[[#This Row],[Year 2 (Proposed)]]+Table66[[#This Row],[Year 3 (Proposed)]]+Table66[[#This Row],[Year 4 (Proposed)]]+Table66[[#This Row],[Year 5 (Proposed)]]+Table66[[#This Row],[Year 6 (Proposed)]]</f>
        <v>0</v>
      </c>
      <c r="T372" s="403" t="b">
        <f ca="1">Table66[[#This Row],[Total Specifed in RFO - N/A]]=Table66[[#This Row],[Total Proposed]]</f>
        <v>1</v>
      </c>
      <c r="U372" s="439"/>
      <c r="V372" s="441">
        <f ca="1">Table66[[#This Row],[Year 6 (Specified in RFO) - N/A]]-Table66[[#This Row],[Column1]]</f>
        <v>0</v>
      </c>
    </row>
    <row r="373" spans="1:22" ht="16.5" thickBot="1">
      <c r="A373" s="227"/>
      <c r="B373" s="319"/>
      <c r="C373" s="319"/>
      <c r="D373" s="320"/>
      <c r="E373" s="320"/>
      <c r="F373" s="190"/>
      <c r="G3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3" s="190"/>
      <c r="I3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3" s="190"/>
      <c r="K3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3" s="190"/>
      <c r="M3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3" s="190"/>
      <c r="O3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3" s="190"/>
      <c r="Q3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3" s="192">
        <f ca="1">Table66[[#This Row],[Year 1 (Specified in RFO) - N/A]]+Table66[[#This Row],[Year 2 (Specified in RFO) - N/A]]+Table66[[#This Row],[Year 3 (Specified in RFO) - N/A]]+Table66[[#This Row],[Year 4 (Specified in RFO) - N/A]]+Table66[[#This Row],[Year 5 (Specified in RFO) - N/A]]+Table66[[#This Row],[Year 6 (Specified in RFO) - N/A]]</f>
        <v>0</v>
      </c>
      <c r="S373" s="402">
        <f ca="1">Table66[[#This Row],[Year 1  (Proposed)]]+Table66[[#This Row],[Year 2 (Proposed)]]+Table66[[#This Row],[Year 3 (Proposed)]]+Table66[[#This Row],[Year 4 (Proposed)]]+Table66[[#This Row],[Year 5 (Proposed)]]+Table66[[#This Row],[Year 6 (Proposed)]]</f>
        <v>0</v>
      </c>
      <c r="T373" s="403" t="b">
        <f ca="1">Table66[[#This Row],[Total Specifed in RFO - N/A]]=Table66[[#This Row],[Total Proposed]]</f>
        <v>1</v>
      </c>
      <c r="U373" s="439"/>
      <c r="V373" s="441">
        <f ca="1">Table66[[#This Row],[Year 6 (Specified in RFO) - N/A]]-Table66[[#This Row],[Column1]]</f>
        <v>0</v>
      </c>
    </row>
    <row r="374" spans="1:22" ht="16.5" thickBot="1">
      <c r="A374" s="227"/>
      <c r="B374" s="319"/>
      <c r="C374" s="319"/>
      <c r="D374" s="320"/>
      <c r="E374" s="320"/>
      <c r="F374" s="190"/>
      <c r="G3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4" s="190"/>
      <c r="I3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4" s="190"/>
      <c r="K3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4" s="190"/>
      <c r="M3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4" s="190"/>
      <c r="O3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4" s="190"/>
      <c r="Q3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4" s="192">
        <f ca="1">Table66[[#This Row],[Year 1 (Specified in RFO) - N/A]]+Table66[[#This Row],[Year 2 (Specified in RFO) - N/A]]+Table66[[#This Row],[Year 3 (Specified in RFO) - N/A]]+Table66[[#This Row],[Year 4 (Specified in RFO) - N/A]]+Table66[[#This Row],[Year 5 (Specified in RFO) - N/A]]+Table66[[#This Row],[Year 6 (Specified in RFO) - N/A]]</f>
        <v>0</v>
      </c>
      <c r="S374" s="402">
        <f ca="1">Table66[[#This Row],[Year 1  (Proposed)]]+Table66[[#This Row],[Year 2 (Proposed)]]+Table66[[#This Row],[Year 3 (Proposed)]]+Table66[[#This Row],[Year 4 (Proposed)]]+Table66[[#This Row],[Year 5 (Proposed)]]+Table66[[#This Row],[Year 6 (Proposed)]]</f>
        <v>0</v>
      </c>
      <c r="T374" s="403" t="b">
        <f ca="1">Table66[[#This Row],[Total Specifed in RFO - N/A]]=Table66[[#This Row],[Total Proposed]]</f>
        <v>1</v>
      </c>
      <c r="U374" s="439"/>
      <c r="V374" s="441">
        <f ca="1">Table66[[#This Row],[Year 6 (Specified in RFO) - N/A]]-Table66[[#This Row],[Column1]]</f>
        <v>0</v>
      </c>
    </row>
    <row r="375" spans="1:22" ht="16.5" thickBot="1">
      <c r="A375" s="227"/>
      <c r="B375" s="319"/>
      <c r="C375" s="319"/>
      <c r="D375" s="320"/>
      <c r="E375" s="320"/>
      <c r="F375" s="190"/>
      <c r="G3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5" s="190"/>
      <c r="I3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5" s="190"/>
      <c r="K3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5" s="190"/>
      <c r="M3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5" s="190"/>
      <c r="O3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5" s="190"/>
      <c r="Q3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5" s="192">
        <f ca="1">Table66[[#This Row],[Year 1 (Specified in RFO) - N/A]]+Table66[[#This Row],[Year 2 (Specified in RFO) - N/A]]+Table66[[#This Row],[Year 3 (Specified in RFO) - N/A]]+Table66[[#This Row],[Year 4 (Specified in RFO) - N/A]]+Table66[[#This Row],[Year 5 (Specified in RFO) - N/A]]+Table66[[#This Row],[Year 6 (Specified in RFO) - N/A]]</f>
        <v>0</v>
      </c>
      <c r="S375" s="402">
        <f ca="1">Table66[[#This Row],[Year 1  (Proposed)]]+Table66[[#This Row],[Year 2 (Proposed)]]+Table66[[#This Row],[Year 3 (Proposed)]]+Table66[[#This Row],[Year 4 (Proposed)]]+Table66[[#This Row],[Year 5 (Proposed)]]+Table66[[#This Row],[Year 6 (Proposed)]]</f>
        <v>0</v>
      </c>
      <c r="T375" s="403" t="b">
        <f ca="1">Table66[[#This Row],[Total Specifed in RFO - N/A]]=Table66[[#This Row],[Total Proposed]]</f>
        <v>1</v>
      </c>
      <c r="U375" s="439"/>
      <c r="V375" s="441">
        <f ca="1">Table66[[#This Row],[Year 6 (Specified in RFO) - N/A]]-Table66[[#This Row],[Column1]]</f>
        <v>0</v>
      </c>
    </row>
    <row r="376" spans="1:22" ht="16.5" thickBot="1">
      <c r="A376" s="227"/>
      <c r="B376" s="319"/>
      <c r="C376" s="319"/>
      <c r="D376" s="320"/>
      <c r="E376" s="320"/>
      <c r="F376" s="190"/>
      <c r="G3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6" s="190"/>
      <c r="I3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6" s="190"/>
      <c r="K3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6" s="190"/>
      <c r="M3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6" s="190"/>
      <c r="O3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6" s="190"/>
      <c r="Q3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6" s="192">
        <f ca="1">Table66[[#This Row],[Year 1 (Specified in RFO) - N/A]]+Table66[[#This Row],[Year 2 (Specified in RFO) - N/A]]+Table66[[#This Row],[Year 3 (Specified in RFO) - N/A]]+Table66[[#This Row],[Year 4 (Specified in RFO) - N/A]]+Table66[[#This Row],[Year 5 (Specified in RFO) - N/A]]+Table66[[#This Row],[Year 6 (Specified in RFO) - N/A]]</f>
        <v>0</v>
      </c>
      <c r="S376" s="402">
        <f ca="1">Table66[[#This Row],[Year 1  (Proposed)]]+Table66[[#This Row],[Year 2 (Proposed)]]+Table66[[#This Row],[Year 3 (Proposed)]]+Table66[[#This Row],[Year 4 (Proposed)]]+Table66[[#This Row],[Year 5 (Proposed)]]+Table66[[#This Row],[Year 6 (Proposed)]]</f>
        <v>0</v>
      </c>
      <c r="T376" s="403" t="b">
        <f ca="1">Table66[[#This Row],[Total Specifed in RFO - N/A]]=Table66[[#This Row],[Total Proposed]]</f>
        <v>1</v>
      </c>
      <c r="U376" s="439"/>
      <c r="V376" s="441">
        <f ca="1">Table66[[#This Row],[Year 6 (Specified in RFO) - N/A]]-Table66[[#This Row],[Column1]]</f>
        <v>0</v>
      </c>
    </row>
    <row r="377" spans="1:22" ht="16.5" thickBot="1">
      <c r="A377" s="227"/>
      <c r="B377" s="319"/>
      <c r="C377" s="319"/>
      <c r="D377" s="320"/>
      <c r="E377" s="320"/>
      <c r="F377" s="190"/>
      <c r="G3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7" s="190"/>
      <c r="I3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7" s="190"/>
      <c r="K3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7" s="190"/>
      <c r="M3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7" s="190"/>
      <c r="O3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7" s="190"/>
      <c r="Q3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7" s="192">
        <f ca="1">Table66[[#This Row],[Year 1 (Specified in RFO) - N/A]]+Table66[[#This Row],[Year 2 (Specified in RFO) - N/A]]+Table66[[#This Row],[Year 3 (Specified in RFO) - N/A]]+Table66[[#This Row],[Year 4 (Specified in RFO) - N/A]]+Table66[[#This Row],[Year 5 (Specified in RFO) - N/A]]+Table66[[#This Row],[Year 6 (Specified in RFO) - N/A]]</f>
        <v>0</v>
      </c>
      <c r="S377" s="402">
        <f ca="1">Table66[[#This Row],[Year 1  (Proposed)]]+Table66[[#This Row],[Year 2 (Proposed)]]+Table66[[#This Row],[Year 3 (Proposed)]]+Table66[[#This Row],[Year 4 (Proposed)]]+Table66[[#This Row],[Year 5 (Proposed)]]+Table66[[#This Row],[Year 6 (Proposed)]]</f>
        <v>0</v>
      </c>
      <c r="T377" s="403" t="b">
        <f ca="1">Table66[[#This Row],[Total Specifed in RFO - N/A]]=Table66[[#This Row],[Total Proposed]]</f>
        <v>1</v>
      </c>
      <c r="U377" s="439"/>
      <c r="V377" s="441">
        <f ca="1">Table66[[#This Row],[Year 6 (Specified in RFO) - N/A]]-Table66[[#This Row],[Column1]]</f>
        <v>0</v>
      </c>
    </row>
    <row r="378" spans="1:22" ht="16.5" thickBot="1">
      <c r="A378" s="227"/>
      <c r="B378" s="319"/>
      <c r="C378" s="319"/>
      <c r="D378" s="320"/>
      <c r="E378" s="320"/>
      <c r="F378" s="190"/>
      <c r="G3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8" s="190"/>
      <c r="I3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8" s="190"/>
      <c r="K3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8" s="190"/>
      <c r="M3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8" s="190"/>
      <c r="O3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8" s="190"/>
      <c r="Q3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8" s="192">
        <f ca="1">Table66[[#This Row],[Year 1 (Specified in RFO) - N/A]]+Table66[[#This Row],[Year 2 (Specified in RFO) - N/A]]+Table66[[#This Row],[Year 3 (Specified in RFO) - N/A]]+Table66[[#This Row],[Year 4 (Specified in RFO) - N/A]]+Table66[[#This Row],[Year 5 (Specified in RFO) - N/A]]+Table66[[#This Row],[Year 6 (Specified in RFO) - N/A]]</f>
        <v>0</v>
      </c>
      <c r="S378" s="402">
        <f ca="1">Table66[[#This Row],[Year 1  (Proposed)]]+Table66[[#This Row],[Year 2 (Proposed)]]+Table66[[#This Row],[Year 3 (Proposed)]]+Table66[[#This Row],[Year 4 (Proposed)]]+Table66[[#This Row],[Year 5 (Proposed)]]+Table66[[#This Row],[Year 6 (Proposed)]]</f>
        <v>0</v>
      </c>
      <c r="T378" s="403" t="b">
        <f ca="1">Table66[[#This Row],[Total Specifed in RFO - N/A]]=Table66[[#This Row],[Total Proposed]]</f>
        <v>1</v>
      </c>
      <c r="U378" s="439"/>
      <c r="V378" s="441">
        <f ca="1">Table66[[#This Row],[Year 6 (Specified in RFO) - N/A]]-Table66[[#This Row],[Column1]]</f>
        <v>0</v>
      </c>
    </row>
    <row r="379" spans="1:22" ht="16.5" thickBot="1">
      <c r="A379" s="227"/>
      <c r="B379" s="319"/>
      <c r="C379" s="319"/>
      <c r="D379" s="320"/>
      <c r="E379" s="320"/>
      <c r="F379" s="190"/>
      <c r="G3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9" s="190"/>
      <c r="I3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9" s="190"/>
      <c r="K3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9" s="190"/>
      <c r="M3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9" s="190"/>
      <c r="O3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9" s="190"/>
      <c r="Q3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9" s="192">
        <f ca="1">Table66[[#This Row],[Year 1 (Specified in RFO) - N/A]]+Table66[[#This Row],[Year 2 (Specified in RFO) - N/A]]+Table66[[#This Row],[Year 3 (Specified in RFO) - N/A]]+Table66[[#This Row],[Year 4 (Specified in RFO) - N/A]]+Table66[[#This Row],[Year 5 (Specified in RFO) - N/A]]+Table66[[#This Row],[Year 6 (Specified in RFO) - N/A]]</f>
        <v>0</v>
      </c>
      <c r="S379" s="402">
        <f ca="1">Table66[[#This Row],[Year 1  (Proposed)]]+Table66[[#This Row],[Year 2 (Proposed)]]+Table66[[#This Row],[Year 3 (Proposed)]]+Table66[[#This Row],[Year 4 (Proposed)]]+Table66[[#This Row],[Year 5 (Proposed)]]+Table66[[#This Row],[Year 6 (Proposed)]]</f>
        <v>0</v>
      </c>
      <c r="T379" s="403" t="b">
        <f ca="1">Table66[[#This Row],[Total Specifed in RFO - N/A]]=Table66[[#This Row],[Total Proposed]]</f>
        <v>1</v>
      </c>
      <c r="U379" s="439"/>
      <c r="V379" s="441">
        <f ca="1">Table66[[#This Row],[Year 6 (Specified in RFO) - N/A]]-Table66[[#This Row],[Column1]]</f>
        <v>0</v>
      </c>
    </row>
    <row r="380" spans="1:22" ht="16.5" thickBot="1">
      <c r="A380" s="227"/>
      <c r="B380" s="319"/>
      <c r="C380" s="319"/>
      <c r="D380" s="320"/>
      <c r="E380" s="320"/>
      <c r="F380" s="190"/>
      <c r="G3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0" s="190"/>
      <c r="I3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0" s="190"/>
      <c r="K3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0" s="190"/>
      <c r="M3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0" s="190"/>
      <c r="O3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0" s="190"/>
      <c r="Q3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0" s="192">
        <f ca="1">Table66[[#This Row],[Year 1 (Specified in RFO) - N/A]]+Table66[[#This Row],[Year 2 (Specified in RFO) - N/A]]+Table66[[#This Row],[Year 3 (Specified in RFO) - N/A]]+Table66[[#This Row],[Year 4 (Specified in RFO) - N/A]]+Table66[[#This Row],[Year 5 (Specified in RFO) - N/A]]+Table66[[#This Row],[Year 6 (Specified in RFO) - N/A]]</f>
        <v>0</v>
      </c>
      <c r="S380" s="402">
        <f ca="1">Table66[[#This Row],[Year 1  (Proposed)]]+Table66[[#This Row],[Year 2 (Proposed)]]+Table66[[#This Row],[Year 3 (Proposed)]]+Table66[[#This Row],[Year 4 (Proposed)]]+Table66[[#This Row],[Year 5 (Proposed)]]+Table66[[#This Row],[Year 6 (Proposed)]]</f>
        <v>0</v>
      </c>
      <c r="T380" s="403" t="b">
        <f ca="1">Table66[[#This Row],[Total Specifed in RFO - N/A]]=Table66[[#This Row],[Total Proposed]]</f>
        <v>1</v>
      </c>
      <c r="U380" s="439"/>
      <c r="V380" s="441">
        <f ca="1">Table66[[#This Row],[Year 6 (Specified in RFO) - N/A]]-Table66[[#This Row],[Column1]]</f>
        <v>0</v>
      </c>
    </row>
    <row r="381" spans="1:22" ht="16.5" thickBot="1">
      <c r="A381" s="227"/>
      <c r="B381" s="319"/>
      <c r="C381" s="319"/>
      <c r="D381" s="320"/>
      <c r="E381" s="320"/>
      <c r="F381" s="190"/>
      <c r="G3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1" s="190"/>
      <c r="I3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1" s="190"/>
      <c r="K3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1" s="190"/>
      <c r="M3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1" s="190"/>
      <c r="O3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1" s="190"/>
      <c r="Q3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1" s="192">
        <f ca="1">Table66[[#This Row],[Year 1 (Specified in RFO) - N/A]]+Table66[[#This Row],[Year 2 (Specified in RFO) - N/A]]+Table66[[#This Row],[Year 3 (Specified in RFO) - N/A]]+Table66[[#This Row],[Year 4 (Specified in RFO) - N/A]]+Table66[[#This Row],[Year 5 (Specified in RFO) - N/A]]+Table66[[#This Row],[Year 6 (Specified in RFO) - N/A]]</f>
        <v>0</v>
      </c>
      <c r="S381" s="402">
        <f ca="1">Table66[[#This Row],[Year 1  (Proposed)]]+Table66[[#This Row],[Year 2 (Proposed)]]+Table66[[#This Row],[Year 3 (Proposed)]]+Table66[[#This Row],[Year 4 (Proposed)]]+Table66[[#This Row],[Year 5 (Proposed)]]+Table66[[#This Row],[Year 6 (Proposed)]]</f>
        <v>0</v>
      </c>
      <c r="T381" s="403" t="b">
        <f ca="1">Table66[[#This Row],[Total Specifed in RFO - N/A]]=Table66[[#This Row],[Total Proposed]]</f>
        <v>1</v>
      </c>
      <c r="U381" s="439"/>
      <c r="V381" s="441">
        <f ca="1">Table66[[#This Row],[Year 6 (Specified in RFO) - N/A]]-Table66[[#This Row],[Column1]]</f>
        <v>0</v>
      </c>
    </row>
    <row r="382" spans="1:22" ht="16.5" thickBot="1">
      <c r="A382" s="227"/>
      <c r="B382" s="319"/>
      <c r="C382" s="319"/>
      <c r="D382" s="320"/>
      <c r="E382" s="320"/>
      <c r="F382" s="190"/>
      <c r="G3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2" s="190"/>
      <c r="I3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2" s="190"/>
      <c r="K3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2" s="190"/>
      <c r="M3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2" s="190"/>
      <c r="O3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2" s="190"/>
      <c r="Q3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2" s="192">
        <f ca="1">Table66[[#This Row],[Year 1 (Specified in RFO) - N/A]]+Table66[[#This Row],[Year 2 (Specified in RFO) - N/A]]+Table66[[#This Row],[Year 3 (Specified in RFO) - N/A]]+Table66[[#This Row],[Year 4 (Specified in RFO) - N/A]]+Table66[[#This Row],[Year 5 (Specified in RFO) - N/A]]+Table66[[#This Row],[Year 6 (Specified in RFO) - N/A]]</f>
        <v>0</v>
      </c>
      <c r="S382" s="402">
        <f ca="1">Table66[[#This Row],[Year 1  (Proposed)]]+Table66[[#This Row],[Year 2 (Proposed)]]+Table66[[#This Row],[Year 3 (Proposed)]]+Table66[[#This Row],[Year 4 (Proposed)]]+Table66[[#This Row],[Year 5 (Proposed)]]+Table66[[#This Row],[Year 6 (Proposed)]]</f>
        <v>0</v>
      </c>
      <c r="T382" s="403" t="b">
        <f ca="1">Table66[[#This Row],[Total Specifed in RFO - N/A]]=Table66[[#This Row],[Total Proposed]]</f>
        <v>1</v>
      </c>
      <c r="U382" s="439"/>
      <c r="V382" s="441">
        <f ca="1">Table66[[#This Row],[Year 6 (Specified in RFO) - N/A]]-Table66[[#This Row],[Column1]]</f>
        <v>0</v>
      </c>
    </row>
    <row r="383" spans="1:22" ht="16.5" thickBot="1">
      <c r="A383" s="227"/>
      <c r="B383" s="319"/>
      <c r="C383" s="319"/>
      <c r="D383" s="320"/>
      <c r="E383" s="320"/>
      <c r="F383" s="190"/>
      <c r="G3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3" s="190"/>
      <c r="I3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3" s="190"/>
      <c r="K3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3" s="190"/>
      <c r="M3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3" s="190"/>
      <c r="O3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3" s="190"/>
      <c r="Q3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3" s="192">
        <f ca="1">Table66[[#This Row],[Year 1 (Specified in RFO) - N/A]]+Table66[[#This Row],[Year 2 (Specified in RFO) - N/A]]+Table66[[#This Row],[Year 3 (Specified in RFO) - N/A]]+Table66[[#This Row],[Year 4 (Specified in RFO) - N/A]]+Table66[[#This Row],[Year 5 (Specified in RFO) - N/A]]+Table66[[#This Row],[Year 6 (Specified in RFO) - N/A]]</f>
        <v>0</v>
      </c>
      <c r="S383" s="402">
        <f ca="1">Table66[[#This Row],[Year 1  (Proposed)]]+Table66[[#This Row],[Year 2 (Proposed)]]+Table66[[#This Row],[Year 3 (Proposed)]]+Table66[[#This Row],[Year 4 (Proposed)]]+Table66[[#This Row],[Year 5 (Proposed)]]+Table66[[#This Row],[Year 6 (Proposed)]]</f>
        <v>0</v>
      </c>
      <c r="T383" s="403" t="b">
        <f ca="1">Table66[[#This Row],[Total Specifed in RFO - N/A]]=Table66[[#This Row],[Total Proposed]]</f>
        <v>1</v>
      </c>
      <c r="U383" s="439"/>
      <c r="V383" s="441">
        <f ca="1">Table66[[#This Row],[Year 6 (Specified in RFO) - N/A]]-Table66[[#This Row],[Column1]]</f>
        <v>0</v>
      </c>
    </row>
    <row r="384" spans="1:22" ht="16.5" thickBot="1">
      <c r="A384" s="227"/>
      <c r="B384" s="319"/>
      <c r="C384" s="319"/>
      <c r="D384" s="320"/>
      <c r="E384" s="320"/>
      <c r="F384" s="190"/>
      <c r="G3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4" s="190"/>
      <c r="I3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4" s="190"/>
      <c r="K3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4" s="190"/>
      <c r="M3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4" s="190"/>
      <c r="O3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4" s="190"/>
      <c r="Q3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4" s="192">
        <f ca="1">Table66[[#This Row],[Year 1 (Specified in RFO) - N/A]]+Table66[[#This Row],[Year 2 (Specified in RFO) - N/A]]+Table66[[#This Row],[Year 3 (Specified in RFO) - N/A]]+Table66[[#This Row],[Year 4 (Specified in RFO) - N/A]]+Table66[[#This Row],[Year 5 (Specified in RFO) - N/A]]+Table66[[#This Row],[Year 6 (Specified in RFO) - N/A]]</f>
        <v>0</v>
      </c>
      <c r="S384" s="402">
        <f ca="1">Table66[[#This Row],[Year 1  (Proposed)]]+Table66[[#This Row],[Year 2 (Proposed)]]+Table66[[#This Row],[Year 3 (Proposed)]]+Table66[[#This Row],[Year 4 (Proposed)]]+Table66[[#This Row],[Year 5 (Proposed)]]+Table66[[#This Row],[Year 6 (Proposed)]]</f>
        <v>0</v>
      </c>
      <c r="T384" s="403" t="b">
        <f ca="1">Table66[[#This Row],[Total Specifed in RFO - N/A]]=Table66[[#This Row],[Total Proposed]]</f>
        <v>1</v>
      </c>
      <c r="U384" s="439"/>
      <c r="V384" s="441">
        <f ca="1">Table66[[#This Row],[Year 6 (Specified in RFO) - N/A]]-Table66[[#This Row],[Column1]]</f>
        <v>0</v>
      </c>
    </row>
    <row r="385" spans="1:22" ht="16.5" thickBot="1">
      <c r="A385" s="227"/>
      <c r="B385" s="319"/>
      <c r="C385" s="319"/>
      <c r="D385" s="320"/>
      <c r="E385" s="320"/>
      <c r="F385" s="190"/>
      <c r="G3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5" s="190"/>
      <c r="I3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5" s="190"/>
      <c r="K3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5" s="190"/>
      <c r="M3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5" s="190"/>
      <c r="O3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5" s="190"/>
      <c r="Q3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5" s="192">
        <f ca="1">Table66[[#This Row],[Year 1 (Specified in RFO) - N/A]]+Table66[[#This Row],[Year 2 (Specified in RFO) - N/A]]+Table66[[#This Row],[Year 3 (Specified in RFO) - N/A]]+Table66[[#This Row],[Year 4 (Specified in RFO) - N/A]]+Table66[[#This Row],[Year 5 (Specified in RFO) - N/A]]+Table66[[#This Row],[Year 6 (Specified in RFO) - N/A]]</f>
        <v>0</v>
      </c>
      <c r="S385" s="402">
        <f ca="1">Table66[[#This Row],[Year 1  (Proposed)]]+Table66[[#This Row],[Year 2 (Proposed)]]+Table66[[#This Row],[Year 3 (Proposed)]]+Table66[[#This Row],[Year 4 (Proposed)]]+Table66[[#This Row],[Year 5 (Proposed)]]+Table66[[#This Row],[Year 6 (Proposed)]]</f>
        <v>0</v>
      </c>
      <c r="T385" s="403" t="b">
        <f ca="1">Table66[[#This Row],[Total Specifed in RFO - N/A]]=Table66[[#This Row],[Total Proposed]]</f>
        <v>1</v>
      </c>
      <c r="U385" s="439"/>
      <c r="V385" s="441">
        <f ca="1">Table66[[#This Row],[Year 6 (Specified in RFO) - N/A]]-Table66[[#This Row],[Column1]]</f>
        <v>0</v>
      </c>
    </row>
    <row r="386" spans="1:22" ht="16.5" thickBot="1">
      <c r="A386" s="227"/>
      <c r="B386" s="319"/>
      <c r="C386" s="319"/>
      <c r="D386" s="320"/>
      <c r="E386" s="320"/>
      <c r="F386" s="190"/>
      <c r="G3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6" s="190"/>
      <c r="I3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6" s="190"/>
      <c r="K3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6" s="190"/>
      <c r="M3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6" s="190"/>
      <c r="O3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6" s="190"/>
      <c r="Q3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6" s="192">
        <f ca="1">Table66[[#This Row],[Year 1 (Specified in RFO) - N/A]]+Table66[[#This Row],[Year 2 (Specified in RFO) - N/A]]+Table66[[#This Row],[Year 3 (Specified in RFO) - N/A]]+Table66[[#This Row],[Year 4 (Specified in RFO) - N/A]]+Table66[[#This Row],[Year 5 (Specified in RFO) - N/A]]+Table66[[#This Row],[Year 6 (Specified in RFO) - N/A]]</f>
        <v>0</v>
      </c>
      <c r="S386" s="402">
        <f ca="1">Table66[[#This Row],[Year 1  (Proposed)]]+Table66[[#This Row],[Year 2 (Proposed)]]+Table66[[#This Row],[Year 3 (Proposed)]]+Table66[[#This Row],[Year 4 (Proposed)]]+Table66[[#This Row],[Year 5 (Proposed)]]+Table66[[#This Row],[Year 6 (Proposed)]]</f>
        <v>0</v>
      </c>
      <c r="T386" s="403" t="b">
        <f ca="1">Table66[[#This Row],[Total Specifed in RFO - N/A]]=Table66[[#This Row],[Total Proposed]]</f>
        <v>1</v>
      </c>
      <c r="U386" s="439"/>
      <c r="V386" s="441">
        <f ca="1">Table66[[#This Row],[Year 6 (Specified in RFO) - N/A]]-Table66[[#This Row],[Column1]]</f>
        <v>0</v>
      </c>
    </row>
    <row r="387" spans="1:22" ht="16.5" thickBot="1">
      <c r="A387" s="227"/>
      <c r="B387" s="319"/>
      <c r="C387" s="319"/>
      <c r="D387" s="320"/>
      <c r="E387" s="320"/>
      <c r="F387" s="190"/>
      <c r="G3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7" s="190"/>
      <c r="I3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7" s="190"/>
      <c r="K3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7" s="190"/>
      <c r="M3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7" s="190"/>
      <c r="O3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7" s="190"/>
      <c r="Q3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7" s="192">
        <f ca="1">Table66[[#This Row],[Year 1 (Specified in RFO) - N/A]]+Table66[[#This Row],[Year 2 (Specified in RFO) - N/A]]+Table66[[#This Row],[Year 3 (Specified in RFO) - N/A]]+Table66[[#This Row],[Year 4 (Specified in RFO) - N/A]]+Table66[[#This Row],[Year 5 (Specified in RFO) - N/A]]+Table66[[#This Row],[Year 6 (Specified in RFO) - N/A]]</f>
        <v>0</v>
      </c>
      <c r="S387" s="402">
        <f ca="1">Table66[[#This Row],[Year 1  (Proposed)]]+Table66[[#This Row],[Year 2 (Proposed)]]+Table66[[#This Row],[Year 3 (Proposed)]]+Table66[[#This Row],[Year 4 (Proposed)]]+Table66[[#This Row],[Year 5 (Proposed)]]+Table66[[#This Row],[Year 6 (Proposed)]]</f>
        <v>0</v>
      </c>
      <c r="T387" s="403" t="b">
        <f ca="1">Table66[[#This Row],[Total Specifed in RFO - N/A]]=Table66[[#This Row],[Total Proposed]]</f>
        <v>1</v>
      </c>
      <c r="U387" s="439"/>
      <c r="V387" s="441">
        <f ca="1">Table66[[#This Row],[Year 6 (Specified in RFO) - N/A]]-Table66[[#This Row],[Column1]]</f>
        <v>0</v>
      </c>
    </row>
    <row r="388" spans="1:22" ht="16.5" thickBot="1">
      <c r="A388" s="227"/>
      <c r="B388" s="319"/>
      <c r="C388" s="319"/>
      <c r="D388" s="320"/>
      <c r="E388" s="320"/>
      <c r="F388" s="190"/>
      <c r="G3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8" s="190"/>
      <c r="I3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8" s="190"/>
      <c r="K3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8" s="190"/>
      <c r="M3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8" s="190"/>
      <c r="O3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8" s="190"/>
      <c r="Q3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8" s="192">
        <f ca="1">Table66[[#This Row],[Year 1 (Specified in RFO) - N/A]]+Table66[[#This Row],[Year 2 (Specified in RFO) - N/A]]+Table66[[#This Row],[Year 3 (Specified in RFO) - N/A]]+Table66[[#This Row],[Year 4 (Specified in RFO) - N/A]]+Table66[[#This Row],[Year 5 (Specified in RFO) - N/A]]+Table66[[#This Row],[Year 6 (Specified in RFO) - N/A]]</f>
        <v>0</v>
      </c>
      <c r="S388" s="402">
        <f ca="1">Table66[[#This Row],[Year 1  (Proposed)]]+Table66[[#This Row],[Year 2 (Proposed)]]+Table66[[#This Row],[Year 3 (Proposed)]]+Table66[[#This Row],[Year 4 (Proposed)]]+Table66[[#This Row],[Year 5 (Proposed)]]+Table66[[#This Row],[Year 6 (Proposed)]]</f>
        <v>0</v>
      </c>
      <c r="T388" s="403" t="b">
        <f ca="1">Table66[[#This Row],[Total Specifed in RFO - N/A]]=Table66[[#This Row],[Total Proposed]]</f>
        <v>1</v>
      </c>
      <c r="U388" s="439"/>
      <c r="V388" s="441">
        <f ca="1">Table66[[#This Row],[Year 6 (Specified in RFO) - N/A]]-Table66[[#This Row],[Column1]]</f>
        <v>0</v>
      </c>
    </row>
    <row r="389" spans="1:22" ht="32.25" customHeight="1" thickBot="1">
      <c r="A389" s="227"/>
      <c r="B389" s="319"/>
      <c r="C389" s="319"/>
      <c r="D389" s="320"/>
      <c r="E389" s="320"/>
      <c r="F389" s="190"/>
      <c r="G3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9" s="190"/>
      <c r="I3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9" s="190"/>
      <c r="K3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9" s="190"/>
      <c r="M3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9" s="190"/>
      <c r="O3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9" s="190"/>
      <c r="Q3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9" s="192">
        <f ca="1">Table66[[#This Row],[Year 1 (Specified in RFO) - N/A]]+Table66[[#This Row],[Year 2 (Specified in RFO) - N/A]]+Table66[[#This Row],[Year 3 (Specified in RFO) - N/A]]+Table66[[#This Row],[Year 4 (Specified in RFO) - N/A]]+Table66[[#This Row],[Year 5 (Specified in RFO) - N/A]]+Table66[[#This Row],[Year 6 (Specified in RFO) - N/A]]</f>
        <v>0</v>
      </c>
      <c r="S389" s="402">
        <f ca="1">Table66[[#This Row],[Year 1  (Proposed)]]+Table66[[#This Row],[Year 2 (Proposed)]]+Table66[[#This Row],[Year 3 (Proposed)]]+Table66[[#This Row],[Year 4 (Proposed)]]+Table66[[#This Row],[Year 5 (Proposed)]]+Table66[[#This Row],[Year 6 (Proposed)]]</f>
        <v>0</v>
      </c>
      <c r="T389" s="403" t="b">
        <f ca="1">Table66[[#This Row],[Total Specifed in RFO - N/A]]=Table66[[#This Row],[Total Proposed]]</f>
        <v>1</v>
      </c>
      <c r="U389" s="439"/>
      <c r="V389" s="441">
        <f ca="1">Table66[[#This Row],[Year 6 (Specified in RFO) - N/A]]-Table66[[#This Row],[Column1]]</f>
        <v>0</v>
      </c>
    </row>
    <row r="390" spans="1:22" ht="16.5" thickBot="1">
      <c r="A390" s="227"/>
      <c r="B390" s="319"/>
      <c r="C390" s="319"/>
      <c r="D390" s="320"/>
      <c r="E390" s="320"/>
      <c r="F390" s="190"/>
      <c r="G3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0" s="190"/>
      <c r="I3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0" s="190"/>
      <c r="K3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0" s="190"/>
      <c r="M3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0" s="190"/>
      <c r="O3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0" s="190"/>
      <c r="Q3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0" s="192">
        <f ca="1">Table66[[#This Row],[Year 1 (Specified in RFO) - N/A]]+Table66[[#This Row],[Year 2 (Specified in RFO) - N/A]]+Table66[[#This Row],[Year 3 (Specified in RFO) - N/A]]+Table66[[#This Row],[Year 4 (Specified in RFO) - N/A]]+Table66[[#This Row],[Year 5 (Specified in RFO) - N/A]]+Table66[[#This Row],[Year 6 (Specified in RFO) - N/A]]</f>
        <v>0</v>
      </c>
      <c r="S390" s="402">
        <f ca="1">Table66[[#This Row],[Year 1  (Proposed)]]+Table66[[#This Row],[Year 2 (Proposed)]]+Table66[[#This Row],[Year 3 (Proposed)]]+Table66[[#This Row],[Year 4 (Proposed)]]+Table66[[#This Row],[Year 5 (Proposed)]]+Table66[[#This Row],[Year 6 (Proposed)]]</f>
        <v>0</v>
      </c>
      <c r="T390" s="403" t="b">
        <f ca="1">Table66[[#This Row],[Total Specifed in RFO - N/A]]=Table66[[#This Row],[Total Proposed]]</f>
        <v>1</v>
      </c>
      <c r="U390" s="439"/>
      <c r="V390" s="441">
        <f ca="1">Table66[[#This Row],[Year 6 (Specified in RFO) - N/A]]-Table66[[#This Row],[Column1]]</f>
        <v>0</v>
      </c>
    </row>
    <row r="391" spans="1:22" ht="16.5" thickBot="1">
      <c r="A391" s="227"/>
      <c r="B391" s="319"/>
      <c r="C391" s="319"/>
      <c r="D391" s="320"/>
      <c r="E391" s="320"/>
      <c r="F391" s="190"/>
      <c r="G3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1" s="190"/>
      <c r="I3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1" s="190"/>
      <c r="K3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1" s="190"/>
      <c r="M3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1" s="190"/>
      <c r="O3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1" s="190"/>
      <c r="Q3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1" s="192">
        <f ca="1">Table66[[#This Row],[Year 1 (Specified in RFO) - N/A]]+Table66[[#This Row],[Year 2 (Specified in RFO) - N/A]]+Table66[[#This Row],[Year 3 (Specified in RFO) - N/A]]+Table66[[#This Row],[Year 4 (Specified in RFO) - N/A]]+Table66[[#This Row],[Year 5 (Specified in RFO) - N/A]]+Table66[[#This Row],[Year 6 (Specified in RFO) - N/A]]</f>
        <v>0</v>
      </c>
      <c r="S391" s="402">
        <f ca="1">Table66[[#This Row],[Year 1  (Proposed)]]+Table66[[#This Row],[Year 2 (Proposed)]]+Table66[[#This Row],[Year 3 (Proposed)]]+Table66[[#This Row],[Year 4 (Proposed)]]+Table66[[#This Row],[Year 5 (Proposed)]]+Table66[[#This Row],[Year 6 (Proposed)]]</f>
        <v>0</v>
      </c>
      <c r="T391" s="403" t="b">
        <f ca="1">Table66[[#This Row],[Total Specifed in RFO - N/A]]=Table66[[#This Row],[Total Proposed]]</f>
        <v>1</v>
      </c>
      <c r="U391" s="439"/>
      <c r="V391" s="441">
        <f ca="1">Table66[[#This Row],[Year 6 (Specified in RFO) - N/A]]-Table66[[#This Row],[Column1]]</f>
        <v>0</v>
      </c>
    </row>
    <row r="392" spans="1:22" ht="16.5" thickBot="1">
      <c r="A392" s="227"/>
      <c r="B392" s="319"/>
      <c r="C392" s="319"/>
      <c r="D392" s="320"/>
      <c r="E392" s="320"/>
      <c r="F392" s="190"/>
      <c r="G3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2" s="190"/>
      <c r="I3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2" s="190"/>
      <c r="K3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2" s="190"/>
      <c r="M3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2" s="190"/>
      <c r="O3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2" s="190"/>
      <c r="Q3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2" s="192">
        <f ca="1">Table66[[#This Row],[Year 1 (Specified in RFO) - N/A]]+Table66[[#This Row],[Year 2 (Specified in RFO) - N/A]]+Table66[[#This Row],[Year 3 (Specified in RFO) - N/A]]+Table66[[#This Row],[Year 4 (Specified in RFO) - N/A]]+Table66[[#This Row],[Year 5 (Specified in RFO) - N/A]]+Table66[[#This Row],[Year 6 (Specified in RFO) - N/A]]</f>
        <v>0</v>
      </c>
      <c r="S392" s="402">
        <f ca="1">Table66[[#This Row],[Year 1  (Proposed)]]+Table66[[#This Row],[Year 2 (Proposed)]]+Table66[[#This Row],[Year 3 (Proposed)]]+Table66[[#This Row],[Year 4 (Proposed)]]+Table66[[#This Row],[Year 5 (Proposed)]]+Table66[[#This Row],[Year 6 (Proposed)]]</f>
        <v>0</v>
      </c>
      <c r="T392" s="403" t="b">
        <f ca="1">Table66[[#This Row],[Total Specifed in RFO - N/A]]=Table66[[#This Row],[Total Proposed]]</f>
        <v>1</v>
      </c>
      <c r="U392" s="439"/>
      <c r="V392" s="441">
        <f ca="1">Table66[[#This Row],[Year 6 (Specified in RFO) - N/A]]-Table66[[#This Row],[Column1]]</f>
        <v>0</v>
      </c>
    </row>
    <row r="393" spans="1:22" ht="16.5" thickBot="1">
      <c r="A393" s="227"/>
      <c r="B393" s="319"/>
      <c r="C393" s="319"/>
      <c r="D393" s="320"/>
      <c r="E393" s="320"/>
      <c r="F393" s="190"/>
      <c r="G3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3" s="190"/>
      <c r="I3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3" s="190"/>
      <c r="K3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3" s="190"/>
      <c r="M3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3" s="190"/>
      <c r="O3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3" s="190"/>
      <c r="Q3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3" s="192">
        <f ca="1">Table66[[#This Row],[Year 1 (Specified in RFO) - N/A]]+Table66[[#This Row],[Year 2 (Specified in RFO) - N/A]]+Table66[[#This Row],[Year 3 (Specified in RFO) - N/A]]+Table66[[#This Row],[Year 4 (Specified in RFO) - N/A]]+Table66[[#This Row],[Year 5 (Specified in RFO) - N/A]]+Table66[[#This Row],[Year 6 (Specified in RFO) - N/A]]</f>
        <v>0</v>
      </c>
      <c r="S393" s="402">
        <f ca="1">Table66[[#This Row],[Year 1  (Proposed)]]+Table66[[#This Row],[Year 2 (Proposed)]]+Table66[[#This Row],[Year 3 (Proposed)]]+Table66[[#This Row],[Year 4 (Proposed)]]+Table66[[#This Row],[Year 5 (Proposed)]]+Table66[[#This Row],[Year 6 (Proposed)]]</f>
        <v>0</v>
      </c>
      <c r="T393" s="403" t="b">
        <f ca="1">Table66[[#This Row],[Total Specifed in RFO - N/A]]=Table66[[#This Row],[Total Proposed]]</f>
        <v>1</v>
      </c>
      <c r="U393" s="439"/>
      <c r="V393" s="441">
        <f ca="1">Table66[[#This Row],[Year 6 (Specified in RFO) - N/A]]-Table66[[#This Row],[Column1]]</f>
        <v>0</v>
      </c>
    </row>
    <row r="394" spans="1:22" ht="16.5" thickBot="1">
      <c r="A394" s="227"/>
      <c r="B394" s="319"/>
      <c r="C394" s="319"/>
      <c r="D394" s="320"/>
      <c r="E394" s="320"/>
      <c r="F394" s="190"/>
      <c r="G3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4" s="190"/>
      <c r="I3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4" s="190"/>
      <c r="K3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4" s="190"/>
      <c r="M3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4" s="190"/>
      <c r="O3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4" s="190"/>
      <c r="Q3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4" s="192">
        <f ca="1">Table66[[#This Row],[Year 1 (Specified in RFO) - N/A]]+Table66[[#This Row],[Year 2 (Specified in RFO) - N/A]]+Table66[[#This Row],[Year 3 (Specified in RFO) - N/A]]+Table66[[#This Row],[Year 4 (Specified in RFO) - N/A]]+Table66[[#This Row],[Year 5 (Specified in RFO) - N/A]]+Table66[[#This Row],[Year 6 (Specified in RFO) - N/A]]</f>
        <v>0</v>
      </c>
      <c r="S394" s="402">
        <f ca="1">Table66[[#This Row],[Year 1  (Proposed)]]+Table66[[#This Row],[Year 2 (Proposed)]]+Table66[[#This Row],[Year 3 (Proposed)]]+Table66[[#This Row],[Year 4 (Proposed)]]+Table66[[#This Row],[Year 5 (Proposed)]]+Table66[[#This Row],[Year 6 (Proposed)]]</f>
        <v>0</v>
      </c>
      <c r="T394" s="403" t="b">
        <f ca="1">Table66[[#This Row],[Total Specifed in RFO - N/A]]=Table66[[#This Row],[Total Proposed]]</f>
        <v>1</v>
      </c>
      <c r="U394" s="439"/>
      <c r="V394" s="441">
        <f ca="1">Table66[[#This Row],[Year 6 (Specified in RFO) - N/A]]-Table66[[#This Row],[Column1]]</f>
        <v>0</v>
      </c>
    </row>
    <row r="395" spans="1:22" ht="16.5" thickBot="1">
      <c r="A395" s="227"/>
      <c r="B395" s="319"/>
      <c r="C395" s="319"/>
      <c r="D395" s="320"/>
      <c r="E395" s="320"/>
      <c r="F395" s="190"/>
      <c r="G3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5" s="190"/>
      <c r="I3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5" s="190"/>
      <c r="K3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5" s="190"/>
      <c r="M3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5" s="190"/>
      <c r="O3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5" s="190"/>
      <c r="Q3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5" s="192">
        <f ca="1">Table66[[#This Row],[Year 1 (Specified in RFO) - N/A]]+Table66[[#This Row],[Year 2 (Specified in RFO) - N/A]]+Table66[[#This Row],[Year 3 (Specified in RFO) - N/A]]+Table66[[#This Row],[Year 4 (Specified in RFO) - N/A]]+Table66[[#This Row],[Year 5 (Specified in RFO) - N/A]]+Table66[[#This Row],[Year 6 (Specified in RFO) - N/A]]</f>
        <v>0</v>
      </c>
      <c r="S395" s="402">
        <f ca="1">Table66[[#This Row],[Year 1  (Proposed)]]+Table66[[#This Row],[Year 2 (Proposed)]]+Table66[[#This Row],[Year 3 (Proposed)]]+Table66[[#This Row],[Year 4 (Proposed)]]+Table66[[#This Row],[Year 5 (Proposed)]]+Table66[[#This Row],[Year 6 (Proposed)]]</f>
        <v>0</v>
      </c>
      <c r="T395" s="403" t="b">
        <f ca="1">Table66[[#This Row],[Total Specifed in RFO - N/A]]=Table66[[#This Row],[Total Proposed]]</f>
        <v>1</v>
      </c>
      <c r="U395" s="439"/>
      <c r="V395" s="441">
        <f ca="1">Table66[[#This Row],[Year 6 (Specified in RFO) - N/A]]-Table66[[#This Row],[Column1]]</f>
        <v>0</v>
      </c>
    </row>
    <row r="396" spans="1:22" ht="16.5" thickBot="1">
      <c r="A396" s="227"/>
      <c r="B396" s="319"/>
      <c r="C396" s="319"/>
      <c r="D396" s="320"/>
      <c r="E396" s="320"/>
      <c r="F396" s="190"/>
      <c r="G3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6" s="190"/>
      <c r="I3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6" s="190"/>
      <c r="K3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6" s="190"/>
      <c r="M3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6" s="190"/>
      <c r="O3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6" s="190"/>
      <c r="Q3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6" s="192">
        <f ca="1">Table66[[#This Row],[Year 1 (Specified in RFO) - N/A]]+Table66[[#This Row],[Year 2 (Specified in RFO) - N/A]]+Table66[[#This Row],[Year 3 (Specified in RFO) - N/A]]+Table66[[#This Row],[Year 4 (Specified in RFO) - N/A]]+Table66[[#This Row],[Year 5 (Specified in RFO) - N/A]]+Table66[[#This Row],[Year 6 (Specified in RFO) - N/A]]</f>
        <v>0</v>
      </c>
      <c r="S396" s="402">
        <f ca="1">Table66[[#This Row],[Year 1  (Proposed)]]+Table66[[#This Row],[Year 2 (Proposed)]]+Table66[[#This Row],[Year 3 (Proposed)]]+Table66[[#This Row],[Year 4 (Proposed)]]+Table66[[#This Row],[Year 5 (Proposed)]]+Table66[[#This Row],[Year 6 (Proposed)]]</f>
        <v>0</v>
      </c>
      <c r="T396" s="403" t="b">
        <f ca="1">Table66[[#This Row],[Total Specifed in RFO - N/A]]=Table66[[#This Row],[Total Proposed]]</f>
        <v>1</v>
      </c>
      <c r="U396" s="439"/>
      <c r="V396" s="441">
        <f ca="1">Table66[[#This Row],[Year 6 (Specified in RFO) - N/A]]-Table66[[#This Row],[Column1]]</f>
        <v>0</v>
      </c>
    </row>
    <row r="397" spans="1:22" ht="16.5" thickBot="1">
      <c r="A397" s="227"/>
      <c r="B397" s="319"/>
      <c r="C397" s="319"/>
      <c r="D397" s="320"/>
      <c r="E397" s="320"/>
      <c r="F397" s="190"/>
      <c r="G3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7" s="190"/>
      <c r="I3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7" s="190"/>
      <c r="K3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7" s="190"/>
      <c r="M3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7" s="190"/>
      <c r="O3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7" s="190"/>
      <c r="Q3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7" s="192">
        <f ca="1">Table66[[#This Row],[Year 1 (Specified in RFO) - N/A]]+Table66[[#This Row],[Year 2 (Specified in RFO) - N/A]]+Table66[[#This Row],[Year 3 (Specified in RFO) - N/A]]+Table66[[#This Row],[Year 4 (Specified in RFO) - N/A]]+Table66[[#This Row],[Year 5 (Specified in RFO) - N/A]]+Table66[[#This Row],[Year 6 (Specified in RFO) - N/A]]</f>
        <v>0</v>
      </c>
      <c r="S397" s="402">
        <f ca="1">Table66[[#This Row],[Year 1  (Proposed)]]+Table66[[#This Row],[Year 2 (Proposed)]]+Table66[[#This Row],[Year 3 (Proposed)]]+Table66[[#This Row],[Year 4 (Proposed)]]+Table66[[#This Row],[Year 5 (Proposed)]]+Table66[[#This Row],[Year 6 (Proposed)]]</f>
        <v>0</v>
      </c>
      <c r="T397" s="403" t="b">
        <f ca="1">Table66[[#This Row],[Total Specifed in RFO - N/A]]=Table66[[#This Row],[Total Proposed]]</f>
        <v>1</v>
      </c>
      <c r="U397" s="439"/>
      <c r="V397" s="441">
        <f ca="1">Table66[[#This Row],[Year 6 (Specified in RFO) - N/A]]-Table66[[#This Row],[Column1]]</f>
        <v>0</v>
      </c>
    </row>
    <row r="398" spans="1:22" ht="16.5" thickBot="1">
      <c r="A398" s="227"/>
      <c r="B398" s="319"/>
      <c r="C398" s="319"/>
      <c r="D398" s="320"/>
      <c r="E398" s="320"/>
      <c r="F398" s="190"/>
      <c r="G3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8" s="190"/>
      <c r="I3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8" s="190"/>
      <c r="K3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8" s="190"/>
      <c r="M3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8" s="190"/>
      <c r="O3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8" s="190"/>
      <c r="Q3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8" s="192">
        <f ca="1">Table66[[#This Row],[Year 1 (Specified in RFO) - N/A]]+Table66[[#This Row],[Year 2 (Specified in RFO) - N/A]]+Table66[[#This Row],[Year 3 (Specified in RFO) - N/A]]+Table66[[#This Row],[Year 4 (Specified in RFO) - N/A]]+Table66[[#This Row],[Year 5 (Specified in RFO) - N/A]]+Table66[[#This Row],[Year 6 (Specified in RFO) - N/A]]</f>
        <v>0</v>
      </c>
      <c r="S398" s="402">
        <f ca="1">Table66[[#This Row],[Year 1  (Proposed)]]+Table66[[#This Row],[Year 2 (Proposed)]]+Table66[[#This Row],[Year 3 (Proposed)]]+Table66[[#This Row],[Year 4 (Proposed)]]+Table66[[#This Row],[Year 5 (Proposed)]]+Table66[[#This Row],[Year 6 (Proposed)]]</f>
        <v>0</v>
      </c>
      <c r="T398" s="403" t="b">
        <f ca="1">Table66[[#This Row],[Total Specifed in RFO - N/A]]=Table66[[#This Row],[Total Proposed]]</f>
        <v>1</v>
      </c>
      <c r="U398" s="439"/>
      <c r="V398" s="441">
        <f ca="1">Table66[[#This Row],[Year 6 (Specified in RFO) - N/A]]-Table66[[#This Row],[Column1]]</f>
        <v>0</v>
      </c>
    </row>
    <row r="399" spans="1:22" ht="16.5" thickBot="1">
      <c r="A399" s="227"/>
      <c r="B399" s="319"/>
      <c r="C399" s="319"/>
      <c r="D399" s="320"/>
      <c r="E399" s="320"/>
      <c r="F399" s="190"/>
      <c r="G3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9" s="190"/>
      <c r="I3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9" s="190"/>
      <c r="K3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9" s="190"/>
      <c r="M3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9" s="190"/>
      <c r="O3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9" s="190"/>
      <c r="Q3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9" s="192">
        <f ca="1">Table66[[#This Row],[Year 1 (Specified in RFO) - N/A]]+Table66[[#This Row],[Year 2 (Specified in RFO) - N/A]]+Table66[[#This Row],[Year 3 (Specified in RFO) - N/A]]+Table66[[#This Row],[Year 4 (Specified in RFO) - N/A]]+Table66[[#This Row],[Year 5 (Specified in RFO) - N/A]]+Table66[[#This Row],[Year 6 (Specified in RFO) - N/A]]</f>
        <v>0</v>
      </c>
      <c r="S399" s="402">
        <f ca="1">Table66[[#This Row],[Year 1  (Proposed)]]+Table66[[#This Row],[Year 2 (Proposed)]]+Table66[[#This Row],[Year 3 (Proposed)]]+Table66[[#This Row],[Year 4 (Proposed)]]+Table66[[#This Row],[Year 5 (Proposed)]]+Table66[[#This Row],[Year 6 (Proposed)]]</f>
        <v>0</v>
      </c>
      <c r="T399" s="403" t="b">
        <f ca="1">Table66[[#This Row],[Total Specifed in RFO - N/A]]=Table66[[#This Row],[Total Proposed]]</f>
        <v>1</v>
      </c>
      <c r="U399" s="439"/>
      <c r="V399" s="441">
        <f ca="1">Table66[[#This Row],[Year 6 (Specified in RFO) - N/A]]-Table66[[#This Row],[Column1]]</f>
        <v>0</v>
      </c>
    </row>
    <row r="400" spans="1:22" ht="16.5" thickBot="1">
      <c r="A400" s="227"/>
      <c r="B400" s="319"/>
      <c r="C400" s="319"/>
      <c r="D400" s="320"/>
      <c r="E400" s="320"/>
      <c r="F400" s="190"/>
      <c r="G4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0" s="190"/>
      <c r="I4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0" s="190"/>
      <c r="K4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0" s="190"/>
      <c r="M4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0" s="190"/>
      <c r="O4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0" s="190"/>
      <c r="Q4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0" s="192">
        <f ca="1">Table66[[#This Row],[Year 1 (Specified in RFO) - N/A]]+Table66[[#This Row],[Year 2 (Specified in RFO) - N/A]]+Table66[[#This Row],[Year 3 (Specified in RFO) - N/A]]+Table66[[#This Row],[Year 4 (Specified in RFO) - N/A]]+Table66[[#This Row],[Year 5 (Specified in RFO) - N/A]]+Table66[[#This Row],[Year 6 (Specified in RFO) - N/A]]</f>
        <v>0</v>
      </c>
      <c r="S400" s="402">
        <f ca="1">Table66[[#This Row],[Year 1  (Proposed)]]+Table66[[#This Row],[Year 2 (Proposed)]]+Table66[[#This Row],[Year 3 (Proposed)]]+Table66[[#This Row],[Year 4 (Proposed)]]+Table66[[#This Row],[Year 5 (Proposed)]]+Table66[[#This Row],[Year 6 (Proposed)]]</f>
        <v>0</v>
      </c>
      <c r="T400" s="403" t="b">
        <f ca="1">Table66[[#This Row],[Total Specifed in RFO - N/A]]=Table66[[#This Row],[Total Proposed]]</f>
        <v>1</v>
      </c>
      <c r="U400" s="439"/>
      <c r="V400" s="441">
        <f ca="1">Table66[[#This Row],[Year 6 (Specified in RFO) - N/A]]-Table66[[#This Row],[Column1]]</f>
        <v>0</v>
      </c>
    </row>
    <row r="401" spans="1:22" ht="16.5" thickBot="1">
      <c r="A401" s="227"/>
      <c r="B401" s="319"/>
      <c r="C401" s="319"/>
      <c r="D401" s="320"/>
      <c r="E401" s="320"/>
      <c r="F401" s="190"/>
      <c r="G4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1" s="190"/>
      <c r="I4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1" s="190"/>
      <c r="K4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1" s="190"/>
      <c r="M4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1" s="190"/>
      <c r="O4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1" s="190"/>
      <c r="Q4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1" s="192">
        <f ca="1">Table66[[#This Row],[Year 1 (Specified in RFO) - N/A]]+Table66[[#This Row],[Year 2 (Specified in RFO) - N/A]]+Table66[[#This Row],[Year 3 (Specified in RFO) - N/A]]+Table66[[#This Row],[Year 4 (Specified in RFO) - N/A]]+Table66[[#This Row],[Year 5 (Specified in RFO) - N/A]]+Table66[[#This Row],[Year 6 (Specified in RFO) - N/A]]</f>
        <v>0</v>
      </c>
      <c r="S401" s="402">
        <f ca="1">Table66[[#This Row],[Year 1  (Proposed)]]+Table66[[#This Row],[Year 2 (Proposed)]]+Table66[[#This Row],[Year 3 (Proposed)]]+Table66[[#This Row],[Year 4 (Proposed)]]+Table66[[#This Row],[Year 5 (Proposed)]]+Table66[[#This Row],[Year 6 (Proposed)]]</f>
        <v>0</v>
      </c>
      <c r="T401" s="403" t="b">
        <f ca="1">Table66[[#This Row],[Total Specifed in RFO - N/A]]=Table66[[#This Row],[Total Proposed]]</f>
        <v>1</v>
      </c>
      <c r="U401" s="439"/>
      <c r="V401" s="441">
        <f ca="1">Table66[[#This Row],[Year 6 (Specified in RFO) - N/A]]-Table66[[#This Row],[Column1]]</f>
        <v>0</v>
      </c>
    </row>
    <row r="402" spans="1:22" ht="16.5" thickBot="1">
      <c r="A402" s="227"/>
      <c r="B402" s="319"/>
      <c r="C402" s="319"/>
      <c r="D402" s="320"/>
      <c r="E402" s="320"/>
      <c r="F402" s="190"/>
      <c r="G4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2" s="190"/>
      <c r="I4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2" s="190"/>
      <c r="K4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2" s="190"/>
      <c r="M4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2" s="190"/>
      <c r="O4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2" s="190"/>
      <c r="Q4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2" s="192">
        <f ca="1">Table66[[#This Row],[Year 1 (Specified in RFO) - N/A]]+Table66[[#This Row],[Year 2 (Specified in RFO) - N/A]]+Table66[[#This Row],[Year 3 (Specified in RFO) - N/A]]+Table66[[#This Row],[Year 4 (Specified in RFO) - N/A]]+Table66[[#This Row],[Year 5 (Specified in RFO) - N/A]]+Table66[[#This Row],[Year 6 (Specified in RFO) - N/A]]</f>
        <v>0</v>
      </c>
      <c r="S402" s="402">
        <f ca="1">Table66[[#This Row],[Year 1  (Proposed)]]+Table66[[#This Row],[Year 2 (Proposed)]]+Table66[[#This Row],[Year 3 (Proposed)]]+Table66[[#This Row],[Year 4 (Proposed)]]+Table66[[#This Row],[Year 5 (Proposed)]]+Table66[[#This Row],[Year 6 (Proposed)]]</f>
        <v>0</v>
      </c>
      <c r="T402" s="403" t="b">
        <f ca="1">Table66[[#This Row],[Total Specifed in RFO - N/A]]=Table66[[#This Row],[Total Proposed]]</f>
        <v>1</v>
      </c>
      <c r="U402" s="439"/>
      <c r="V402" s="441">
        <f ca="1">Table66[[#This Row],[Year 6 (Specified in RFO) - N/A]]-Table66[[#This Row],[Column1]]</f>
        <v>0</v>
      </c>
    </row>
    <row r="403" spans="1:22" ht="16.5" thickBot="1">
      <c r="A403" s="227"/>
      <c r="B403" s="319"/>
      <c r="C403" s="319"/>
      <c r="D403" s="320"/>
      <c r="E403" s="320"/>
      <c r="F403" s="190"/>
      <c r="G4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3" s="190"/>
      <c r="I4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3" s="190"/>
      <c r="K4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3" s="190"/>
      <c r="M4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3" s="190"/>
      <c r="O4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3" s="190"/>
      <c r="Q4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3" s="192">
        <f ca="1">Table66[[#This Row],[Year 1 (Specified in RFO) - N/A]]+Table66[[#This Row],[Year 2 (Specified in RFO) - N/A]]+Table66[[#This Row],[Year 3 (Specified in RFO) - N/A]]+Table66[[#This Row],[Year 4 (Specified in RFO) - N/A]]+Table66[[#This Row],[Year 5 (Specified in RFO) - N/A]]+Table66[[#This Row],[Year 6 (Specified in RFO) - N/A]]</f>
        <v>0</v>
      </c>
      <c r="S403" s="402">
        <f ca="1">Table66[[#This Row],[Year 1  (Proposed)]]+Table66[[#This Row],[Year 2 (Proposed)]]+Table66[[#This Row],[Year 3 (Proposed)]]+Table66[[#This Row],[Year 4 (Proposed)]]+Table66[[#This Row],[Year 5 (Proposed)]]+Table66[[#This Row],[Year 6 (Proposed)]]</f>
        <v>0</v>
      </c>
      <c r="T403" s="403" t="b">
        <f ca="1">Table66[[#This Row],[Total Specifed in RFO - N/A]]=Table66[[#This Row],[Total Proposed]]</f>
        <v>1</v>
      </c>
      <c r="U403" s="439"/>
      <c r="V403" s="441">
        <f ca="1">Table66[[#This Row],[Year 6 (Specified in RFO) - N/A]]-Table66[[#This Row],[Column1]]</f>
        <v>0</v>
      </c>
    </row>
    <row r="404" spans="1:22" ht="16.5" thickBot="1">
      <c r="A404" s="227"/>
      <c r="B404" s="319"/>
      <c r="C404" s="319"/>
      <c r="D404" s="320"/>
      <c r="E404" s="320"/>
      <c r="F404" s="190"/>
      <c r="G4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4" s="190"/>
      <c r="I4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4" s="190"/>
      <c r="K4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4" s="190"/>
      <c r="M4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4" s="190"/>
      <c r="O4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4" s="190"/>
      <c r="Q4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4" s="192">
        <f ca="1">Table66[[#This Row],[Year 1 (Specified in RFO) - N/A]]+Table66[[#This Row],[Year 2 (Specified in RFO) - N/A]]+Table66[[#This Row],[Year 3 (Specified in RFO) - N/A]]+Table66[[#This Row],[Year 4 (Specified in RFO) - N/A]]+Table66[[#This Row],[Year 5 (Specified in RFO) - N/A]]+Table66[[#This Row],[Year 6 (Specified in RFO) - N/A]]</f>
        <v>0</v>
      </c>
      <c r="S404" s="402">
        <f ca="1">Table66[[#This Row],[Year 1  (Proposed)]]+Table66[[#This Row],[Year 2 (Proposed)]]+Table66[[#This Row],[Year 3 (Proposed)]]+Table66[[#This Row],[Year 4 (Proposed)]]+Table66[[#This Row],[Year 5 (Proposed)]]+Table66[[#This Row],[Year 6 (Proposed)]]</f>
        <v>0</v>
      </c>
      <c r="T404" s="403" t="b">
        <f ca="1">Table66[[#This Row],[Total Specifed in RFO - N/A]]=Table66[[#This Row],[Total Proposed]]</f>
        <v>1</v>
      </c>
      <c r="U404" s="439"/>
      <c r="V404" s="441">
        <f ca="1">Table66[[#This Row],[Year 6 (Specified in RFO) - N/A]]-Table66[[#This Row],[Column1]]</f>
        <v>0</v>
      </c>
    </row>
    <row r="405" spans="1:22" ht="16.5" thickBot="1">
      <c r="A405" s="227"/>
      <c r="B405" s="319"/>
      <c r="C405" s="319"/>
      <c r="D405" s="320"/>
      <c r="E405" s="320"/>
      <c r="F405" s="190"/>
      <c r="G4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5" s="190"/>
      <c r="I4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5" s="190"/>
      <c r="K4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5" s="190"/>
      <c r="M4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5" s="190"/>
      <c r="O4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5" s="190"/>
      <c r="Q4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5" s="192">
        <f ca="1">Table66[[#This Row],[Year 1 (Specified in RFO) - N/A]]+Table66[[#This Row],[Year 2 (Specified in RFO) - N/A]]+Table66[[#This Row],[Year 3 (Specified in RFO) - N/A]]+Table66[[#This Row],[Year 4 (Specified in RFO) - N/A]]+Table66[[#This Row],[Year 5 (Specified in RFO) - N/A]]+Table66[[#This Row],[Year 6 (Specified in RFO) - N/A]]</f>
        <v>0</v>
      </c>
      <c r="S405" s="402">
        <f ca="1">Table66[[#This Row],[Year 1  (Proposed)]]+Table66[[#This Row],[Year 2 (Proposed)]]+Table66[[#This Row],[Year 3 (Proposed)]]+Table66[[#This Row],[Year 4 (Proposed)]]+Table66[[#This Row],[Year 5 (Proposed)]]+Table66[[#This Row],[Year 6 (Proposed)]]</f>
        <v>0</v>
      </c>
      <c r="T405" s="403" t="b">
        <f ca="1">Table66[[#This Row],[Total Specifed in RFO - N/A]]=Table66[[#This Row],[Total Proposed]]</f>
        <v>1</v>
      </c>
      <c r="U405" s="439"/>
      <c r="V405" s="441">
        <f ca="1">Table66[[#This Row],[Year 6 (Specified in RFO) - N/A]]-Table66[[#This Row],[Column1]]</f>
        <v>0</v>
      </c>
    </row>
    <row r="406" spans="1:22" ht="16.5" thickBot="1">
      <c r="A406" s="227"/>
      <c r="B406" s="319"/>
      <c r="C406" s="319"/>
      <c r="D406" s="320"/>
      <c r="E406" s="320"/>
      <c r="F406" s="190"/>
      <c r="G4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6" s="190"/>
      <c r="I4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6" s="190"/>
      <c r="K4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6" s="190"/>
      <c r="M4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6" s="190"/>
      <c r="O4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6" s="190"/>
      <c r="Q4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6" s="192">
        <f ca="1">Table66[[#This Row],[Year 1 (Specified in RFO) - N/A]]+Table66[[#This Row],[Year 2 (Specified in RFO) - N/A]]+Table66[[#This Row],[Year 3 (Specified in RFO) - N/A]]+Table66[[#This Row],[Year 4 (Specified in RFO) - N/A]]+Table66[[#This Row],[Year 5 (Specified in RFO) - N/A]]+Table66[[#This Row],[Year 6 (Specified in RFO) - N/A]]</f>
        <v>0</v>
      </c>
      <c r="S406" s="402">
        <f ca="1">Table66[[#This Row],[Year 1  (Proposed)]]+Table66[[#This Row],[Year 2 (Proposed)]]+Table66[[#This Row],[Year 3 (Proposed)]]+Table66[[#This Row],[Year 4 (Proposed)]]+Table66[[#This Row],[Year 5 (Proposed)]]+Table66[[#This Row],[Year 6 (Proposed)]]</f>
        <v>0</v>
      </c>
      <c r="T406" s="403" t="b">
        <f ca="1">Table66[[#This Row],[Total Specifed in RFO - N/A]]=Table66[[#This Row],[Total Proposed]]</f>
        <v>1</v>
      </c>
      <c r="U406" s="439"/>
      <c r="V406" s="441">
        <f ca="1">Table66[[#This Row],[Year 6 (Specified in RFO) - N/A]]-Table66[[#This Row],[Column1]]</f>
        <v>0</v>
      </c>
    </row>
    <row r="407" spans="1:22" ht="16.5" thickBot="1">
      <c r="A407" s="227"/>
      <c r="B407" s="319"/>
      <c r="C407" s="319"/>
      <c r="D407" s="320"/>
      <c r="E407" s="320"/>
      <c r="F407" s="190"/>
      <c r="G4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7" s="190"/>
      <c r="I4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7" s="190"/>
      <c r="K4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7" s="190"/>
      <c r="M4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7" s="190"/>
      <c r="O4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7" s="190"/>
      <c r="Q4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7" s="192">
        <f ca="1">Table66[[#This Row],[Year 1 (Specified in RFO) - N/A]]+Table66[[#This Row],[Year 2 (Specified in RFO) - N/A]]+Table66[[#This Row],[Year 3 (Specified in RFO) - N/A]]+Table66[[#This Row],[Year 4 (Specified in RFO) - N/A]]+Table66[[#This Row],[Year 5 (Specified in RFO) - N/A]]+Table66[[#This Row],[Year 6 (Specified in RFO) - N/A]]</f>
        <v>0</v>
      </c>
      <c r="S407" s="402">
        <f ca="1">Table66[[#This Row],[Year 1  (Proposed)]]+Table66[[#This Row],[Year 2 (Proposed)]]+Table66[[#This Row],[Year 3 (Proposed)]]+Table66[[#This Row],[Year 4 (Proposed)]]+Table66[[#This Row],[Year 5 (Proposed)]]+Table66[[#This Row],[Year 6 (Proposed)]]</f>
        <v>0</v>
      </c>
      <c r="T407" s="403" t="b">
        <f ca="1">Table66[[#This Row],[Total Specifed in RFO - N/A]]=Table66[[#This Row],[Total Proposed]]</f>
        <v>1</v>
      </c>
      <c r="U407" s="439"/>
      <c r="V407" s="441">
        <f ca="1">Table66[[#This Row],[Year 6 (Specified in RFO) - N/A]]-Table66[[#This Row],[Column1]]</f>
        <v>0</v>
      </c>
    </row>
    <row r="408" spans="1:22" ht="16.5" thickBot="1">
      <c r="A408" s="227"/>
      <c r="B408" s="319"/>
      <c r="C408" s="319"/>
      <c r="D408" s="320"/>
      <c r="E408" s="320"/>
      <c r="F408" s="190"/>
      <c r="G4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8" s="190"/>
      <c r="I4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8" s="190"/>
      <c r="K4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8" s="190"/>
      <c r="M4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8" s="190"/>
      <c r="O4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8" s="190"/>
      <c r="Q4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8" s="192">
        <f ca="1">Table66[[#This Row],[Year 1 (Specified in RFO) - N/A]]+Table66[[#This Row],[Year 2 (Specified in RFO) - N/A]]+Table66[[#This Row],[Year 3 (Specified in RFO) - N/A]]+Table66[[#This Row],[Year 4 (Specified in RFO) - N/A]]+Table66[[#This Row],[Year 5 (Specified in RFO) - N/A]]+Table66[[#This Row],[Year 6 (Specified in RFO) - N/A]]</f>
        <v>0</v>
      </c>
      <c r="S408" s="402">
        <f ca="1">Table66[[#This Row],[Year 1  (Proposed)]]+Table66[[#This Row],[Year 2 (Proposed)]]+Table66[[#This Row],[Year 3 (Proposed)]]+Table66[[#This Row],[Year 4 (Proposed)]]+Table66[[#This Row],[Year 5 (Proposed)]]+Table66[[#This Row],[Year 6 (Proposed)]]</f>
        <v>0</v>
      </c>
      <c r="T408" s="403" t="b">
        <f ca="1">Table66[[#This Row],[Total Specifed in RFO - N/A]]=Table66[[#This Row],[Total Proposed]]</f>
        <v>1</v>
      </c>
      <c r="U408" s="439"/>
      <c r="V408" s="441">
        <f ca="1">Table66[[#This Row],[Year 6 (Specified in RFO) - N/A]]-Table66[[#This Row],[Column1]]</f>
        <v>0</v>
      </c>
    </row>
    <row r="409" spans="1:22" ht="16.5" thickBot="1">
      <c r="A409" s="227"/>
      <c r="B409" s="319"/>
      <c r="C409" s="319"/>
      <c r="D409" s="320"/>
      <c r="E409" s="320"/>
      <c r="F409" s="190"/>
      <c r="G4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9" s="190"/>
      <c r="I4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9" s="190"/>
      <c r="K4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9" s="190"/>
      <c r="M4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9" s="190"/>
      <c r="O4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9" s="190"/>
      <c r="Q4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9" s="192">
        <f ca="1">Table66[[#This Row],[Year 1 (Specified in RFO) - N/A]]+Table66[[#This Row],[Year 2 (Specified in RFO) - N/A]]+Table66[[#This Row],[Year 3 (Specified in RFO) - N/A]]+Table66[[#This Row],[Year 4 (Specified in RFO) - N/A]]+Table66[[#This Row],[Year 5 (Specified in RFO) - N/A]]+Table66[[#This Row],[Year 6 (Specified in RFO) - N/A]]</f>
        <v>0</v>
      </c>
      <c r="S409" s="402">
        <f ca="1">Table66[[#This Row],[Year 1  (Proposed)]]+Table66[[#This Row],[Year 2 (Proposed)]]+Table66[[#This Row],[Year 3 (Proposed)]]+Table66[[#This Row],[Year 4 (Proposed)]]+Table66[[#This Row],[Year 5 (Proposed)]]+Table66[[#This Row],[Year 6 (Proposed)]]</f>
        <v>0</v>
      </c>
      <c r="T409" s="403" t="b">
        <f ca="1">Table66[[#This Row],[Total Specifed in RFO - N/A]]=Table66[[#This Row],[Total Proposed]]</f>
        <v>1</v>
      </c>
      <c r="U409" s="439"/>
      <c r="V409" s="441">
        <f ca="1">Table66[[#This Row],[Year 6 (Specified in RFO) - N/A]]-Table66[[#This Row],[Column1]]</f>
        <v>0</v>
      </c>
    </row>
    <row r="410" spans="1:22" ht="16.5" thickBot="1">
      <c r="A410" s="227"/>
      <c r="B410" s="319"/>
      <c r="C410" s="319"/>
      <c r="D410" s="320"/>
      <c r="E410" s="320"/>
      <c r="F410" s="190"/>
      <c r="G4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0" s="190"/>
      <c r="I4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0" s="190"/>
      <c r="K4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0" s="190"/>
      <c r="M4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0" s="190"/>
      <c r="O4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0" s="190"/>
      <c r="Q4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0" s="192">
        <f ca="1">Table66[[#This Row],[Year 1 (Specified in RFO) - N/A]]+Table66[[#This Row],[Year 2 (Specified in RFO) - N/A]]+Table66[[#This Row],[Year 3 (Specified in RFO) - N/A]]+Table66[[#This Row],[Year 4 (Specified in RFO) - N/A]]+Table66[[#This Row],[Year 5 (Specified in RFO) - N/A]]+Table66[[#This Row],[Year 6 (Specified in RFO) - N/A]]</f>
        <v>0</v>
      </c>
      <c r="S410" s="402">
        <f ca="1">Table66[[#This Row],[Year 1  (Proposed)]]+Table66[[#This Row],[Year 2 (Proposed)]]+Table66[[#This Row],[Year 3 (Proposed)]]+Table66[[#This Row],[Year 4 (Proposed)]]+Table66[[#This Row],[Year 5 (Proposed)]]+Table66[[#This Row],[Year 6 (Proposed)]]</f>
        <v>0</v>
      </c>
      <c r="T410" s="403" t="b">
        <f ca="1">Table66[[#This Row],[Total Specifed in RFO - N/A]]=Table66[[#This Row],[Total Proposed]]</f>
        <v>1</v>
      </c>
      <c r="U410" s="439"/>
      <c r="V410" s="441">
        <f ca="1">Table66[[#This Row],[Year 6 (Specified in RFO) - N/A]]-Table66[[#This Row],[Column1]]</f>
        <v>0</v>
      </c>
    </row>
    <row r="411" spans="1:22" ht="16.5" thickBot="1">
      <c r="A411" s="227"/>
      <c r="B411" s="319"/>
      <c r="C411" s="319"/>
      <c r="D411" s="320"/>
      <c r="E411" s="320"/>
      <c r="F411" s="190"/>
      <c r="G4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1" s="190"/>
      <c r="I4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1" s="190"/>
      <c r="K4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1" s="190"/>
      <c r="M4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1" s="190"/>
      <c r="O4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1" s="190"/>
      <c r="Q4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1" s="192">
        <f ca="1">Table66[[#This Row],[Year 1 (Specified in RFO) - N/A]]+Table66[[#This Row],[Year 2 (Specified in RFO) - N/A]]+Table66[[#This Row],[Year 3 (Specified in RFO) - N/A]]+Table66[[#This Row],[Year 4 (Specified in RFO) - N/A]]+Table66[[#This Row],[Year 5 (Specified in RFO) - N/A]]+Table66[[#This Row],[Year 6 (Specified in RFO) - N/A]]</f>
        <v>0</v>
      </c>
      <c r="S411" s="402">
        <f ca="1">Table66[[#This Row],[Year 1  (Proposed)]]+Table66[[#This Row],[Year 2 (Proposed)]]+Table66[[#This Row],[Year 3 (Proposed)]]+Table66[[#This Row],[Year 4 (Proposed)]]+Table66[[#This Row],[Year 5 (Proposed)]]+Table66[[#This Row],[Year 6 (Proposed)]]</f>
        <v>0</v>
      </c>
      <c r="T411" s="403" t="b">
        <f ca="1">Table66[[#This Row],[Total Specifed in RFO - N/A]]=Table66[[#This Row],[Total Proposed]]</f>
        <v>1</v>
      </c>
      <c r="U411" s="439"/>
      <c r="V411" s="441">
        <f ca="1">Table66[[#This Row],[Year 6 (Specified in RFO) - N/A]]-Table66[[#This Row],[Column1]]</f>
        <v>0</v>
      </c>
    </row>
    <row r="412" spans="1:22" ht="16.5" thickBot="1">
      <c r="A412" s="227"/>
      <c r="B412" s="319"/>
      <c r="C412" s="319"/>
      <c r="D412" s="320"/>
      <c r="E412" s="320"/>
      <c r="F412" s="190"/>
      <c r="G4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2" s="190"/>
      <c r="I4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2" s="190"/>
      <c r="K4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2" s="190"/>
      <c r="M4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2" s="190"/>
      <c r="O4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2" s="190"/>
      <c r="Q4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2" s="192">
        <f ca="1">Table66[[#This Row],[Year 1 (Specified in RFO) - N/A]]+Table66[[#This Row],[Year 2 (Specified in RFO) - N/A]]+Table66[[#This Row],[Year 3 (Specified in RFO) - N/A]]+Table66[[#This Row],[Year 4 (Specified in RFO) - N/A]]+Table66[[#This Row],[Year 5 (Specified in RFO) - N/A]]+Table66[[#This Row],[Year 6 (Specified in RFO) - N/A]]</f>
        <v>0</v>
      </c>
      <c r="S412" s="402">
        <f ca="1">Table66[[#This Row],[Year 1  (Proposed)]]+Table66[[#This Row],[Year 2 (Proposed)]]+Table66[[#This Row],[Year 3 (Proposed)]]+Table66[[#This Row],[Year 4 (Proposed)]]+Table66[[#This Row],[Year 5 (Proposed)]]+Table66[[#This Row],[Year 6 (Proposed)]]</f>
        <v>0</v>
      </c>
      <c r="T412" s="403" t="b">
        <f ca="1">Table66[[#This Row],[Total Specifed in RFO - N/A]]=Table66[[#This Row],[Total Proposed]]</f>
        <v>1</v>
      </c>
      <c r="U412" s="439"/>
      <c r="V412" s="441">
        <f ca="1">Table66[[#This Row],[Year 6 (Specified in RFO) - N/A]]-Table66[[#This Row],[Column1]]</f>
        <v>0</v>
      </c>
    </row>
    <row r="413" spans="1:22" ht="16.5" thickBot="1">
      <c r="A413" s="227"/>
      <c r="B413" s="319"/>
      <c r="C413" s="319"/>
      <c r="D413" s="320"/>
      <c r="E413" s="320"/>
      <c r="F413" s="190"/>
      <c r="G4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3" s="190"/>
      <c r="I4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3" s="190"/>
      <c r="K4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3" s="190"/>
      <c r="M4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3" s="190"/>
      <c r="O4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3" s="190"/>
      <c r="Q4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3" s="192">
        <f ca="1">Table66[[#This Row],[Year 1 (Specified in RFO) - N/A]]+Table66[[#This Row],[Year 2 (Specified in RFO) - N/A]]+Table66[[#This Row],[Year 3 (Specified in RFO) - N/A]]+Table66[[#This Row],[Year 4 (Specified in RFO) - N/A]]+Table66[[#This Row],[Year 5 (Specified in RFO) - N/A]]+Table66[[#This Row],[Year 6 (Specified in RFO) - N/A]]</f>
        <v>0</v>
      </c>
      <c r="S413" s="402">
        <f ca="1">Table66[[#This Row],[Year 1  (Proposed)]]+Table66[[#This Row],[Year 2 (Proposed)]]+Table66[[#This Row],[Year 3 (Proposed)]]+Table66[[#This Row],[Year 4 (Proposed)]]+Table66[[#This Row],[Year 5 (Proposed)]]+Table66[[#This Row],[Year 6 (Proposed)]]</f>
        <v>0</v>
      </c>
      <c r="T413" s="403" t="b">
        <f ca="1">Table66[[#This Row],[Total Specifed in RFO - N/A]]=Table66[[#This Row],[Total Proposed]]</f>
        <v>1</v>
      </c>
      <c r="U413" s="439"/>
      <c r="V413" s="441">
        <f ca="1">Table66[[#This Row],[Year 6 (Specified in RFO) - N/A]]-Table66[[#This Row],[Column1]]</f>
        <v>0</v>
      </c>
    </row>
    <row r="414" spans="1:22" ht="16.5" thickBot="1">
      <c r="A414" s="227"/>
      <c r="B414" s="319"/>
      <c r="C414" s="319"/>
      <c r="D414" s="320"/>
      <c r="E414" s="320"/>
      <c r="F414" s="190"/>
      <c r="G4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4" s="190"/>
      <c r="I4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4" s="190"/>
      <c r="K4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4" s="190"/>
      <c r="M4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4" s="190"/>
      <c r="O4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4" s="190"/>
      <c r="Q4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4" s="192">
        <f ca="1">Table66[[#This Row],[Year 1 (Specified in RFO) - N/A]]+Table66[[#This Row],[Year 2 (Specified in RFO) - N/A]]+Table66[[#This Row],[Year 3 (Specified in RFO) - N/A]]+Table66[[#This Row],[Year 4 (Specified in RFO) - N/A]]+Table66[[#This Row],[Year 5 (Specified in RFO) - N/A]]+Table66[[#This Row],[Year 6 (Specified in RFO) - N/A]]</f>
        <v>0</v>
      </c>
      <c r="S414" s="402">
        <f ca="1">Table66[[#This Row],[Year 1  (Proposed)]]+Table66[[#This Row],[Year 2 (Proposed)]]+Table66[[#This Row],[Year 3 (Proposed)]]+Table66[[#This Row],[Year 4 (Proposed)]]+Table66[[#This Row],[Year 5 (Proposed)]]+Table66[[#This Row],[Year 6 (Proposed)]]</f>
        <v>0</v>
      </c>
      <c r="T414" s="403" t="b">
        <f ca="1">Table66[[#This Row],[Total Specifed in RFO - N/A]]=Table66[[#This Row],[Total Proposed]]</f>
        <v>1</v>
      </c>
      <c r="U414" s="439"/>
      <c r="V414" s="441">
        <f ca="1">Table66[[#This Row],[Year 6 (Specified in RFO) - N/A]]-Table66[[#This Row],[Column1]]</f>
        <v>0</v>
      </c>
    </row>
    <row r="415" spans="1:22" ht="16.5" thickBot="1">
      <c r="A415" s="227"/>
      <c r="B415" s="319"/>
      <c r="C415" s="319"/>
      <c r="D415" s="320"/>
      <c r="E415" s="320"/>
      <c r="F415" s="190"/>
      <c r="G4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5" s="190"/>
      <c r="I4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5" s="190"/>
      <c r="K4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5" s="190"/>
      <c r="M4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5" s="190"/>
      <c r="O4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5" s="190"/>
      <c r="Q4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5" s="192">
        <f ca="1">Table66[[#This Row],[Year 1 (Specified in RFO) - N/A]]+Table66[[#This Row],[Year 2 (Specified in RFO) - N/A]]+Table66[[#This Row],[Year 3 (Specified in RFO) - N/A]]+Table66[[#This Row],[Year 4 (Specified in RFO) - N/A]]+Table66[[#This Row],[Year 5 (Specified in RFO) - N/A]]+Table66[[#This Row],[Year 6 (Specified in RFO) - N/A]]</f>
        <v>0</v>
      </c>
      <c r="S415" s="402">
        <f ca="1">Table66[[#This Row],[Year 1  (Proposed)]]+Table66[[#This Row],[Year 2 (Proposed)]]+Table66[[#This Row],[Year 3 (Proposed)]]+Table66[[#This Row],[Year 4 (Proposed)]]+Table66[[#This Row],[Year 5 (Proposed)]]+Table66[[#This Row],[Year 6 (Proposed)]]</f>
        <v>0</v>
      </c>
      <c r="T415" s="403" t="b">
        <f ca="1">Table66[[#This Row],[Total Specifed in RFO - N/A]]=Table66[[#This Row],[Total Proposed]]</f>
        <v>1</v>
      </c>
      <c r="U415" s="439"/>
      <c r="V415" s="441">
        <f ca="1">Table66[[#This Row],[Year 6 (Specified in RFO) - N/A]]-Table66[[#This Row],[Column1]]</f>
        <v>0</v>
      </c>
    </row>
    <row r="416" spans="1:22" ht="16.5" thickBot="1">
      <c r="A416" s="227"/>
      <c r="B416" s="319"/>
      <c r="C416" s="319"/>
      <c r="D416" s="320"/>
      <c r="E416" s="320"/>
      <c r="F416" s="190"/>
      <c r="G4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6" s="190"/>
      <c r="I4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6" s="190"/>
      <c r="K4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6" s="190"/>
      <c r="M4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6" s="190"/>
      <c r="O4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6" s="190"/>
      <c r="Q4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6" s="192">
        <f ca="1">Table66[[#This Row],[Year 1 (Specified in RFO) - N/A]]+Table66[[#This Row],[Year 2 (Specified in RFO) - N/A]]+Table66[[#This Row],[Year 3 (Specified in RFO) - N/A]]+Table66[[#This Row],[Year 4 (Specified in RFO) - N/A]]+Table66[[#This Row],[Year 5 (Specified in RFO) - N/A]]+Table66[[#This Row],[Year 6 (Specified in RFO) - N/A]]</f>
        <v>0</v>
      </c>
      <c r="S416" s="402">
        <f ca="1">Table66[[#This Row],[Year 1  (Proposed)]]+Table66[[#This Row],[Year 2 (Proposed)]]+Table66[[#This Row],[Year 3 (Proposed)]]+Table66[[#This Row],[Year 4 (Proposed)]]+Table66[[#This Row],[Year 5 (Proposed)]]+Table66[[#This Row],[Year 6 (Proposed)]]</f>
        <v>0</v>
      </c>
      <c r="T416" s="403" t="b">
        <f ca="1">Table66[[#This Row],[Total Specifed in RFO - N/A]]=Table66[[#This Row],[Total Proposed]]</f>
        <v>1</v>
      </c>
      <c r="U416" s="439"/>
      <c r="V416" s="441">
        <f ca="1">Table66[[#This Row],[Year 6 (Specified in RFO) - N/A]]-Table66[[#This Row],[Column1]]</f>
        <v>0</v>
      </c>
    </row>
    <row r="417" spans="1:22" ht="16.5" thickBot="1">
      <c r="A417" s="227"/>
      <c r="B417" s="319"/>
      <c r="C417" s="319"/>
      <c r="D417" s="320"/>
      <c r="E417" s="320"/>
      <c r="F417" s="190"/>
      <c r="G4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7" s="190"/>
      <c r="I4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7" s="190"/>
      <c r="K4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7" s="190"/>
      <c r="M4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7" s="190"/>
      <c r="O4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7" s="190"/>
      <c r="Q4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7" s="192">
        <f ca="1">Table66[[#This Row],[Year 1 (Specified in RFO) - N/A]]+Table66[[#This Row],[Year 2 (Specified in RFO) - N/A]]+Table66[[#This Row],[Year 3 (Specified in RFO) - N/A]]+Table66[[#This Row],[Year 4 (Specified in RFO) - N/A]]+Table66[[#This Row],[Year 5 (Specified in RFO) - N/A]]+Table66[[#This Row],[Year 6 (Specified in RFO) - N/A]]</f>
        <v>0</v>
      </c>
      <c r="S417" s="402">
        <f ca="1">Table66[[#This Row],[Year 1  (Proposed)]]+Table66[[#This Row],[Year 2 (Proposed)]]+Table66[[#This Row],[Year 3 (Proposed)]]+Table66[[#This Row],[Year 4 (Proposed)]]+Table66[[#This Row],[Year 5 (Proposed)]]+Table66[[#This Row],[Year 6 (Proposed)]]</f>
        <v>0</v>
      </c>
      <c r="T417" s="403" t="b">
        <f ca="1">Table66[[#This Row],[Total Specifed in RFO - N/A]]=Table66[[#This Row],[Total Proposed]]</f>
        <v>1</v>
      </c>
      <c r="U417" s="439"/>
      <c r="V417" s="441">
        <f ca="1">Table66[[#This Row],[Year 6 (Specified in RFO) - N/A]]-Table66[[#This Row],[Column1]]</f>
        <v>0</v>
      </c>
    </row>
    <row r="418" spans="1:22" ht="16.5" thickBot="1">
      <c r="A418" s="227"/>
      <c r="B418" s="319"/>
      <c r="C418" s="319"/>
      <c r="D418" s="320"/>
      <c r="E418" s="320"/>
      <c r="F418" s="190"/>
      <c r="G4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8" s="190"/>
      <c r="I4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8" s="190"/>
      <c r="K4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8" s="190"/>
      <c r="M4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8" s="190"/>
      <c r="O4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8" s="190"/>
      <c r="Q4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8" s="192">
        <f ca="1">Table66[[#This Row],[Year 1 (Specified in RFO) - N/A]]+Table66[[#This Row],[Year 2 (Specified in RFO) - N/A]]+Table66[[#This Row],[Year 3 (Specified in RFO) - N/A]]+Table66[[#This Row],[Year 4 (Specified in RFO) - N/A]]+Table66[[#This Row],[Year 5 (Specified in RFO) - N/A]]+Table66[[#This Row],[Year 6 (Specified in RFO) - N/A]]</f>
        <v>0</v>
      </c>
      <c r="S418" s="402">
        <f ca="1">Table66[[#This Row],[Year 1  (Proposed)]]+Table66[[#This Row],[Year 2 (Proposed)]]+Table66[[#This Row],[Year 3 (Proposed)]]+Table66[[#This Row],[Year 4 (Proposed)]]+Table66[[#This Row],[Year 5 (Proposed)]]+Table66[[#This Row],[Year 6 (Proposed)]]</f>
        <v>0</v>
      </c>
      <c r="T418" s="403" t="b">
        <f ca="1">Table66[[#This Row],[Total Specifed in RFO - N/A]]=Table66[[#This Row],[Total Proposed]]</f>
        <v>1</v>
      </c>
      <c r="U418" s="439"/>
      <c r="V418" s="441">
        <f ca="1">Table66[[#This Row],[Year 6 (Specified in RFO) - N/A]]-Table66[[#This Row],[Column1]]</f>
        <v>0</v>
      </c>
    </row>
    <row r="419" spans="1:22" ht="16.5" thickBot="1">
      <c r="A419" s="227"/>
      <c r="B419" s="319"/>
      <c r="C419" s="319"/>
      <c r="D419" s="320"/>
      <c r="E419" s="320"/>
      <c r="F419" s="190"/>
      <c r="G4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9" s="190"/>
      <c r="I4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9" s="190"/>
      <c r="K4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9" s="190"/>
      <c r="M4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9" s="190"/>
      <c r="O4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9" s="190"/>
      <c r="Q4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9" s="192">
        <f ca="1">Table66[[#This Row],[Year 1 (Specified in RFO) - N/A]]+Table66[[#This Row],[Year 2 (Specified in RFO) - N/A]]+Table66[[#This Row],[Year 3 (Specified in RFO) - N/A]]+Table66[[#This Row],[Year 4 (Specified in RFO) - N/A]]+Table66[[#This Row],[Year 5 (Specified in RFO) - N/A]]+Table66[[#This Row],[Year 6 (Specified in RFO) - N/A]]</f>
        <v>0</v>
      </c>
      <c r="S419" s="402">
        <f ca="1">Table66[[#This Row],[Year 1  (Proposed)]]+Table66[[#This Row],[Year 2 (Proposed)]]+Table66[[#This Row],[Year 3 (Proposed)]]+Table66[[#This Row],[Year 4 (Proposed)]]+Table66[[#This Row],[Year 5 (Proposed)]]+Table66[[#This Row],[Year 6 (Proposed)]]</f>
        <v>0</v>
      </c>
      <c r="T419" s="403" t="b">
        <f ca="1">Table66[[#This Row],[Total Specifed in RFO - N/A]]=Table66[[#This Row],[Total Proposed]]</f>
        <v>1</v>
      </c>
      <c r="U419" s="439"/>
      <c r="V419" s="441">
        <f ca="1">Table66[[#This Row],[Year 6 (Specified in RFO) - N/A]]-Table66[[#This Row],[Column1]]</f>
        <v>0</v>
      </c>
    </row>
    <row r="420" spans="1:22" ht="16.5" thickBot="1">
      <c r="A420" s="227"/>
      <c r="B420" s="319"/>
      <c r="C420" s="319"/>
      <c r="D420" s="320"/>
      <c r="E420" s="320"/>
      <c r="F420" s="190"/>
      <c r="G4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0" s="190"/>
      <c r="I4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0" s="190"/>
      <c r="K4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0" s="190"/>
      <c r="M4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0" s="190"/>
      <c r="O4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0" s="190"/>
      <c r="Q4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0" s="192">
        <f ca="1">Table66[[#This Row],[Year 1 (Specified in RFO) - N/A]]+Table66[[#This Row],[Year 2 (Specified in RFO) - N/A]]+Table66[[#This Row],[Year 3 (Specified in RFO) - N/A]]+Table66[[#This Row],[Year 4 (Specified in RFO) - N/A]]+Table66[[#This Row],[Year 5 (Specified in RFO) - N/A]]+Table66[[#This Row],[Year 6 (Specified in RFO) - N/A]]</f>
        <v>0</v>
      </c>
      <c r="S420" s="402">
        <f ca="1">Table66[[#This Row],[Year 1  (Proposed)]]+Table66[[#This Row],[Year 2 (Proposed)]]+Table66[[#This Row],[Year 3 (Proposed)]]+Table66[[#This Row],[Year 4 (Proposed)]]+Table66[[#This Row],[Year 5 (Proposed)]]+Table66[[#This Row],[Year 6 (Proposed)]]</f>
        <v>0</v>
      </c>
      <c r="T420" s="403" t="b">
        <f ca="1">Table66[[#This Row],[Total Specifed in RFO - N/A]]=Table66[[#This Row],[Total Proposed]]</f>
        <v>1</v>
      </c>
      <c r="U420" s="439"/>
      <c r="V420" s="441">
        <f ca="1">Table66[[#This Row],[Year 6 (Specified in RFO) - N/A]]-Table66[[#This Row],[Column1]]</f>
        <v>0</v>
      </c>
    </row>
    <row r="421" spans="1:22" ht="16.5" thickBot="1">
      <c r="A421" s="227"/>
      <c r="B421" s="319"/>
      <c r="C421" s="319"/>
      <c r="D421" s="320"/>
      <c r="E421" s="320"/>
      <c r="F421" s="190"/>
      <c r="G4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1" s="190"/>
      <c r="I4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1" s="190"/>
      <c r="K4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1" s="190"/>
      <c r="M4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1" s="190"/>
      <c r="O4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1" s="190"/>
      <c r="Q4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1" s="192">
        <f ca="1">Table66[[#This Row],[Year 1 (Specified in RFO) - N/A]]+Table66[[#This Row],[Year 2 (Specified in RFO) - N/A]]+Table66[[#This Row],[Year 3 (Specified in RFO) - N/A]]+Table66[[#This Row],[Year 4 (Specified in RFO) - N/A]]+Table66[[#This Row],[Year 5 (Specified in RFO) - N/A]]+Table66[[#This Row],[Year 6 (Specified in RFO) - N/A]]</f>
        <v>0</v>
      </c>
      <c r="S421" s="402">
        <f ca="1">Table66[[#This Row],[Year 1  (Proposed)]]+Table66[[#This Row],[Year 2 (Proposed)]]+Table66[[#This Row],[Year 3 (Proposed)]]+Table66[[#This Row],[Year 4 (Proposed)]]+Table66[[#This Row],[Year 5 (Proposed)]]+Table66[[#This Row],[Year 6 (Proposed)]]</f>
        <v>0</v>
      </c>
      <c r="T421" s="403" t="b">
        <f ca="1">Table66[[#This Row],[Total Specifed in RFO - N/A]]=Table66[[#This Row],[Total Proposed]]</f>
        <v>1</v>
      </c>
      <c r="U421" s="439"/>
      <c r="V421" s="441">
        <f ca="1">Table66[[#This Row],[Year 6 (Specified in RFO) - N/A]]-Table66[[#This Row],[Column1]]</f>
        <v>0</v>
      </c>
    </row>
    <row r="422" spans="1:22" ht="16.5" thickBot="1">
      <c r="A422" s="227"/>
      <c r="B422" s="319"/>
      <c r="C422" s="319"/>
      <c r="D422" s="320"/>
      <c r="E422" s="320"/>
      <c r="F422" s="190"/>
      <c r="G4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2" s="190"/>
      <c r="I4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2" s="190"/>
      <c r="K4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2" s="190"/>
      <c r="M4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2" s="190"/>
      <c r="O4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2" s="190"/>
      <c r="Q4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2" s="192">
        <f ca="1">Table66[[#This Row],[Year 1 (Specified in RFO) - N/A]]+Table66[[#This Row],[Year 2 (Specified in RFO) - N/A]]+Table66[[#This Row],[Year 3 (Specified in RFO) - N/A]]+Table66[[#This Row],[Year 4 (Specified in RFO) - N/A]]+Table66[[#This Row],[Year 5 (Specified in RFO) - N/A]]+Table66[[#This Row],[Year 6 (Specified in RFO) - N/A]]</f>
        <v>0</v>
      </c>
      <c r="S422" s="402">
        <f ca="1">Table66[[#This Row],[Year 1  (Proposed)]]+Table66[[#This Row],[Year 2 (Proposed)]]+Table66[[#This Row],[Year 3 (Proposed)]]+Table66[[#This Row],[Year 4 (Proposed)]]+Table66[[#This Row],[Year 5 (Proposed)]]+Table66[[#This Row],[Year 6 (Proposed)]]</f>
        <v>0</v>
      </c>
      <c r="T422" s="403" t="b">
        <f ca="1">Table66[[#This Row],[Total Specifed in RFO - N/A]]=Table66[[#This Row],[Total Proposed]]</f>
        <v>1</v>
      </c>
      <c r="U422" s="439"/>
      <c r="V422" s="441">
        <f ca="1">Table66[[#This Row],[Year 6 (Specified in RFO) - N/A]]-Table66[[#This Row],[Column1]]</f>
        <v>0</v>
      </c>
    </row>
    <row r="423" spans="1:22" ht="16.5" thickBot="1">
      <c r="A423" s="227"/>
      <c r="B423" s="319"/>
      <c r="C423" s="319"/>
      <c r="D423" s="320"/>
      <c r="E423" s="320"/>
      <c r="F423" s="190"/>
      <c r="G4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3" s="190"/>
      <c r="I4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3" s="190"/>
      <c r="K4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3" s="190"/>
      <c r="M4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3" s="190"/>
      <c r="O4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3" s="190"/>
      <c r="Q4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3" s="192">
        <f ca="1">Table66[[#This Row],[Year 1 (Specified in RFO) - N/A]]+Table66[[#This Row],[Year 2 (Specified in RFO) - N/A]]+Table66[[#This Row],[Year 3 (Specified in RFO) - N/A]]+Table66[[#This Row],[Year 4 (Specified in RFO) - N/A]]+Table66[[#This Row],[Year 5 (Specified in RFO) - N/A]]+Table66[[#This Row],[Year 6 (Specified in RFO) - N/A]]</f>
        <v>0</v>
      </c>
      <c r="S423" s="402">
        <f ca="1">Table66[[#This Row],[Year 1  (Proposed)]]+Table66[[#This Row],[Year 2 (Proposed)]]+Table66[[#This Row],[Year 3 (Proposed)]]+Table66[[#This Row],[Year 4 (Proposed)]]+Table66[[#This Row],[Year 5 (Proposed)]]+Table66[[#This Row],[Year 6 (Proposed)]]</f>
        <v>0</v>
      </c>
      <c r="T423" s="403" t="b">
        <f ca="1">Table66[[#This Row],[Total Specifed in RFO - N/A]]=Table66[[#This Row],[Total Proposed]]</f>
        <v>1</v>
      </c>
      <c r="U423" s="439"/>
      <c r="V423" s="441">
        <f ca="1">Table66[[#This Row],[Year 6 (Specified in RFO) - N/A]]-Table66[[#This Row],[Column1]]</f>
        <v>0</v>
      </c>
    </row>
    <row r="424" spans="1:22" ht="16.5" thickBot="1">
      <c r="A424" s="227"/>
      <c r="B424" s="319"/>
      <c r="C424" s="319"/>
      <c r="D424" s="320"/>
      <c r="E424" s="320"/>
      <c r="F424" s="190"/>
      <c r="G4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4" s="190"/>
      <c r="I4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4" s="190"/>
      <c r="K4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4" s="190"/>
      <c r="M4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4" s="190"/>
      <c r="O4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4" s="190"/>
      <c r="Q4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4" s="192">
        <f ca="1">Table66[[#This Row],[Year 1 (Specified in RFO) - N/A]]+Table66[[#This Row],[Year 2 (Specified in RFO) - N/A]]+Table66[[#This Row],[Year 3 (Specified in RFO) - N/A]]+Table66[[#This Row],[Year 4 (Specified in RFO) - N/A]]+Table66[[#This Row],[Year 5 (Specified in RFO) - N/A]]+Table66[[#This Row],[Year 6 (Specified in RFO) - N/A]]</f>
        <v>0</v>
      </c>
      <c r="S424" s="402">
        <f ca="1">Table66[[#This Row],[Year 1  (Proposed)]]+Table66[[#This Row],[Year 2 (Proposed)]]+Table66[[#This Row],[Year 3 (Proposed)]]+Table66[[#This Row],[Year 4 (Proposed)]]+Table66[[#This Row],[Year 5 (Proposed)]]+Table66[[#This Row],[Year 6 (Proposed)]]</f>
        <v>0</v>
      </c>
      <c r="T424" s="403" t="b">
        <f ca="1">Table66[[#This Row],[Total Specifed in RFO - N/A]]=Table66[[#This Row],[Total Proposed]]</f>
        <v>1</v>
      </c>
      <c r="U424" s="439"/>
      <c r="V424" s="441">
        <f ca="1">Table66[[#This Row],[Year 6 (Specified in RFO) - N/A]]-Table66[[#This Row],[Column1]]</f>
        <v>0</v>
      </c>
    </row>
    <row r="425" spans="1:22" ht="16.5" thickBot="1">
      <c r="A425" s="227"/>
      <c r="B425" s="319"/>
      <c r="C425" s="319"/>
      <c r="D425" s="320"/>
      <c r="E425" s="320"/>
      <c r="F425" s="190"/>
      <c r="G4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5" s="190"/>
      <c r="I4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5" s="190"/>
      <c r="K4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5" s="190"/>
      <c r="M4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5" s="190"/>
      <c r="O4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5" s="190"/>
      <c r="Q4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5" s="192">
        <f ca="1">Table66[[#This Row],[Year 1 (Specified in RFO) - N/A]]+Table66[[#This Row],[Year 2 (Specified in RFO) - N/A]]+Table66[[#This Row],[Year 3 (Specified in RFO) - N/A]]+Table66[[#This Row],[Year 4 (Specified in RFO) - N/A]]+Table66[[#This Row],[Year 5 (Specified in RFO) - N/A]]+Table66[[#This Row],[Year 6 (Specified in RFO) - N/A]]</f>
        <v>0</v>
      </c>
      <c r="S425" s="402">
        <f ca="1">Table66[[#This Row],[Year 1  (Proposed)]]+Table66[[#This Row],[Year 2 (Proposed)]]+Table66[[#This Row],[Year 3 (Proposed)]]+Table66[[#This Row],[Year 4 (Proposed)]]+Table66[[#This Row],[Year 5 (Proposed)]]+Table66[[#This Row],[Year 6 (Proposed)]]</f>
        <v>0</v>
      </c>
      <c r="T425" s="403" t="b">
        <f ca="1">Table66[[#This Row],[Total Specifed in RFO - N/A]]=Table66[[#This Row],[Total Proposed]]</f>
        <v>1</v>
      </c>
      <c r="U425" s="439"/>
      <c r="V425" s="441">
        <f ca="1">Table66[[#This Row],[Year 6 (Specified in RFO) - N/A]]-Table66[[#This Row],[Column1]]</f>
        <v>0</v>
      </c>
    </row>
    <row r="426" spans="1:22" ht="16.5" thickBot="1">
      <c r="A426" s="227"/>
      <c r="B426" s="319"/>
      <c r="C426" s="319"/>
      <c r="D426" s="320"/>
      <c r="E426" s="320"/>
      <c r="F426" s="190"/>
      <c r="G4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6" s="190"/>
      <c r="I4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6" s="190"/>
      <c r="K4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6" s="190"/>
      <c r="M4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6" s="190"/>
      <c r="O4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6" s="190"/>
      <c r="Q4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6" s="192">
        <f ca="1">Table66[[#This Row],[Year 1 (Specified in RFO) - N/A]]+Table66[[#This Row],[Year 2 (Specified in RFO) - N/A]]+Table66[[#This Row],[Year 3 (Specified in RFO) - N/A]]+Table66[[#This Row],[Year 4 (Specified in RFO) - N/A]]+Table66[[#This Row],[Year 5 (Specified in RFO) - N/A]]+Table66[[#This Row],[Year 6 (Specified in RFO) - N/A]]</f>
        <v>0</v>
      </c>
      <c r="S426" s="402">
        <f ca="1">Table66[[#This Row],[Year 1  (Proposed)]]+Table66[[#This Row],[Year 2 (Proposed)]]+Table66[[#This Row],[Year 3 (Proposed)]]+Table66[[#This Row],[Year 4 (Proposed)]]+Table66[[#This Row],[Year 5 (Proposed)]]+Table66[[#This Row],[Year 6 (Proposed)]]</f>
        <v>0</v>
      </c>
      <c r="T426" s="403" t="b">
        <f ca="1">Table66[[#This Row],[Total Specifed in RFO - N/A]]=Table66[[#This Row],[Total Proposed]]</f>
        <v>1</v>
      </c>
      <c r="U426" s="439"/>
      <c r="V426" s="441">
        <f ca="1">Table66[[#This Row],[Year 6 (Specified in RFO) - N/A]]-Table66[[#This Row],[Column1]]</f>
        <v>0</v>
      </c>
    </row>
    <row r="427" spans="1:22" ht="16.5" thickBot="1">
      <c r="A427" s="227"/>
      <c r="B427" s="319"/>
      <c r="C427" s="319"/>
      <c r="D427" s="320"/>
      <c r="E427" s="320"/>
      <c r="F427" s="190"/>
      <c r="G4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7" s="190"/>
      <c r="I4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7" s="190"/>
      <c r="K4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7" s="190"/>
      <c r="M4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7" s="190"/>
      <c r="O4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7" s="190"/>
      <c r="Q4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7" s="192">
        <f ca="1">Table66[[#This Row],[Year 1 (Specified in RFO) - N/A]]+Table66[[#This Row],[Year 2 (Specified in RFO) - N/A]]+Table66[[#This Row],[Year 3 (Specified in RFO) - N/A]]+Table66[[#This Row],[Year 4 (Specified in RFO) - N/A]]+Table66[[#This Row],[Year 5 (Specified in RFO) - N/A]]+Table66[[#This Row],[Year 6 (Specified in RFO) - N/A]]</f>
        <v>0</v>
      </c>
      <c r="S427" s="402">
        <f ca="1">Table66[[#This Row],[Year 1  (Proposed)]]+Table66[[#This Row],[Year 2 (Proposed)]]+Table66[[#This Row],[Year 3 (Proposed)]]+Table66[[#This Row],[Year 4 (Proposed)]]+Table66[[#This Row],[Year 5 (Proposed)]]+Table66[[#This Row],[Year 6 (Proposed)]]</f>
        <v>0</v>
      </c>
      <c r="T427" s="403" t="b">
        <f ca="1">Table66[[#This Row],[Total Specifed in RFO - N/A]]=Table66[[#This Row],[Total Proposed]]</f>
        <v>1</v>
      </c>
      <c r="U427" s="439"/>
      <c r="V427" s="441">
        <f ca="1">Table66[[#This Row],[Year 6 (Specified in RFO) - N/A]]-Table66[[#This Row],[Column1]]</f>
        <v>0</v>
      </c>
    </row>
    <row r="428" spans="1:22" ht="16.5" thickBot="1">
      <c r="A428" s="227"/>
      <c r="B428" s="319"/>
      <c r="C428" s="319"/>
      <c r="D428" s="320"/>
      <c r="E428" s="320"/>
      <c r="F428" s="190"/>
      <c r="G4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8" s="190"/>
      <c r="I4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8" s="190"/>
      <c r="K4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8" s="190"/>
      <c r="M4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8" s="190"/>
      <c r="O4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8" s="190"/>
      <c r="Q4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8" s="192">
        <f ca="1">Table66[[#This Row],[Year 1 (Specified in RFO) - N/A]]+Table66[[#This Row],[Year 2 (Specified in RFO) - N/A]]+Table66[[#This Row],[Year 3 (Specified in RFO) - N/A]]+Table66[[#This Row],[Year 4 (Specified in RFO) - N/A]]+Table66[[#This Row],[Year 5 (Specified in RFO) - N/A]]+Table66[[#This Row],[Year 6 (Specified in RFO) - N/A]]</f>
        <v>0</v>
      </c>
      <c r="S428" s="402">
        <f ca="1">Table66[[#This Row],[Year 1  (Proposed)]]+Table66[[#This Row],[Year 2 (Proposed)]]+Table66[[#This Row],[Year 3 (Proposed)]]+Table66[[#This Row],[Year 4 (Proposed)]]+Table66[[#This Row],[Year 5 (Proposed)]]+Table66[[#This Row],[Year 6 (Proposed)]]</f>
        <v>0</v>
      </c>
      <c r="T428" s="403" t="b">
        <f ca="1">Table66[[#This Row],[Total Specifed in RFO - N/A]]=Table66[[#This Row],[Total Proposed]]</f>
        <v>1</v>
      </c>
      <c r="U428" s="439"/>
      <c r="V428" s="441">
        <f ca="1">Table66[[#This Row],[Year 6 (Specified in RFO) - N/A]]-Table66[[#This Row],[Column1]]</f>
        <v>0</v>
      </c>
    </row>
    <row r="429" spans="1:22" ht="16.5" thickBot="1">
      <c r="A429" s="227"/>
      <c r="B429" s="319"/>
      <c r="C429" s="319"/>
      <c r="D429" s="320"/>
      <c r="E429" s="320"/>
      <c r="F429" s="190"/>
      <c r="G4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9" s="190"/>
      <c r="I4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9" s="190"/>
      <c r="K4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9" s="190"/>
      <c r="M4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9" s="190"/>
      <c r="O4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9" s="190"/>
      <c r="Q4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9" s="192">
        <f ca="1">Table66[[#This Row],[Year 1 (Specified in RFO) - N/A]]+Table66[[#This Row],[Year 2 (Specified in RFO) - N/A]]+Table66[[#This Row],[Year 3 (Specified in RFO) - N/A]]+Table66[[#This Row],[Year 4 (Specified in RFO) - N/A]]+Table66[[#This Row],[Year 5 (Specified in RFO) - N/A]]+Table66[[#This Row],[Year 6 (Specified in RFO) - N/A]]</f>
        <v>0</v>
      </c>
      <c r="S429" s="402">
        <f ca="1">Table66[[#This Row],[Year 1  (Proposed)]]+Table66[[#This Row],[Year 2 (Proposed)]]+Table66[[#This Row],[Year 3 (Proposed)]]+Table66[[#This Row],[Year 4 (Proposed)]]+Table66[[#This Row],[Year 5 (Proposed)]]+Table66[[#This Row],[Year 6 (Proposed)]]</f>
        <v>0</v>
      </c>
      <c r="T429" s="403" t="b">
        <f ca="1">Table66[[#This Row],[Total Specifed in RFO - N/A]]=Table66[[#This Row],[Total Proposed]]</f>
        <v>1</v>
      </c>
      <c r="U429" s="439"/>
      <c r="V429" s="441">
        <f ca="1">Table66[[#This Row],[Year 6 (Specified in RFO) - N/A]]-Table66[[#This Row],[Column1]]</f>
        <v>0</v>
      </c>
    </row>
    <row r="430" spans="1:22" ht="16.5" thickBot="1">
      <c r="A430" s="227"/>
      <c r="B430" s="319"/>
      <c r="C430" s="319"/>
      <c r="D430" s="320"/>
      <c r="E430" s="320"/>
      <c r="F430" s="190"/>
      <c r="G4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0" s="190"/>
      <c r="I4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0" s="190"/>
      <c r="K4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0" s="190"/>
      <c r="M4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0" s="190"/>
      <c r="O4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0" s="190"/>
      <c r="Q4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0" s="192">
        <f ca="1">Table66[[#This Row],[Year 1 (Specified in RFO) - N/A]]+Table66[[#This Row],[Year 2 (Specified in RFO) - N/A]]+Table66[[#This Row],[Year 3 (Specified in RFO) - N/A]]+Table66[[#This Row],[Year 4 (Specified in RFO) - N/A]]+Table66[[#This Row],[Year 5 (Specified in RFO) - N/A]]+Table66[[#This Row],[Year 6 (Specified in RFO) - N/A]]</f>
        <v>0</v>
      </c>
      <c r="S430" s="402">
        <f ca="1">Table66[[#This Row],[Year 1  (Proposed)]]+Table66[[#This Row],[Year 2 (Proposed)]]+Table66[[#This Row],[Year 3 (Proposed)]]+Table66[[#This Row],[Year 4 (Proposed)]]+Table66[[#This Row],[Year 5 (Proposed)]]+Table66[[#This Row],[Year 6 (Proposed)]]</f>
        <v>0</v>
      </c>
      <c r="T430" s="403" t="b">
        <f ca="1">Table66[[#This Row],[Total Specifed in RFO - N/A]]=Table66[[#This Row],[Total Proposed]]</f>
        <v>1</v>
      </c>
      <c r="U430" s="439"/>
      <c r="V430" s="441">
        <f ca="1">Table66[[#This Row],[Year 6 (Specified in RFO) - N/A]]-Table66[[#This Row],[Column1]]</f>
        <v>0</v>
      </c>
    </row>
    <row r="431" spans="1:22" ht="16.5" thickBot="1">
      <c r="A431" s="227"/>
      <c r="B431" s="319"/>
      <c r="C431" s="319"/>
      <c r="D431" s="320"/>
      <c r="E431" s="320"/>
      <c r="F431" s="190"/>
      <c r="G4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1" s="190"/>
      <c r="I4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1" s="190"/>
      <c r="K4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1" s="190"/>
      <c r="M4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1" s="190"/>
      <c r="O4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1" s="190"/>
      <c r="Q4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1" s="192">
        <f ca="1">Table66[[#This Row],[Year 1 (Specified in RFO) - N/A]]+Table66[[#This Row],[Year 2 (Specified in RFO) - N/A]]+Table66[[#This Row],[Year 3 (Specified in RFO) - N/A]]+Table66[[#This Row],[Year 4 (Specified in RFO) - N/A]]+Table66[[#This Row],[Year 5 (Specified in RFO) - N/A]]+Table66[[#This Row],[Year 6 (Specified in RFO) - N/A]]</f>
        <v>0</v>
      </c>
      <c r="S431" s="402">
        <f ca="1">Table66[[#This Row],[Year 1  (Proposed)]]+Table66[[#This Row],[Year 2 (Proposed)]]+Table66[[#This Row],[Year 3 (Proposed)]]+Table66[[#This Row],[Year 4 (Proposed)]]+Table66[[#This Row],[Year 5 (Proposed)]]+Table66[[#This Row],[Year 6 (Proposed)]]</f>
        <v>0</v>
      </c>
      <c r="T431" s="403" t="b">
        <f ca="1">Table66[[#This Row],[Total Specifed in RFO - N/A]]=Table66[[#This Row],[Total Proposed]]</f>
        <v>1</v>
      </c>
      <c r="U431" s="439"/>
      <c r="V431" s="441">
        <f ca="1">Table66[[#This Row],[Year 6 (Specified in RFO) - N/A]]-Table66[[#This Row],[Column1]]</f>
        <v>0</v>
      </c>
    </row>
    <row r="432" spans="1:22" ht="16.5" thickBot="1">
      <c r="A432" s="227"/>
      <c r="B432" s="319"/>
      <c r="C432" s="319"/>
      <c r="D432" s="320"/>
      <c r="E432" s="320"/>
      <c r="F432" s="190"/>
      <c r="G4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2" s="190"/>
      <c r="I4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2" s="190"/>
      <c r="K4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2" s="190"/>
      <c r="M4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2" s="190"/>
      <c r="O4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2" s="190"/>
      <c r="Q4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2" s="192">
        <f ca="1">Table66[[#This Row],[Year 1 (Specified in RFO) - N/A]]+Table66[[#This Row],[Year 2 (Specified in RFO) - N/A]]+Table66[[#This Row],[Year 3 (Specified in RFO) - N/A]]+Table66[[#This Row],[Year 4 (Specified in RFO) - N/A]]+Table66[[#This Row],[Year 5 (Specified in RFO) - N/A]]+Table66[[#This Row],[Year 6 (Specified in RFO) - N/A]]</f>
        <v>0</v>
      </c>
      <c r="S432" s="402">
        <f ca="1">Table66[[#This Row],[Year 1  (Proposed)]]+Table66[[#This Row],[Year 2 (Proposed)]]+Table66[[#This Row],[Year 3 (Proposed)]]+Table66[[#This Row],[Year 4 (Proposed)]]+Table66[[#This Row],[Year 5 (Proposed)]]+Table66[[#This Row],[Year 6 (Proposed)]]</f>
        <v>0</v>
      </c>
      <c r="T432" s="403" t="b">
        <f ca="1">Table66[[#This Row],[Total Specifed in RFO - N/A]]=Table66[[#This Row],[Total Proposed]]</f>
        <v>1</v>
      </c>
      <c r="U432" s="439"/>
      <c r="V432" s="441">
        <f ca="1">Table66[[#This Row],[Year 6 (Specified in RFO) - N/A]]-Table66[[#This Row],[Column1]]</f>
        <v>0</v>
      </c>
    </row>
    <row r="433" spans="1:22" ht="16.5" thickBot="1">
      <c r="A433" s="227"/>
      <c r="B433" s="319"/>
      <c r="C433" s="319"/>
      <c r="D433" s="320"/>
      <c r="E433" s="320"/>
      <c r="F433" s="190"/>
      <c r="G4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3" s="190"/>
      <c r="I4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3" s="190"/>
      <c r="K4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3" s="190"/>
      <c r="M4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3" s="190"/>
      <c r="O4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3" s="190"/>
      <c r="Q4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3" s="192">
        <f ca="1">Table66[[#This Row],[Year 1 (Specified in RFO) - N/A]]+Table66[[#This Row],[Year 2 (Specified in RFO) - N/A]]+Table66[[#This Row],[Year 3 (Specified in RFO) - N/A]]+Table66[[#This Row],[Year 4 (Specified in RFO) - N/A]]+Table66[[#This Row],[Year 5 (Specified in RFO) - N/A]]+Table66[[#This Row],[Year 6 (Specified in RFO) - N/A]]</f>
        <v>0</v>
      </c>
      <c r="S433" s="402">
        <f ca="1">Table66[[#This Row],[Year 1  (Proposed)]]+Table66[[#This Row],[Year 2 (Proposed)]]+Table66[[#This Row],[Year 3 (Proposed)]]+Table66[[#This Row],[Year 4 (Proposed)]]+Table66[[#This Row],[Year 5 (Proposed)]]+Table66[[#This Row],[Year 6 (Proposed)]]</f>
        <v>0</v>
      </c>
      <c r="T433" s="403" t="b">
        <f ca="1">Table66[[#This Row],[Total Specifed in RFO - N/A]]=Table66[[#This Row],[Total Proposed]]</f>
        <v>1</v>
      </c>
      <c r="U433" s="439"/>
      <c r="V433" s="441">
        <f ca="1">Table66[[#This Row],[Year 6 (Specified in RFO) - N/A]]-Table66[[#This Row],[Column1]]</f>
        <v>0</v>
      </c>
    </row>
    <row r="434" spans="1:22" ht="16.5" thickBot="1">
      <c r="A434" s="227"/>
      <c r="B434" s="319"/>
      <c r="C434" s="319"/>
      <c r="D434" s="320"/>
      <c r="E434" s="320"/>
      <c r="F434" s="190"/>
      <c r="G4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4" s="190"/>
      <c r="I4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4" s="190"/>
      <c r="K4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4" s="190"/>
      <c r="M4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4" s="190"/>
      <c r="O4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4" s="190"/>
      <c r="Q4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4" s="192">
        <f ca="1">Table66[[#This Row],[Year 1 (Specified in RFO) - N/A]]+Table66[[#This Row],[Year 2 (Specified in RFO) - N/A]]+Table66[[#This Row],[Year 3 (Specified in RFO) - N/A]]+Table66[[#This Row],[Year 4 (Specified in RFO) - N/A]]+Table66[[#This Row],[Year 5 (Specified in RFO) - N/A]]+Table66[[#This Row],[Year 6 (Specified in RFO) - N/A]]</f>
        <v>0</v>
      </c>
      <c r="S434" s="402">
        <f ca="1">Table66[[#This Row],[Year 1  (Proposed)]]+Table66[[#This Row],[Year 2 (Proposed)]]+Table66[[#This Row],[Year 3 (Proposed)]]+Table66[[#This Row],[Year 4 (Proposed)]]+Table66[[#This Row],[Year 5 (Proposed)]]+Table66[[#This Row],[Year 6 (Proposed)]]</f>
        <v>0</v>
      </c>
      <c r="T434" s="403" t="b">
        <f ca="1">Table66[[#This Row],[Total Specifed in RFO - N/A]]=Table66[[#This Row],[Total Proposed]]</f>
        <v>1</v>
      </c>
      <c r="U434" s="439"/>
      <c r="V434" s="441">
        <f ca="1">Table66[[#This Row],[Year 6 (Specified in RFO) - N/A]]-Table66[[#This Row],[Column1]]</f>
        <v>0</v>
      </c>
    </row>
    <row r="435" spans="1:22" ht="16.5" thickBot="1">
      <c r="A435" s="227"/>
      <c r="B435" s="319"/>
      <c r="C435" s="319"/>
      <c r="D435" s="320"/>
      <c r="E435" s="320"/>
      <c r="F435" s="190"/>
      <c r="G4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5" s="190"/>
      <c r="I4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5" s="190"/>
      <c r="K4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5" s="190"/>
      <c r="M4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5" s="190"/>
      <c r="O4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5" s="190"/>
      <c r="Q4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5" s="192">
        <f ca="1">Table66[[#This Row],[Year 1 (Specified in RFO) - N/A]]+Table66[[#This Row],[Year 2 (Specified in RFO) - N/A]]+Table66[[#This Row],[Year 3 (Specified in RFO) - N/A]]+Table66[[#This Row],[Year 4 (Specified in RFO) - N/A]]+Table66[[#This Row],[Year 5 (Specified in RFO) - N/A]]+Table66[[#This Row],[Year 6 (Specified in RFO) - N/A]]</f>
        <v>0</v>
      </c>
      <c r="S435" s="402">
        <f ca="1">Table66[[#This Row],[Year 1  (Proposed)]]+Table66[[#This Row],[Year 2 (Proposed)]]+Table66[[#This Row],[Year 3 (Proposed)]]+Table66[[#This Row],[Year 4 (Proposed)]]+Table66[[#This Row],[Year 5 (Proposed)]]+Table66[[#This Row],[Year 6 (Proposed)]]</f>
        <v>0</v>
      </c>
      <c r="T435" s="403" t="b">
        <f ca="1">Table66[[#This Row],[Total Specifed in RFO - N/A]]=Table66[[#This Row],[Total Proposed]]</f>
        <v>1</v>
      </c>
      <c r="U435" s="439"/>
      <c r="V435" s="441">
        <f ca="1">Table66[[#This Row],[Year 6 (Specified in RFO) - N/A]]-Table66[[#This Row],[Column1]]</f>
        <v>0</v>
      </c>
    </row>
    <row r="436" spans="1:22" ht="16.5" thickBot="1">
      <c r="A436" s="227"/>
      <c r="B436" s="319"/>
      <c r="C436" s="319"/>
      <c r="D436" s="320"/>
      <c r="E436" s="320"/>
      <c r="F436" s="190"/>
      <c r="G4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6" s="190"/>
      <c r="I4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6" s="190"/>
      <c r="K4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6" s="190"/>
      <c r="M4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6" s="190"/>
      <c r="O4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6" s="190"/>
      <c r="Q4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6" s="192">
        <f ca="1">Table66[[#This Row],[Year 1 (Specified in RFO) - N/A]]+Table66[[#This Row],[Year 2 (Specified in RFO) - N/A]]+Table66[[#This Row],[Year 3 (Specified in RFO) - N/A]]+Table66[[#This Row],[Year 4 (Specified in RFO) - N/A]]+Table66[[#This Row],[Year 5 (Specified in RFO) - N/A]]+Table66[[#This Row],[Year 6 (Specified in RFO) - N/A]]</f>
        <v>0</v>
      </c>
      <c r="S436" s="402">
        <f ca="1">Table66[[#This Row],[Year 1  (Proposed)]]+Table66[[#This Row],[Year 2 (Proposed)]]+Table66[[#This Row],[Year 3 (Proposed)]]+Table66[[#This Row],[Year 4 (Proposed)]]+Table66[[#This Row],[Year 5 (Proposed)]]+Table66[[#This Row],[Year 6 (Proposed)]]</f>
        <v>0</v>
      </c>
      <c r="T436" s="403" t="b">
        <f ca="1">Table66[[#This Row],[Total Specifed in RFO - N/A]]=Table66[[#This Row],[Total Proposed]]</f>
        <v>1</v>
      </c>
      <c r="U436" s="439"/>
      <c r="V436" s="441">
        <f ca="1">Table66[[#This Row],[Year 6 (Specified in RFO) - N/A]]-Table66[[#This Row],[Column1]]</f>
        <v>0</v>
      </c>
    </row>
    <row r="437" spans="1:22" ht="16.5" thickBot="1">
      <c r="A437" s="227"/>
      <c r="B437" s="319"/>
      <c r="C437" s="319"/>
      <c r="D437" s="320"/>
      <c r="E437" s="320"/>
      <c r="F437" s="190"/>
      <c r="G4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7" s="190"/>
      <c r="I4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7" s="190"/>
      <c r="K4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7" s="190"/>
      <c r="M4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7" s="190"/>
      <c r="O4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7" s="190"/>
      <c r="Q4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7" s="192">
        <f ca="1">Table66[[#This Row],[Year 1 (Specified in RFO) - N/A]]+Table66[[#This Row],[Year 2 (Specified in RFO) - N/A]]+Table66[[#This Row],[Year 3 (Specified in RFO) - N/A]]+Table66[[#This Row],[Year 4 (Specified in RFO) - N/A]]+Table66[[#This Row],[Year 5 (Specified in RFO) - N/A]]+Table66[[#This Row],[Year 6 (Specified in RFO) - N/A]]</f>
        <v>0</v>
      </c>
      <c r="S437" s="402">
        <f ca="1">Table66[[#This Row],[Year 1  (Proposed)]]+Table66[[#This Row],[Year 2 (Proposed)]]+Table66[[#This Row],[Year 3 (Proposed)]]+Table66[[#This Row],[Year 4 (Proposed)]]+Table66[[#This Row],[Year 5 (Proposed)]]+Table66[[#This Row],[Year 6 (Proposed)]]</f>
        <v>0</v>
      </c>
      <c r="T437" s="403" t="b">
        <f ca="1">Table66[[#This Row],[Total Specifed in RFO - N/A]]=Table66[[#This Row],[Total Proposed]]</f>
        <v>1</v>
      </c>
      <c r="U437" s="439"/>
      <c r="V437" s="441">
        <f ca="1">Table66[[#This Row],[Year 6 (Specified in RFO) - N/A]]-Table66[[#This Row],[Column1]]</f>
        <v>0</v>
      </c>
    </row>
    <row r="438" spans="1:22" ht="16.5" thickBot="1">
      <c r="A438" s="227"/>
      <c r="B438" s="319"/>
      <c r="C438" s="319"/>
      <c r="D438" s="320"/>
      <c r="E438" s="320"/>
      <c r="F438" s="190"/>
      <c r="G4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8" s="190"/>
      <c r="I4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8" s="190"/>
      <c r="K4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8" s="190"/>
      <c r="M4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8" s="190"/>
      <c r="O4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8" s="190"/>
      <c r="Q4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8" s="192">
        <f ca="1">Table66[[#This Row],[Year 1 (Specified in RFO) - N/A]]+Table66[[#This Row],[Year 2 (Specified in RFO) - N/A]]+Table66[[#This Row],[Year 3 (Specified in RFO) - N/A]]+Table66[[#This Row],[Year 4 (Specified in RFO) - N/A]]+Table66[[#This Row],[Year 5 (Specified in RFO) - N/A]]+Table66[[#This Row],[Year 6 (Specified in RFO) - N/A]]</f>
        <v>0</v>
      </c>
      <c r="S438" s="402">
        <f ca="1">Table66[[#This Row],[Year 1  (Proposed)]]+Table66[[#This Row],[Year 2 (Proposed)]]+Table66[[#This Row],[Year 3 (Proposed)]]+Table66[[#This Row],[Year 4 (Proposed)]]+Table66[[#This Row],[Year 5 (Proposed)]]+Table66[[#This Row],[Year 6 (Proposed)]]</f>
        <v>0</v>
      </c>
      <c r="T438" s="403" t="b">
        <f ca="1">Table66[[#This Row],[Total Specifed in RFO - N/A]]=Table66[[#This Row],[Total Proposed]]</f>
        <v>1</v>
      </c>
      <c r="U438" s="439"/>
      <c r="V438" s="441">
        <f ca="1">Table66[[#This Row],[Year 6 (Specified in RFO) - N/A]]-Table66[[#This Row],[Column1]]</f>
        <v>0</v>
      </c>
    </row>
    <row r="439" spans="1:22" ht="16.5" thickBot="1">
      <c r="A439" s="227"/>
      <c r="B439" s="319"/>
      <c r="C439" s="319"/>
      <c r="D439" s="320"/>
      <c r="E439" s="320"/>
      <c r="F439" s="190"/>
      <c r="G4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9" s="190"/>
      <c r="I4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9" s="190"/>
      <c r="K4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9" s="190"/>
      <c r="M4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9" s="190"/>
      <c r="O4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9" s="190"/>
      <c r="Q4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9" s="192">
        <f ca="1">Table66[[#This Row],[Year 1 (Specified in RFO) - N/A]]+Table66[[#This Row],[Year 2 (Specified in RFO) - N/A]]+Table66[[#This Row],[Year 3 (Specified in RFO) - N/A]]+Table66[[#This Row],[Year 4 (Specified in RFO) - N/A]]+Table66[[#This Row],[Year 5 (Specified in RFO) - N/A]]+Table66[[#This Row],[Year 6 (Specified in RFO) - N/A]]</f>
        <v>0</v>
      </c>
      <c r="S439" s="402">
        <f ca="1">Table66[[#This Row],[Year 1  (Proposed)]]+Table66[[#This Row],[Year 2 (Proposed)]]+Table66[[#This Row],[Year 3 (Proposed)]]+Table66[[#This Row],[Year 4 (Proposed)]]+Table66[[#This Row],[Year 5 (Proposed)]]+Table66[[#This Row],[Year 6 (Proposed)]]</f>
        <v>0</v>
      </c>
      <c r="T439" s="403" t="b">
        <f ca="1">Table66[[#This Row],[Total Specifed in RFO - N/A]]=Table66[[#This Row],[Total Proposed]]</f>
        <v>1</v>
      </c>
      <c r="U439" s="439"/>
      <c r="V439" s="441">
        <f ca="1">Table66[[#This Row],[Year 6 (Specified in RFO) - N/A]]-Table66[[#This Row],[Column1]]</f>
        <v>0</v>
      </c>
    </row>
    <row r="440" spans="1:22" ht="16.5" thickBot="1">
      <c r="A440" s="227"/>
      <c r="B440" s="319"/>
      <c r="C440" s="319"/>
      <c r="D440" s="320"/>
      <c r="E440" s="320"/>
      <c r="F440" s="190"/>
      <c r="G4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0" s="190"/>
      <c r="I4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0" s="190"/>
      <c r="K4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0" s="190"/>
      <c r="M4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0" s="190"/>
      <c r="O4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0" s="190"/>
      <c r="Q4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0" s="192">
        <f ca="1">Table66[[#This Row],[Year 1 (Specified in RFO) - N/A]]+Table66[[#This Row],[Year 2 (Specified in RFO) - N/A]]+Table66[[#This Row],[Year 3 (Specified in RFO) - N/A]]+Table66[[#This Row],[Year 4 (Specified in RFO) - N/A]]+Table66[[#This Row],[Year 5 (Specified in RFO) - N/A]]+Table66[[#This Row],[Year 6 (Specified in RFO) - N/A]]</f>
        <v>0</v>
      </c>
      <c r="S440" s="402">
        <f ca="1">Table66[[#This Row],[Year 1  (Proposed)]]+Table66[[#This Row],[Year 2 (Proposed)]]+Table66[[#This Row],[Year 3 (Proposed)]]+Table66[[#This Row],[Year 4 (Proposed)]]+Table66[[#This Row],[Year 5 (Proposed)]]+Table66[[#This Row],[Year 6 (Proposed)]]</f>
        <v>0</v>
      </c>
      <c r="T440" s="403" t="b">
        <f ca="1">Table66[[#This Row],[Total Specifed in RFO - N/A]]=Table66[[#This Row],[Total Proposed]]</f>
        <v>1</v>
      </c>
      <c r="U440" s="439"/>
      <c r="V440" s="441">
        <f ca="1">Table66[[#This Row],[Year 6 (Specified in RFO) - N/A]]-Table66[[#This Row],[Column1]]</f>
        <v>0</v>
      </c>
    </row>
    <row r="441" spans="1:22" ht="16.5" thickBot="1">
      <c r="A441" s="227"/>
      <c r="B441" s="319"/>
      <c r="C441" s="319"/>
      <c r="D441" s="320"/>
      <c r="E441" s="320"/>
      <c r="F441" s="190"/>
      <c r="G4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1" s="190"/>
      <c r="I4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1" s="190"/>
      <c r="K4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1" s="190"/>
      <c r="M4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1" s="190"/>
      <c r="O4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1" s="190"/>
      <c r="Q4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1" s="192">
        <f ca="1">Table66[[#This Row],[Year 1 (Specified in RFO) - N/A]]+Table66[[#This Row],[Year 2 (Specified in RFO) - N/A]]+Table66[[#This Row],[Year 3 (Specified in RFO) - N/A]]+Table66[[#This Row],[Year 4 (Specified in RFO) - N/A]]+Table66[[#This Row],[Year 5 (Specified in RFO) - N/A]]+Table66[[#This Row],[Year 6 (Specified in RFO) - N/A]]</f>
        <v>0</v>
      </c>
      <c r="S441" s="402">
        <f ca="1">Table66[[#This Row],[Year 1  (Proposed)]]+Table66[[#This Row],[Year 2 (Proposed)]]+Table66[[#This Row],[Year 3 (Proposed)]]+Table66[[#This Row],[Year 4 (Proposed)]]+Table66[[#This Row],[Year 5 (Proposed)]]+Table66[[#This Row],[Year 6 (Proposed)]]</f>
        <v>0</v>
      </c>
      <c r="T441" s="403" t="b">
        <f ca="1">Table66[[#This Row],[Total Specifed in RFO - N/A]]=Table66[[#This Row],[Total Proposed]]</f>
        <v>1</v>
      </c>
      <c r="U441" s="439"/>
      <c r="V441" s="441">
        <f ca="1">Table66[[#This Row],[Year 6 (Specified in RFO) - N/A]]-Table66[[#This Row],[Column1]]</f>
        <v>0</v>
      </c>
    </row>
    <row r="442" spans="1:22" ht="16.5" thickBot="1">
      <c r="A442" s="227"/>
      <c r="B442" s="319"/>
      <c r="C442" s="319"/>
      <c r="D442" s="320"/>
      <c r="E442" s="320"/>
      <c r="F442" s="190"/>
      <c r="G4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2" s="190"/>
      <c r="I4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2" s="190"/>
      <c r="K4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2" s="190"/>
      <c r="M4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2" s="190"/>
      <c r="O4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2" s="190"/>
      <c r="Q4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2" s="192">
        <f ca="1">Table66[[#This Row],[Year 1 (Specified in RFO) - N/A]]+Table66[[#This Row],[Year 2 (Specified in RFO) - N/A]]+Table66[[#This Row],[Year 3 (Specified in RFO) - N/A]]+Table66[[#This Row],[Year 4 (Specified in RFO) - N/A]]+Table66[[#This Row],[Year 5 (Specified in RFO) - N/A]]+Table66[[#This Row],[Year 6 (Specified in RFO) - N/A]]</f>
        <v>0</v>
      </c>
      <c r="S442" s="402">
        <f ca="1">Table66[[#This Row],[Year 1  (Proposed)]]+Table66[[#This Row],[Year 2 (Proposed)]]+Table66[[#This Row],[Year 3 (Proposed)]]+Table66[[#This Row],[Year 4 (Proposed)]]+Table66[[#This Row],[Year 5 (Proposed)]]+Table66[[#This Row],[Year 6 (Proposed)]]</f>
        <v>0</v>
      </c>
      <c r="T442" s="403" t="b">
        <f ca="1">Table66[[#This Row],[Total Specifed in RFO - N/A]]=Table66[[#This Row],[Total Proposed]]</f>
        <v>1</v>
      </c>
      <c r="U442" s="439"/>
      <c r="V442" s="441">
        <f ca="1">Table66[[#This Row],[Year 6 (Specified in RFO) - N/A]]-Table66[[#This Row],[Column1]]</f>
        <v>0</v>
      </c>
    </row>
    <row r="443" spans="1:22" ht="16.5" thickBot="1">
      <c r="A443" s="227"/>
      <c r="B443" s="319"/>
      <c r="C443" s="319"/>
      <c r="D443" s="320"/>
      <c r="E443" s="320"/>
      <c r="F443" s="190"/>
      <c r="G4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3" s="190"/>
      <c r="I4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3" s="190"/>
      <c r="K4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3" s="190"/>
      <c r="M4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3" s="190"/>
      <c r="O4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3" s="190"/>
      <c r="Q4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3" s="192">
        <f ca="1">Table66[[#This Row],[Year 1 (Specified in RFO) - N/A]]+Table66[[#This Row],[Year 2 (Specified in RFO) - N/A]]+Table66[[#This Row],[Year 3 (Specified in RFO) - N/A]]+Table66[[#This Row],[Year 4 (Specified in RFO) - N/A]]+Table66[[#This Row],[Year 5 (Specified in RFO) - N/A]]+Table66[[#This Row],[Year 6 (Specified in RFO) - N/A]]</f>
        <v>0</v>
      </c>
      <c r="S443" s="402">
        <f ca="1">Table66[[#This Row],[Year 1  (Proposed)]]+Table66[[#This Row],[Year 2 (Proposed)]]+Table66[[#This Row],[Year 3 (Proposed)]]+Table66[[#This Row],[Year 4 (Proposed)]]+Table66[[#This Row],[Year 5 (Proposed)]]+Table66[[#This Row],[Year 6 (Proposed)]]</f>
        <v>0</v>
      </c>
      <c r="T443" s="403" t="b">
        <f ca="1">Table66[[#This Row],[Total Specifed in RFO - N/A]]=Table66[[#This Row],[Total Proposed]]</f>
        <v>1</v>
      </c>
      <c r="U443" s="439"/>
      <c r="V443" s="441">
        <f ca="1">Table66[[#This Row],[Year 6 (Specified in RFO) - N/A]]-Table66[[#This Row],[Column1]]</f>
        <v>0</v>
      </c>
    </row>
    <row r="444" spans="1:22" ht="16.5" thickBot="1">
      <c r="A444" s="227"/>
      <c r="B444" s="319"/>
      <c r="C444" s="319"/>
      <c r="D444" s="320"/>
      <c r="E444" s="320"/>
      <c r="F444" s="190"/>
      <c r="G4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4" s="190"/>
      <c r="I4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4" s="190"/>
      <c r="K4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4" s="190"/>
      <c r="M4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4" s="190"/>
      <c r="O4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4" s="190"/>
      <c r="Q4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4" s="192">
        <f ca="1">Table66[[#This Row],[Year 1 (Specified in RFO) - N/A]]+Table66[[#This Row],[Year 2 (Specified in RFO) - N/A]]+Table66[[#This Row],[Year 3 (Specified in RFO) - N/A]]+Table66[[#This Row],[Year 4 (Specified in RFO) - N/A]]+Table66[[#This Row],[Year 5 (Specified in RFO) - N/A]]+Table66[[#This Row],[Year 6 (Specified in RFO) - N/A]]</f>
        <v>0</v>
      </c>
      <c r="S444" s="402">
        <f ca="1">Table66[[#This Row],[Year 1  (Proposed)]]+Table66[[#This Row],[Year 2 (Proposed)]]+Table66[[#This Row],[Year 3 (Proposed)]]+Table66[[#This Row],[Year 4 (Proposed)]]+Table66[[#This Row],[Year 5 (Proposed)]]+Table66[[#This Row],[Year 6 (Proposed)]]</f>
        <v>0</v>
      </c>
      <c r="T444" s="403" t="b">
        <f ca="1">Table66[[#This Row],[Total Specifed in RFO - N/A]]=Table66[[#This Row],[Total Proposed]]</f>
        <v>1</v>
      </c>
      <c r="U444" s="439"/>
      <c r="V444" s="441">
        <f ca="1">Table66[[#This Row],[Year 6 (Specified in RFO) - N/A]]-Table66[[#This Row],[Column1]]</f>
        <v>0</v>
      </c>
    </row>
    <row r="445" spans="1:22" ht="16.5" thickBot="1">
      <c r="A445" s="227"/>
      <c r="B445" s="319"/>
      <c r="C445" s="319"/>
      <c r="D445" s="320"/>
      <c r="E445" s="320"/>
      <c r="F445" s="190"/>
      <c r="G4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5" s="190"/>
      <c r="I4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5" s="190"/>
      <c r="K4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5" s="190"/>
      <c r="M4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5" s="190"/>
      <c r="O4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5" s="190"/>
      <c r="Q4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5" s="192">
        <f ca="1">Table66[[#This Row],[Year 1 (Specified in RFO) - N/A]]+Table66[[#This Row],[Year 2 (Specified in RFO) - N/A]]+Table66[[#This Row],[Year 3 (Specified in RFO) - N/A]]+Table66[[#This Row],[Year 4 (Specified in RFO) - N/A]]+Table66[[#This Row],[Year 5 (Specified in RFO) - N/A]]+Table66[[#This Row],[Year 6 (Specified in RFO) - N/A]]</f>
        <v>0</v>
      </c>
      <c r="S445" s="402">
        <f ca="1">Table66[[#This Row],[Year 1  (Proposed)]]+Table66[[#This Row],[Year 2 (Proposed)]]+Table66[[#This Row],[Year 3 (Proposed)]]+Table66[[#This Row],[Year 4 (Proposed)]]+Table66[[#This Row],[Year 5 (Proposed)]]+Table66[[#This Row],[Year 6 (Proposed)]]</f>
        <v>0</v>
      </c>
      <c r="T445" s="403" t="b">
        <f ca="1">Table66[[#This Row],[Total Specifed in RFO - N/A]]=Table66[[#This Row],[Total Proposed]]</f>
        <v>1</v>
      </c>
      <c r="U445" s="439"/>
      <c r="V445" s="441">
        <f ca="1">Table66[[#This Row],[Year 6 (Specified in RFO) - N/A]]-Table66[[#This Row],[Column1]]</f>
        <v>0</v>
      </c>
    </row>
    <row r="446" spans="1:22" ht="16.5" thickBot="1">
      <c r="A446" s="227"/>
      <c r="B446" s="319"/>
      <c r="C446" s="319"/>
      <c r="D446" s="320"/>
      <c r="E446" s="320"/>
      <c r="F446" s="190"/>
      <c r="G4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6" s="190"/>
      <c r="I4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6" s="190"/>
      <c r="K4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6" s="190"/>
      <c r="M4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6" s="190"/>
      <c r="O4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6" s="190"/>
      <c r="Q4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6" s="192">
        <f ca="1">Table66[[#This Row],[Year 1 (Specified in RFO) - N/A]]+Table66[[#This Row],[Year 2 (Specified in RFO) - N/A]]+Table66[[#This Row],[Year 3 (Specified in RFO) - N/A]]+Table66[[#This Row],[Year 4 (Specified in RFO) - N/A]]+Table66[[#This Row],[Year 5 (Specified in RFO) - N/A]]+Table66[[#This Row],[Year 6 (Specified in RFO) - N/A]]</f>
        <v>0</v>
      </c>
      <c r="S446" s="402">
        <f ca="1">Table66[[#This Row],[Year 1  (Proposed)]]+Table66[[#This Row],[Year 2 (Proposed)]]+Table66[[#This Row],[Year 3 (Proposed)]]+Table66[[#This Row],[Year 4 (Proposed)]]+Table66[[#This Row],[Year 5 (Proposed)]]+Table66[[#This Row],[Year 6 (Proposed)]]</f>
        <v>0</v>
      </c>
      <c r="T446" s="403" t="b">
        <f ca="1">Table66[[#This Row],[Total Specifed in RFO - N/A]]=Table66[[#This Row],[Total Proposed]]</f>
        <v>1</v>
      </c>
      <c r="U446" s="439"/>
      <c r="V446" s="441">
        <f ca="1">Table66[[#This Row],[Year 6 (Specified in RFO) - N/A]]-Table66[[#This Row],[Column1]]</f>
        <v>0</v>
      </c>
    </row>
    <row r="447" spans="1:22" ht="16.5" thickBot="1">
      <c r="A447" s="227"/>
      <c r="B447" s="319"/>
      <c r="C447" s="319"/>
      <c r="D447" s="320"/>
      <c r="E447" s="320"/>
      <c r="F447" s="190"/>
      <c r="G4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7" s="190"/>
      <c r="I4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7" s="190"/>
      <c r="K4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7" s="190"/>
      <c r="M4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7" s="190"/>
      <c r="O4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7" s="190"/>
      <c r="Q4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7" s="192">
        <f ca="1">Table66[[#This Row],[Year 1 (Specified in RFO) - N/A]]+Table66[[#This Row],[Year 2 (Specified in RFO) - N/A]]+Table66[[#This Row],[Year 3 (Specified in RFO) - N/A]]+Table66[[#This Row],[Year 4 (Specified in RFO) - N/A]]+Table66[[#This Row],[Year 5 (Specified in RFO) - N/A]]+Table66[[#This Row],[Year 6 (Specified in RFO) - N/A]]</f>
        <v>0</v>
      </c>
      <c r="S447" s="402">
        <f ca="1">Table66[[#This Row],[Year 1  (Proposed)]]+Table66[[#This Row],[Year 2 (Proposed)]]+Table66[[#This Row],[Year 3 (Proposed)]]+Table66[[#This Row],[Year 4 (Proposed)]]+Table66[[#This Row],[Year 5 (Proposed)]]+Table66[[#This Row],[Year 6 (Proposed)]]</f>
        <v>0</v>
      </c>
      <c r="T447" s="403" t="b">
        <f ca="1">Table66[[#This Row],[Total Specifed in RFO - N/A]]=Table66[[#This Row],[Total Proposed]]</f>
        <v>1</v>
      </c>
      <c r="U447" s="439"/>
      <c r="V447" s="441">
        <f ca="1">Table66[[#This Row],[Year 6 (Specified in RFO) - N/A]]-Table66[[#This Row],[Column1]]</f>
        <v>0</v>
      </c>
    </row>
    <row r="448" spans="1:22" ht="16.5" thickBot="1">
      <c r="A448" s="227"/>
      <c r="B448" s="319"/>
      <c r="C448" s="319"/>
      <c r="D448" s="320"/>
      <c r="E448" s="320"/>
      <c r="F448" s="190"/>
      <c r="G4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8" s="190"/>
      <c r="I4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8" s="190"/>
      <c r="K4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8" s="190"/>
      <c r="M4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8" s="190"/>
      <c r="O4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8" s="190"/>
      <c r="Q4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8" s="192">
        <f ca="1">Table66[[#This Row],[Year 1 (Specified in RFO) - N/A]]+Table66[[#This Row],[Year 2 (Specified in RFO) - N/A]]+Table66[[#This Row],[Year 3 (Specified in RFO) - N/A]]+Table66[[#This Row],[Year 4 (Specified in RFO) - N/A]]+Table66[[#This Row],[Year 5 (Specified in RFO) - N/A]]+Table66[[#This Row],[Year 6 (Specified in RFO) - N/A]]</f>
        <v>0</v>
      </c>
      <c r="S448" s="402">
        <f ca="1">Table66[[#This Row],[Year 1  (Proposed)]]+Table66[[#This Row],[Year 2 (Proposed)]]+Table66[[#This Row],[Year 3 (Proposed)]]+Table66[[#This Row],[Year 4 (Proposed)]]+Table66[[#This Row],[Year 5 (Proposed)]]+Table66[[#This Row],[Year 6 (Proposed)]]</f>
        <v>0</v>
      </c>
      <c r="T448" s="403" t="b">
        <f ca="1">Table66[[#This Row],[Total Specifed in RFO - N/A]]=Table66[[#This Row],[Total Proposed]]</f>
        <v>1</v>
      </c>
      <c r="U448" s="439"/>
      <c r="V448" s="441">
        <f ca="1">Table66[[#This Row],[Year 6 (Specified in RFO) - N/A]]-Table66[[#This Row],[Column1]]</f>
        <v>0</v>
      </c>
    </row>
    <row r="449" spans="1:22" ht="16.5" thickBot="1">
      <c r="A449" s="227"/>
      <c r="B449" s="319"/>
      <c r="C449" s="319"/>
      <c r="D449" s="320"/>
      <c r="E449" s="320"/>
      <c r="F449" s="190"/>
      <c r="G4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9" s="190"/>
      <c r="I4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9" s="190"/>
      <c r="K4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9" s="190"/>
      <c r="M4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9" s="190"/>
      <c r="O4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9" s="190"/>
      <c r="Q4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9" s="192">
        <f ca="1">Table66[[#This Row],[Year 1 (Specified in RFO) - N/A]]+Table66[[#This Row],[Year 2 (Specified in RFO) - N/A]]+Table66[[#This Row],[Year 3 (Specified in RFO) - N/A]]+Table66[[#This Row],[Year 4 (Specified in RFO) - N/A]]+Table66[[#This Row],[Year 5 (Specified in RFO) - N/A]]+Table66[[#This Row],[Year 6 (Specified in RFO) - N/A]]</f>
        <v>0</v>
      </c>
      <c r="S449" s="402">
        <f ca="1">Table66[[#This Row],[Year 1  (Proposed)]]+Table66[[#This Row],[Year 2 (Proposed)]]+Table66[[#This Row],[Year 3 (Proposed)]]+Table66[[#This Row],[Year 4 (Proposed)]]+Table66[[#This Row],[Year 5 (Proposed)]]+Table66[[#This Row],[Year 6 (Proposed)]]</f>
        <v>0</v>
      </c>
      <c r="T449" s="403" t="b">
        <f ca="1">Table66[[#This Row],[Total Specifed in RFO - N/A]]=Table66[[#This Row],[Total Proposed]]</f>
        <v>1</v>
      </c>
      <c r="U449" s="439"/>
      <c r="V449" s="441">
        <f ca="1">Table66[[#This Row],[Year 6 (Specified in RFO) - N/A]]-Table66[[#This Row],[Column1]]</f>
        <v>0</v>
      </c>
    </row>
    <row r="450" spans="1:22" ht="16.5" thickBot="1">
      <c r="A450" s="227"/>
      <c r="B450" s="319"/>
      <c r="C450" s="319"/>
      <c r="D450" s="320"/>
      <c r="E450" s="320"/>
      <c r="F450" s="190"/>
      <c r="G4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0" s="190"/>
      <c r="I4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0" s="190"/>
      <c r="K4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0" s="190"/>
      <c r="M4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0" s="190"/>
      <c r="O4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0" s="190"/>
      <c r="Q4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0" s="192">
        <f ca="1">Table66[[#This Row],[Year 1 (Specified in RFO) - N/A]]+Table66[[#This Row],[Year 2 (Specified in RFO) - N/A]]+Table66[[#This Row],[Year 3 (Specified in RFO) - N/A]]+Table66[[#This Row],[Year 4 (Specified in RFO) - N/A]]+Table66[[#This Row],[Year 5 (Specified in RFO) - N/A]]+Table66[[#This Row],[Year 6 (Specified in RFO) - N/A]]</f>
        <v>0</v>
      </c>
      <c r="S450" s="402">
        <f ca="1">Table66[[#This Row],[Year 1  (Proposed)]]+Table66[[#This Row],[Year 2 (Proposed)]]+Table66[[#This Row],[Year 3 (Proposed)]]+Table66[[#This Row],[Year 4 (Proposed)]]+Table66[[#This Row],[Year 5 (Proposed)]]+Table66[[#This Row],[Year 6 (Proposed)]]</f>
        <v>0</v>
      </c>
      <c r="T450" s="403" t="b">
        <f ca="1">Table66[[#This Row],[Total Specifed in RFO - N/A]]=Table66[[#This Row],[Total Proposed]]</f>
        <v>1</v>
      </c>
      <c r="U450" s="439"/>
      <c r="V450" s="441">
        <f ca="1">Table66[[#This Row],[Year 6 (Specified in RFO) - N/A]]-Table66[[#This Row],[Column1]]</f>
        <v>0</v>
      </c>
    </row>
    <row r="451" spans="1:22" ht="16.5" thickBot="1">
      <c r="A451" s="227"/>
      <c r="B451" s="319"/>
      <c r="C451" s="319"/>
      <c r="D451" s="320"/>
      <c r="E451" s="320"/>
      <c r="F451" s="190"/>
      <c r="G4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1" s="190"/>
      <c r="I4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1" s="190"/>
      <c r="K4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1" s="190"/>
      <c r="M4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1" s="190"/>
      <c r="O4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1" s="190"/>
      <c r="Q4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1" s="192">
        <f ca="1">Table66[[#This Row],[Year 1 (Specified in RFO) - N/A]]+Table66[[#This Row],[Year 2 (Specified in RFO) - N/A]]+Table66[[#This Row],[Year 3 (Specified in RFO) - N/A]]+Table66[[#This Row],[Year 4 (Specified in RFO) - N/A]]+Table66[[#This Row],[Year 5 (Specified in RFO) - N/A]]+Table66[[#This Row],[Year 6 (Specified in RFO) - N/A]]</f>
        <v>0</v>
      </c>
      <c r="S451" s="402">
        <f ca="1">Table66[[#This Row],[Year 1  (Proposed)]]+Table66[[#This Row],[Year 2 (Proposed)]]+Table66[[#This Row],[Year 3 (Proposed)]]+Table66[[#This Row],[Year 4 (Proposed)]]+Table66[[#This Row],[Year 5 (Proposed)]]+Table66[[#This Row],[Year 6 (Proposed)]]</f>
        <v>0</v>
      </c>
      <c r="T451" s="403" t="b">
        <f ca="1">Table66[[#This Row],[Total Specifed in RFO - N/A]]=Table66[[#This Row],[Total Proposed]]</f>
        <v>1</v>
      </c>
      <c r="U451" s="439"/>
      <c r="V451" s="441">
        <f ca="1">Table66[[#This Row],[Year 6 (Specified in RFO) - N/A]]-Table66[[#This Row],[Column1]]</f>
        <v>0</v>
      </c>
    </row>
    <row r="452" spans="1:22" ht="16.5" thickBot="1">
      <c r="A452" s="227"/>
      <c r="B452" s="319"/>
      <c r="C452" s="319"/>
      <c r="D452" s="320"/>
      <c r="E452" s="320"/>
      <c r="F452" s="190"/>
      <c r="G4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2" s="190"/>
      <c r="I4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2" s="190"/>
      <c r="K4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2" s="190"/>
      <c r="M4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2" s="190"/>
      <c r="O4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2" s="190"/>
      <c r="Q4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2" s="192">
        <f ca="1">Table66[[#This Row],[Year 1 (Specified in RFO) - N/A]]+Table66[[#This Row],[Year 2 (Specified in RFO) - N/A]]+Table66[[#This Row],[Year 3 (Specified in RFO) - N/A]]+Table66[[#This Row],[Year 4 (Specified in RFO) - N/A]]+Table66[[#This Row],[Year 5 (Specified in RFO) - N/A]]+Table66[[#This Row],[Year 6 (Specified in RFO) - N/A]]</f>
        <v>0</v>
      </c>
      <c r="S452" s="402">
        <f ca="1">Table66[[#This Row],[Year 1  (Proposed)]]+Table66[[#This Row],[Year 2 (Proposed)]]+Table66[[#This Row],[Year 3 (Proposed)]]+Table66[[#This Row],[Year 4 (Proposed)]]+Table66[[#This Row],[Year 5 (Proposed)]]+Table66[[#This Row],[Year 6 (Proposed)]]</f>
        <v>0</v>
      </c>
      <c r="T452" s="403" t="b">
        <f ca="1">Table66[[#This Row],[Total Specifed in RFO - N/A]]=Table66[[#This Row],[Total Proposed]]</f>
        <v>1</v>
      </c>
      <c r="U452" s="439"/>
      <c r="V452" s="441">
        <f ca="1">Table66[[#This Row],[Year 6 (Specified in RFO) - N/A]]-Table66[[#This Row],[Column1]]</f>
        <v>0</v>
      </c>
    </row>
    <row r="453" spans="1:22" ht="16.5" thickBot="1">
      <c r="A453" s="227"/>
      <c r="B453" s="319"/>
      <c r="C453" s="319"/>
      <c r="D453" s="320"/>
      <c r="E453" s="320"/>
      <c r="F453" s="190"/>
      <c r="G4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3" s="190"/>
      <c r="I4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3" s="190"/>
      <c r="K4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3" s="190"/>
      <c r="M4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3" s="190"/>
      <c r="O4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3" s="190"/>
      <c r="Q4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3" s="192">
        <f ca="1">Table66[[#This Row],[Year 1 (Specified in RFO) - N/A]]+Table66[[#This Row],[Year 2 (Specified in RFO) - N/A]]+Table66[[#This Row],[Year 3 (Specified in RFO) - N/A]]+Table66[[#This Row],[Year 4 (Specified in RFO) - N/A]]+Table66[[#This Row],[Year 5 (Specified in RFO) - N/A]]+Table66[[#This Row],[Year 6 (Specified in RFO) - N/A]]</f>
        <v>0</v>
      </c>
      <c r="S453" s="402">
        <f ca="1">Table66[[#This Row],[Year 1  (Proposed)]]+Table66[[#This Row],[Year 2 (Proposed)]]+Table66[[#This Row],[Year 3 (Proposed)]]+Table66[[#This Row],[Year 4 (Proposed)]]+Table66[[#This Row],[Year 5 (Proposed)]]+Table66[[#This Row],[Year 6 (Proposed)]]</f>
        <v>0</v>
      </c>
      <c r="T453" s="403" t="b">
        <f ca="1">Table66[[#This Row],[Total Specifed in RFO - N/A]]=Table66[[#This Row],[Total Proposed]]</f>
        <v>1</v>
      </c>
      <c r="U453" s="439"/>
      <c r="V453" s="441">
        <f ca="1">Table66[[#This Row],[Year 6 (Specified in RFO) - N/A]]-Table66[[#This Row],[Column1]]</f>
        <v>0</v>
      </c>
    </row>
    <row r="454" spans="1:22" ht="16.5" thickBot="1">
      <c r="A454" s="227"/>
      <c r="B454" s="319"/>
      <c r="C454" s="319"/>
      <c r="D454" s="320"/>
      <c r="E454" s="320"/>
      <c r="F454" s="190"/>
      <c r="G4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4" s="190"/>
      <c r="I4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4" s="190"/>
      <c r="K4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4" s="190"/>
      <c r="M4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4" s="190"/>
      <c r="O4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4" s="190"/>
      <c r="Q4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4" s="192">
        <f ca="1">Table66[[#This Row],[Year 1 (Specified in RFO) - N/A]]+Table66[[#This Row],[Year 2 (Specified in RFO) - N/A]]+Table66[[#This Row],[Year 3 (Specified in RFO) - N/A]]+Table66[[#This Row],[Year 4 (Specified in RFO) - N/A]]+Table66[[#This Row],[Year 5 (Specified in RFO) - N/A]]+Table66[[#This Row],[Year 6 (Specified in RFO) - N/A]]</f>
        <v>0</v>
      </c>
      <c r="S454" s="402">
        <f ca="1">Table66[[#This Row],[Year 1  (Proposed)]]+Table66[[#This Row],[Year 2 (Proposed)]]+Table66[[#This Row],[Year 3 (Proposed)]]+Table66[[#This Row],[Year 4 (Proposed)]]+Table66[[#This Row],[Year 5 (Proposed)]]+Table66[[#This Row],[Year 6 (Proposed)]]</f>
        <v>0</v>
      </c>
      <c r="T454" s="403" t="b">
        <f ca="1">Table66[[#This Row],[Total Specifed in RFO - N/A]]=Table66[[#This Row],[Total Proposed]]</f>
        <v>1</v>
      </c>
      <c r="U454" s="439"/>
      <c r="V454" s="441">
        <f ca="1">Table66[[#This Row],[Year 6 (Specified in RFO) - N/A]]-Table66[[#This Row],[Column1]]</f>
        <v>0</v>
      </c>
    </row>
    <row r="455" spans="1:22" ht="16.5" thickBot="1">
      <c r="A455" s="227"/>
      <c r="B455" s="319"/>
      <c r="C455" s="319"/>
      <c r="D455" s="320"/>
      <c r="E455" s="320"/>
      <c r="F455" s="190"/>
      <c r="G4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5" s="190"/>
      <c r="I4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5" s="190"/>
      <c r="K4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5" s="190"/>
      <c r="M4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5" s="190"/>
      <c r="O4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5" s="190"/>
      <c r="Q4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5" s="192">
        <f ca="1">Table66[[#This Row],[Year 1 (Specified in RFO) - N/A]]+Table66[[#This Row],[Year 2 (Specified in RFO) - N/A]]+Table66[[#This Row],[Year 3 (Specified in RFO) - N/A]]+Table66[[#This Row],[Year 4 (Specified in RFO) - N/A]]+Table66[[#This Row],[Year 5 (Specified in RFO) - N/A]]+Table66[[#This Row],[Year 6 (Specified in RFO) - N/A]]</f>
        <v>0</v>
      </c>
      <c r="S455" s="402">
        <f ca="1">Table66[[#This Row],[Year 1  (Proposed)]]+Table66[[#This Row],[Year 2 (Proposed)]]+Table66[[#This Row],[Year 3 (Proposed)]]+Table66[[#This Row],[Year 4 (Proposed)]]+Table66[[#This Row],[Year 5 (Proposed)]]+Table66[[#This Row],[Year 6 (Proposed)]]</f>
        <v>0</v>
      </c>
      <c r="T455" s="403" t="b">
        <f ca="1">Table66[[#This Row],[Total Specifed in RFO - N/A]]=Table66[[#This Row],[Total Proposed]]</f>
        <v>1</v>
      </c>
      <c r="U455" s="439"/>
      <c r="V455" s="441">
        <f ca="1">Table66[[#This Row],[Year 6 (Specified in RFO) - N/A]]-Table66[[#This Row],[Column1]]</f>
        <v>0</v>
      </c>
    </row>
    <row r="456" spans="1:22" ht="16.5" thickBot="1">
      <c r="A456" s="227"/>
      <c r="B456" s="319"/>
      <c r="C456" s="319"/>
      <c r="D456" s="320"/>
      <c r="E456" s="320"/>
      <c r="F456" s="190"/>
      <c r="G4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6" s="190"/>
      <c r="I4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6" s="190"/>
      <c r="K4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6" s="190"/>
      <c r="M4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6" s="190"/>
      <c r="O4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6" s="190"/>
      <c r="Q4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6" s="192">
        <f ca="1">Table66[[#This Row],[Year 1 (Specified in RFO) - N/A]]+Table66[[#This Row],[Year 2 (Specified in RFO) - N/A]]+Table66[[#This Row],[Year 3 (Specified in RFO) - N/A]]+Table66[[#This Row],[Year 4 (Specified in RFO) - N/A]]+Table66[[#This Row],[Year 5 (Specified in RFO) - N/A]]+Table66[[#This Row],[Year 6 (Specified in RFO) - N/A]]</f>
        <v>0</v>
      </c>
      <c r="S456" s="402">
        <f ca="1">Table66[[#This Row],[Year 1  (Proposed)]]+Table66[[#This Row],[Year 2 (Proposed)]]+Table66[[#This Row],[Year 3 (Proposed)]]+Table66[[#This Row],[Year 4 (Proposed)]]+Table66[[#This Row],[Year 5 (Proposed)]]+Table66[[#This Row],[Year 6 (Proposed)]]</f>
        <v>0</v>
      </c>
      <c r="T456" s="403" t="b">
        <f ca="1">Table66[[#This Row],[Total Specifed in RFO - N/A]]=Table66[[#This Row],[Total Proposed]]</f>
        <v>1</v>
      </c>
      <c r="U456" s="439"/>
      <c r="V456" s="441">
        <f ca="1">Table66[[#This Row],[Year 6 (Specified in RFO) - N/A]]-Table66[[#This Row],[Column1]]</f>
        <v>0</v>
      </c>
    </row>
    <row r="457" spans="1:22" ht="16.5" thickBot="1">
      <c r="A457" s="227"/>
      <c r="B457" s="319"/>
      <c r="C457" s="319"/>
      <c r="D457" s="320"/>
      <c r="E457" s="320"/>
      <c r="F457" s="190"/>
      <c r="G4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7" s="190"/>
      <c r="I4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7" s="190"/>
      <c r="K4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7" s="190"/>
      <c r="M4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7" s="190"/>
      <c r="O4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7" s="190"/>
      <c r="Q4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7" s="192">
        <f ca="1">Table66[[#This Row],[Year 1 (Specified in RFO) - N/A]]+Table66[[#This Row],[Year 2 (Specified in RFO) - N/A]]+Table66[[#This Row],[Year 3 (Specified in RFO) - N/A]]+Table66[[#This Row],[Year 4 (Specified in RFO) - N/A]]+Table66[[#This Row],[Year 5 (Specified in RFO) - N/A]]+Table66[[#This Row],[Year 6 (Specified in RFO) - N/A]]</f>
        <v>0</v>
      </c>
      <c r="S457" s="402">
        <f ca="1">Table66[[#This Row],[Year 1  (Proposed)]]+Table66[[#This Row],[Year 2 (Proposed)]]+Table66[[#This Row],[Year 3 (Proposed)]]+Table66[[#This Row],[Year 4 (Proposed)]]+Table66[[#This Row],[Year 5 (Proposed)]]+Table66[[#This Row],[Year 6 (Proposed)]]</f>
        <v>0</v>
      </c>
      <c r="T457" s="403" t="b">
        <f ca="1">Table66[[#This Row],[Total Specifed in RFO - N/A]]=Table66[[#This Row],[Total Proposed]]</f>
        <v>1</v>
      </c>
      <c r="U457" s="439"/>
      <c r="V457" s="441">
        <f ca="1">Table66[[#This Row],[Year 6 (Specified in RFO) - N/A]]-Table66[[#This Row],[Column1]]</f>
        <v>0</v>
      </c>
    </row>
    <row r="458" spans="1:22" ht="16.5" thickBot="1">
      <c r="A458" s="227"/>
      <c r="B458" s="319"/>
      <c r="C458" s="319"/>
      <c r="D458" s="320"/>
      <c r="E458" s="320"/>
      <c r="F458" s="190"/>
      <c r="G4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8" s="190"/>
      <c r="I4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8" s="190"/>
      <c r="K4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8" s="190"/>
      <c r="M4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8" s="190"/>
      <c r="O4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8" s="190"/>
      <c r="Q4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8" s="192">
        <f ca="1">Table66[[#This Row],[Year 1 (Specified in RFO) - N/A]]+Table66[[#This Row],[Year 2 (Specified in RFO) - N/A]]+Table66[[#This Row],[Year 3 (Specified in RFO) - N/A]]+Table66[[#This Row],[Year 4 (Specified in RFO) - N/A]]+Table66[[#This Row],[Year 5 (Specified in RFO) - N/A]]+Table66[[#This Row],[Year 6 (Specified in RFO) - N/A]]</f>
        <v>0</v>
      </c>
      <c r="S458" s="402">
        <f ca="1">Table66[[#This Row],[Year 1  (Proposed)]]+Table66[[#This Row],[Year 2 (Proposed)]]+Table66[[#This Row],[Year 3 (Proposed)]]+Table66[[#This Row],[Year 4 (Proposed)]]+Table66[[#This Row],[Year 5 (Proposed)]]+Table66[[#This Row],[Year 6 (Proposed)]]</f>
        <v>0</v>
      </c>
      <c r="T458" s="403" t="b">
        <f ca="1">Table66[[#This Row],[Total Specifed in RFO - N/A]]=Table66[[#This Row],[Total Proposed]]</f>
        <v>1</v>
      </c>
      <c r="U458" s="439"/>
      <c r="V458" s="441">
        <f ca="1">Table66[[#This Row],[Year 6 (Specified in RFO) - N/A]]-Table66[[#This Row],[Column1]]</f>
        <v>0</v>
      </c>
    </row>
    <row r="459" spans="1:22" ht="16.5" thickBot="1">
      <c r="A459" s="227"/>
      <c r="B459" s="319"/>
      <c r="C459" s="319"/>
      <c r="D459" s="320"/>
      <c r="E459" s="320"/>
      <c r="F459" s="190"/>
      <c r="G4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9" s="190"/>
      <c r="I4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9" s="190"/>
      <c r="K4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9" s="190"/>
      <c r="M4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9" s="190"/>
      <c r="O4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9" s="190"/>
      <c r="Q4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9" s="192">
        <f ca="1">Table66[[#This Row],[Year 1 (Specified in RFO) - N/A]]+Table66[[#This Row],[Year 2 (Specified in RFO) - N/A]]+Table66[[#This Row],[Year 3 (Specified in RFO) - N/A]]+Table66[[#This Row],[Year 4 (Specified in RFO) - N/A]]+Table66[[#This Row],[Year 5 (Specified in RFO) - N/A]]+Table66[[#This Row],[Year 6 (Specified in RFO) - N/A]]</f>
        <v>0</v>
      </c>
      <c r="S459" s="402">
        <f ca="1">Table66[[#This Row],[Year 1  (Proposed)]]+Table66[[#This Row],[Year 2 (Proposed)]]+Table66[[#This Row],[Year 3 (Proposed)]]+Table66[[#This Row],[Year 4 (Proposed)]]+Table66[[#This Row],[Year 5 (Proposed)]]+Table66[[#This Row],[Year 6 (Proposed)]]</f>
        <v>0</v>
      </c>
      <c r="T459" s="403" t="b">
        <f ca="1">Table66[[#This Row],[Total Specifed in RFO - N/A]]=Table66[[#This Row],[Total Proposed]]</f>
        <v>1</v>
      </c>
      <c r="U459" s="439"/>
      <c r="V459" s="441">
        <f ca="1">Table66[[#This Row],[Year 6 (Specified in RFO) - N/A]]-Table66[[#This Row],[Column1]]</f>
        <v>0</v>
      </c>
    </row>
    <row r="460" spans="1:22" ht="16.5" thickBot="1">
      <c r="A460" s="227"/>
      <c r="B460" s="319"/>
      <c r="C460" s="319"/>
      <c r="D460" s="320"/>
      <c r="E460" s="320"/>
      <c r="F460" s="190"/>
      <c r="G4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0" s="190"/>
      <c r="I4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0" s="190"/>
      <c r="K4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0" s="190"/>
      <c r="M4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0" s="190"/>
      <c r="O4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0" s="190"/>
      <c r="Q4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0" s="192">
        <f ca="1">Table66[[#This Row],[Year 1 (Specified in RFO) - N/A]]+Table66[[#This Row],[Year 2 (Specified in RFO) - N/A]]+Table66[[#This Row],[Year 3 (Specified in RFO) - N/A]]+Table66[[#This Row],[Year 4 (Specified in RFO) - N/A]]+Table66[[#This Row],[Year 5 (Specified in RFO) - N/A]]+Table66[[#This Row],[Year 6 (Specified in RFO) - N/A]]</f>
        <v>0</v>
      </c>
      <c r="S460" s="402">
        <f ca="1">Table66[[#This Row],[Year 1  (Proposed)]]+Table66[[#This Row],[Year 2 (Proposed)]]+Table66[[#This Row],[Year 3 (Proposed)]]+Table66[[#This Row],[Year 4 (Proposed)]]+Table66[[#This Row],[Year 5 (Proposed)]]+Table66[[#This Row],[Year 6 (Proposed)]]</f>
        <v>0</v>
      </c>
      <c r="T460" s="403" t="b">
        <f ca="1">Table66[[#This Row],[Total Specifed in RFO - N/A]]=Table66[[#This Row],[Total Proposed]]</f>
        <v>1</v>
      </c>
      <c r="U460" s="439"/>
      <c r="V460" s="441">
        <f ca="1">Table66[[#This Row],[Year 6 (Specified in RFO) - N/A]]-Table66[[#This Row],[Column1]]</f>
        <v>0</v>
      </c>
    </row>
    <row r="461" spans="1:22" ht="16.5" thickBot="1">
      <c r="A461" s="227"/>
      <c r="B461" s="319"/>
      <c r="C461" s="319"/>
      <c r="D461" s="320"/>
      <c r="E461" s="320"/>
      <c r="F461" s="190"/>
      <c r="G4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1" s="190"/>
      <c r="I4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1" s="190"/>
      <c r="K4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1" s="190"/>
      <c r="M4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1" s="190"/>
      <c r="O4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1" s="190"/>
      <c r="Q4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1" s="192">
        <f ca="1">Table66[[#This Row],[Year 1 (Specified in RFO) - N/A]]+Table66[[#This Row],[Year 2 (Specified in RFO) - N/A]]+Table66[[#This Row],[Year 3 (Specified in RFO) - N/A]]+Table66[[#This Row],[Year 4 (Specified in RFO) - N/A]]+Table66[[#This Row],[Year 5 (Specified in RFO) - N/A]]+Table66[[#This Row],[Year 6 (Specified in RFO) - N/A]]</f>
        <v>0</v>
      </c>
      <c r="S461" s="402">
        <f ca="1">Table66[[#This Row],[Year 1  (Proposed)]]+Table66[[#This Row],[Year 2 (Proposed)]]+Table66[[#This Row],[Year 3 (Proposed)]]+Table66[[#This Row],[Year 4 (Proposed)]]+Table66[[#This Row],[Year 5 (Proposed)]]+Table66[[#This Row],[Year 6 (Proposed)]]</f>
        <v>0</v>
      </c>
      <c r="T461" s="403" t="b">
        <f ca="1">Table66[[#This Row],[Total Specifed in RFO - N/A]]=Table66[[#This Row],[Total Proposed]]</f>
        <v>1</v>
      </c>
      <c r="U461" s="439"/>
      <c r="V461" s="441">
        <f ca="1">Table66[[#This Row],[Year 6 (Specified in RFO) - N/A]]-Table66[[#This Row],[Column1]]</f>
        <v>0</v>
      </c>
    </row>
    <row r="462" spans="1:22" ht="16.5" thickBot="1">
      <c r="A462" s="227"/>
      <c r="B462" s="319"/>
      <c r="C462" s="319"/>
      <c r="D462" s="320"/>
      <c r="E462" s="320"/>
      <c r="F462" s="190"/>
      <c r="G4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2" s="190"/>
      <c r="I4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2" s="190"/>
      <c r="K4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2" s="190"/>
      <c r="M4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2" s="190"/>
      <c r="O4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2" s="190"/>
      <c r="Q4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2" s="192">
        <f ca="1">Table66[[#This Row],[Year 1 (Specified in RFO) - N/A]]+Table66[[#This Row],[Year 2 (Specified in RFO) - N/A]]+Table66[[#This Row],[Year 3 (Specified in RFO) - N/A]]+Table66[[#This Row],[Year 4 (Specified in RFO) - N/A]]+Table66[[#This Row],[Year 5 (Specified in RFO) - N/A]]+Table66[[#This Row],[Year 6 (Specified in RFO) - N/A]]</f>
        <v>0</v>
      </c>
      <c r="S462" s="402">
        <f ca="1">Table66[[#This Row],[Year 1  (Proposed)]]+Table66[[#This Row],[Year 2 (Proposed)]]+Table66[[#This Row],[Year 3 (Proposed)]]+Table66[[#This Row],[Year 4 (Proposed)]]+Table66[[#This Row],[Year 5 (Proposed)]]+Table66[[#This Row],[Year 6 (Proposed)]]</f>
        <v>0</v>
      </c>
      <c r="T462" s="403" t="b">
        <f ca="1">Table66[[#This Row],[Total Specifed in RFO - N/A]]=Table66[[#This Row],[Total Proposed]]</f>
        <v>1</v>
      </c>
      <c r="U462" s="439"/>
      <c r="V462" s="441">
        <f ca="1">Table66[[#This Row],[Year 6 (Specified in RFO) - N/A]]-Table66[[#This Row],[Column1]]</f>
        <v>0</v>
      </c>
    </row>
    <row r="463" spans="1:22" ht="16.5" thickBot="1">
      <c r="A463" s="227"/>
      <c r="B463" s="319"/>
      <c r="C463" s="319"/>
      <c r="D463" s="320"/>
      <c r="E463" s="320"/>
      <c r="F463" s="190"/>
      <c r="G4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3" s="190"/>
      <c r="I4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3" s="190"/>
      <c r="K4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3" s="190"/>
      <c r="M4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3" s="190"/>
      <c r="O4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3" s="190"/>
      <c r="Q4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3" s="192">
        <f ca="1">Table66[[#This Row],[Year 1 (Specified in RFO) - N/A]]+Table66[[#This Row],[Year 2 (Specified in RFO) - N/A]]+Table66[[#This Row],[Year 3 (Specified in RFO) - N/A]]+Table66[[#This Row],[Year 4 (Specified in RFO) - N/A]]+Table66[[#This Row],[Year 5 (Specified in RFO) - N/A]]+Table66[[#This Row],[Year 6 (Specified in RFO) - N/A]]</f>
        <v>0</v>
      </c>
      <c r="S463" s="402">
        <f ca="1">Table66[[#This Row],[Year 1  (Proposed)]]+Table66[[#This Row],[Year 2 (Proposed)]]+Table66[[#This Row],[Year 3 (Proposed)]]+Table66[[#This Row],[Year 4 (Proposed)]]+Table66[[#This Row],[Year 5 (Proposed)]]+Table66[[#This Row],[Year 6 (Proposed)]]</f>
        <v>0</v>
      </c>
      <c r="T463" s="403" t="b">
        <f ca="1">Table66[[#This Row],[Total Specifed in RFO - N/A]]=Table66[[#This Row],[Total Proposed]]</f>
        <v>1</v>
      </c>
      <c r="U463" s="439"/>
      <c r="V463" s="441">
        <f ca="1">Table66[[#This Row],[Year 6 (Specified in RFO) - N/A]]-Table66[[#This Row],[Column1]]</f>
        <v>0</v>
      </c>
    </row>
    <row r="464" spans="1:22" ht="16.5" thickBot="1">
      <c r="A464" s="227"/>
      <c r="B464" s="319"/>
      <c r="C464" s="319"/>
      <c r="D464" s="320"/>
      <c r="E464" s="320"/>
      <c r="F464" s="190"/>
      <c r="G4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4" s="190"/>
      <c r="I4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4" s="190"/>
      <c r="K4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4" s="190"/>
      <c r="M4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4" s="190"/>
      <c r="O4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4" s="190"/>
      <c r="Q4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4" s="192">
        <f ca="1">Table66[[#This Row],[Year 1 (Specified in RFO) - N/A]]+Table66[[#This Row],[Year 2 (Specified in RFO) - N/A]]+Table66[[#This Row],[Year 3 (Specified in RFO) - N/A]]+Table66[[#This Row],[Year 4 (Specified in RFO) - N/A]]+Table66[[#This Row],[Year 5 (Specified in RFO) - N/A]]+Table66[[#This Row],[Year 6 (Specified in RFO) - N/A]]</f>
        <v>0</v>
      </c>
      <c r="S464" s="402">
        <f ca="1">Table66[[#This Row],[Year 1  (Proposed)]]+Table66[[#This Row],[Year 2 (Proposed)]]+Table66[[#This Row],[Year 3 (Proposed)]]+Table66[[#This Row],[Year 4 (Proposed)]]+Table66[[#This Row],[Year 5 (Proposed)]]+Table66[[#This Row],[Year 6 (Proposed)]]</f>
        <v>0</v>
      </c>
      <c r="T464" s="403" t="b">
        <f ca="1">Table66[[#This Row],[Total Specifed in RFO - N/A]]=Table66[[#This Row],[Total Proposed]]</f>
        <v>1</v>
      </c>
      <c r="U464" s="439"/>
      <c r="V464" s="441">
        <f ca="1">Table66[[#This Row],[Year 6 (Specified in RFO) - N/A]]-Table66[[#This Row],[Column1]]</f>
        <v>0</v>
      </c>
    </row>
    <row r="465" spans="1:22" ht="16.5" thickBot="1">
      <c r="A465" s="227"/>
      <c r="B465" s="319"/>
      <c r="C465" s="319"/>
      <c r="D465" s="320"/>
      <c r="E465" s="320"/>
      <c r="F465" s="190"/>
      <c r="G4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5" s="190"/>
      <c r="I4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5" s="190"/>
      <c r="K4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5" s="190"/>
      <c r="M4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5" s="190"/>
      <c r="O4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5" s="190"/>
      <c r="Q4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5" s="192">
        <f ca="1">Table66[[#This Row],[Year 1 (Specified in RFO) - N/A]]+Table66[[#This Row],[Year 2 (Specified in RFO) - N/A]]+Table66[[#This Row],[Year 3 (Specified in RFO) - N/A]]+Table66[[#This Row],[Year 4 (Specified in RFO) - N/A]]+Table66[[#This Row],[Year 5 (Specified in RFO) - N/A]]+Table66[[#This Row],[Year 6 (Specified in RFO) - N/A]]</f>
        <v>0</v>
      </c>
      <c r="S465" s="402">
        <f ca="1">Table66[[#This Row],[Year 1  (Proposed)]]+Table66[[#This Row],[Year 2 (Proposed)]]+Table66[[#This Row],[Year 3 (Proposed)]]+Table66[[#This Row],[Year 4 (Proposed)]]+Table66[[#This Row],[Year 5 (Proposed)]]+Table66[[#This Row],[Year 6 (Proposed)]]</f>
        <v>0</v>
      </c>
      <c r="T465" s="403" t="b">
        <f ca="1">Table66[[#This Row],[Total Specifed in RFO - N/A]]=Table66[[#This Row],[Total Proposed]]</f>
        <v>1</v>
      </c>
      <c r="U465" s="439"/>
      <c r="V465" s="441">
        <f ca="1">Table66[[#This Row],[Year 6 (Specified in RFO) - N/A]]-Table66[[#This Row],[Column1]]</f>
        <v>0</v>
      </c>
    </row>
    <row r="466" spans="1:22" ht="16.5" thickBot="1">
      <c r="A466" s="227"/>
      <c r="B466" s="319"/>
      <c r="C466" s="319"/>
      <c r="D466" s="320"/>
      <c r="E466" s="320"/>
      <c r="F466" s="190"/>
      <c r="G4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6" s="190"/>
      <c r="I4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6" s="190"/>
      <c r="K4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6" s="190"/>
      <c r="M4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6" s="190"/>
      <c r="O4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6" s="190"/>
      <c r="Q4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6" s="192">
        <f ca="1">Table66[[#This Row],[Year 1 (Specified in RFO) - N/A]]+Table66[[#This Row],[Year 2 (Specified in RFO) - N/A]]+Table66[[#This Row],[Year 3 (Specified in RFO) - N/A]]+Table66[[#This Row],[Year 4 (Specified in RFO) - N/A]]+Table66[[#This Row],[Year 5 (Specified in RFO) - N/A]]+Table66[[#This Row],[Year 6 (Specified in RFO) - N/A]]</f>
        <v>0</v>
      </c>
      <c r="S466" s="402">
        <f ca="1">Table66[[#This Row],[Year 1  (Proposed)]]+Table66[[#This Row],[Year 2 (Proposed)]]+Table66[[#This Row],[Year 3 (Proposed)]]+Table66[[#This Row],[Year 4 (Proposed)]]+Table66[[#This Row],[Year 5 (Proposed)]]+Table66[[#This Row],[Year 6 (Proposed)]]</f>
        <v>0</v>
      </c>
      <c r="T466" s="403" t="b">
        <f ca="1">Table66[[#This Row],[Total Specifed in RFO - N/A]]=Table66[[#This Row],[Total Proposed]]</f>
        <v>1</v>
      </c>
      <c r="U466" s="439"/>
      <c r="V466" s="441">
        <f ca="1">Table66[[#This Row],[Year 6 (Specified in RFO) - N/A]]-Table66[[#This Row],[Column1]]</f>
        <v>0</v>
      </c>
    </row>
    <row r="467" spans="1:22" ht="16.5" thickBot="1">
      <c r="A467" s="227"/>
      <c r="B467" s="319"/>
      <c r="C467" s="319"/>
      <c r="D467" s="320"/>
      <c r="E467" s="320"/>
      <c r="F467" s="190"/>
      <c r="G4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7" s="190"/>
      <c r="I4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7" s="190"/>
      <c r="K4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7" s="190"/>
      <c r="M4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7" s="190"/>
      <c r="O4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7" s="190"/>
      <c r="Q4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7" s="192">
        <f ca="1">Table66[[#This Row],[Year 1 (Specified in RFO) - N/A]]+Table66[[#This Row],[Year 2 (Specified in RFO) - N/A]]+Table66[[#This Row],[Year 3 (Specified in RFO) - N/A]]+Table66[[#This Row],[Year 4 (Specified in RFO) - N/A]]+Table66[[#This Row],[Year 5 (Specified in RFO) - N/A]]+Table66[[#This Row],[Year 6 (Specified in RFO) - N/A]]</f>
        <v>0</v>
      </c>
      <c r="S467" s="402">
        <f ca="1">Table66[[#This Row],[Year 1  (Proposed)]]+Table66[[#This Row],[Year 2 (Proposed)]]+Table66[[#This Row],[Year 3 (Proposed)]]+Table66[[#This Row],[Year 4 (Proposed)]]+Table66[[#This Row],[Year 5 (Proposed)]]+Table66[[#This Row],[Year 6 (Proposed)]]</f>
        <v>0</v>
      </c>
      <c r="T467" s="403" t="b">
        <f ca="1">Table66[[#This Row],[Total Specifed in RFO - N/A]]=Table66[[#This Row],[Total Proposed]]</f>
        <v>1</v>
      </c>
      <c r="U467" s="439"/>
      <c r="V467" s="441">
        <f ca="1">Table66[[#This Row],[Year 6 (Specified in RFO) - N/A]]-Table66[[#This Row],[Column1]]</f>
        <v>0</v>
      </c>
    </row>
    <row r="468" spans="1:22" ht="16.5" thickBot="1">
      <c r="A468" s="227"/>
      <c r="B468" s="319"/>
      <c r="C468" s="319"/>
      <c r="D468" s="320"/>
      <c r="E468" s="320"/>
      <c r="F468" s="190"/>
      <c r="G4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8" s="190"/>
      <c r="I4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8" s="190"/>
      <c r="K4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8" s="190"/>
      <c r="M4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8" s="190"/>
      <c r="O4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8" s="190"/>
      <c r="Q4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8" s="192">
        <f ca="1">Table66[[#This Row],[Year 1 (Specified in RFO) - N/A]]+Table66[[#This Row],[Year 2 (Specified in RFO) - N/A]]+Table66[[#This Row],[Year 3 (Specified in RFO) - N/A]]+Table66[[#This Row],[Year 4 (Specified in RFO) - N/A]]+Table66[[#This Row],[Year 5 (Specified in RFO) - N/A]]+Table66[[#This Row],[Year 6 (Specified in RFO) - N/A]]</f>
        <v>0</v>
      </c>
      <c r="S468" s="402">
        <f ca="1">Table66[[#This Row],[Year 1  (Proposed)]]+Table66[[#This Row],[Year 2 (Proposed)]]+Table66[[#This Row],[Year 3 (Proposed)]]+Table66[[#This Row],[Year 4 (Proposed)]]+Table66[[#This Row],[Year 5 (Proposed)]]+Table66[[#This Row],[Year 6 (Proposed)]]</f>
        <v>0</v>
      </c>
      <c r="T468" s="403" t="b">
        <f ca="1">Table66[[#This Row],[Total Specifed in RFO - N/A]]=Table66[[#This Row],[Total Proposed]]</f>
        <v>1</v>
      </c>
      <c r="U468" s="439"/>
      <c r="V468" s="441">
        <f ca="1">Table66[[#This Row],[Year 6 (Specified in RFO) - N/A]]-Table66[[#This Row],[Column1]]</f>
        <v>0</v>
      </c>
    </row>
    <row r="469" spans="1:22" ht="16.5" thickBot="1">
      <c r="A469" s="227"/>
      <c r="B469" s="319"/>
      <c r="C469" s="319"/>
      <c r="D469" s="320"/>
      <c r="E469" s="320"/>
      <c r="F469" s="190"/>
      <c r="G4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9" s="190"/>
      <c r="I4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9" s="190"/>
      <c r="K4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9" s="190"/>
      <c r="M4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9" s="190"/>
      <c r="O4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9" s="190"/>
      <c r="Q4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9" s="192">
        <f ca="1">Table66[[#This Row],[Year 1 (Specified in RFO) - N/A]]+Table66[[#This Row],[Year 2 (Specified in RFO) - N/A]]+Table66[[#This Row],[Year 3 (Specified in RFO) - N/A]]+Table66[[#This Row],[Year 4 (Specified in RFO) - N/A]]+Table66[[#This Row],[Year 5 (Specified in RFO) - N/A]]+Table66[[#This Row],[Year 6 (Specified in RFO) - N/A]]</f>
        <v>0</v>
      </c>
      <c r="S469" s="402">
        <f ca="1">Table66[[#This Row],[Year 1  (Proposed)]]+Table66[[#This Row],[Year 2 (Proposed)]]+Table66[[#This Row],[Year 3 (Proposed)]]+Table66[[#This Row],[Year 4 (Proposed)]]+Table66[[#This Row],[Year 5 (Proposed)]]+Table66[[#This Row],[Year 6 (Proposed)]]</f>
        <v>0</v>
      </c>
      <c r="T469" s="403" t="b">
        <f ca="1">Table66[[#This Row],[Total Specifed in RFO - N/A]]=Table66[[#This Row],[Total Proposed]]</f>
        <v>1</v>
      </c>
      <c r="U469" s="439"/>
      <c r="V469" s="441">
        <f ca="1">Table66[[#This Row],[Year 6 (Specified in RFO) - N/A]]-Table66[[#This Row],[Column1]]</f>
        <v>0</v>
      </c>
    </row>
    <row r="470" spans="1:22" ht="16.5" thickBot="1">
      <c r="A470" s="227"/>
      <c r="B470" s="319"/>
      <c r="C470" s="319"/>
      <c r="D470" s="320"/>
      <c r="E470" s="320"/>
      <c r="F470" s="190"/>
      <c r="G4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0" s="190"/>
      <c r="I4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0" s="190"/>
      <c r="K4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0" s="190"/>
      <c r="M4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0" s="190"/>
      <c r="O4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0" s="190"/>
      <c r="Q4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0" s="192">
        <f ca="1">Table66[[#This Row],[Year 1 (Specified in RFO) - N/A]]+Table66[[#This Row],[Year 2 (Specified in RFO) - N/A]]+Table66[[#This Row],[Year 3 (Specified in RFO) - N/A]]+Table66[[#This Row],[Year 4 (Specified in RFO) - N/A]]+Table66[[#This Row],[Year 5 (Specified in RFO) - N/A]]+Table66[[#This Row],[Year 6 (Specified in RFO) - N/A]]</f>
        <v>0</v>
      </c>
      <c r="S470" s="402">
        <f ca="1">Table66[[#This Row],[Year 1  (Proposed)]]+Table66[[#This Row],[Year 2 (Proposed)]]+Table66[[#This Row],[Year 3 (Proposed)]]+Table66[[#This Row],[Year 4 (Proposed)]]+Table66[[#This Row],[Year 5 (Proposed)]]+Table66[[#This Row],[Year 6 (Proposed)]]</f>
        <v>0</v>
      </c>
      <c r="T470" s="403" t="b">
        <f ca="1">Table66[[#This Row],[Total Specifed in RFO - N/A]]=Table66[[#This Row],[Total Proposed]]</f>
        <v>1</v>
      </c>
      <c r="U470" s="439"/>
      <c r="V470" s="441">
        <f ca="1">Table66[[#This Row],[Year 6 (Specified in RFO) - N/A]]-Table66[[#This Row],[Column1]]</f>
        <v>0</v>
      </c>
    </row>
    <row r="471" spans="1:22" ht="16.5" thickBot="1">
      <c r="A471" s="227"/>
      <c r="B471" s="319"/>
      <c r="C471" s="319"/>
      <c r="D471" s="320"/>
      <c r="E471" s="320"/>
      <c r="F471" s="190"/>
      <c r="G4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1" s="190"/>
      <c r="I4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1" s="190"/>
      <c r="K4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1" s="190"/>
      <c r="M4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1" s="190"/>
      <c r="O4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1" s="190"/>
      <c r="Q4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1" s="192">
        <f ca="1">Table66[[#This Row],[Year 1 (Specified in RFO) - N/A]]+Table66[[#This Row],[Year 2 (Specified in RFO) - N/A]]+Table66[[#This Row],[Year 3 (Specified in RFO) - N/A]]+Table66[[#This Row],[Year 4 (Specified in RFO) - N/A]]+Table66[[#This Row],[Year 5 (Specified in RFO) - N/A]]+Table66[[#This Row],[Year 6 (Specified in RFO) - N/A]]</f>
        <v>0</v>
      </c>
      <c r="S471" s="402">
        <f ca="1">Table66[[#This Row],[Year 1  (Proposed)]]+Table66[[#This Row],[Year 2 (Proposed)]]+Table66[[#This Row],[Year 3 (Proposed)]]+Table66[[#This Row],[Year 4 (Proposed)]]+Table66[[#This Row],[Year 5 (Proposed)]]+Table66[[#This Row],[Year 6 (Proposed)]]</f>
        <v>0</v>
      </c>
      <c r="T471" s="403" t="b">
        <f ca="1">Table66[[#This Row],[Total Specifed in RFO - N/A]]=Table66[[#This Row],[Total Proposed]]</f>
        <v>1</v>
      </c>
      <c r="U471" s="439"/>
      <c r="V471" s="441">
        <f ca="1">Table66[[#This Row],[Year 6 (Specified in RFO) - N/A]]-Table66[[#This Row],[Column1]]</f>
        <v>0</v>
      </c>
    </row>
    <row r="472" spans="1:22" ht="16.5" thickBot="1">
      <c r="A472" s="227"/>
      <c r="B472" s="319"/>
      <c r="C472" s="319"/>
      <c r="D472" s="320"/>
      <c r="E472" s="320"/>
      <c r="F472" s="190"/>
      <c r="G4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2" s="190"/>
      <c r="I4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2" s="190"/>
      <c r="K4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2" s="190"/>
      <c r="M4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2" s="190"/>
      <c r="O4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2" s="190"/>
      <c r="Q4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2" s="192">
        <f ca="1">Table66[[#This Row],[Year 1 (Specified in RFO) - N/A]]+Table66[[#This Row],[Year 2 (Specified in RFO) - N/A]]+Table66[[#This Row],[Year 3 (Specified in RFO) - N/A]]+Table66[[#This Row],[Year 4 (Specified in RFO) - N/A]]+Table66[[#This Row],[Year 5 (Specified in RFO) - N/A]]+Table66[[#This Row],[Year 6 (Specified in RFO) - N/A]]</f>
        <v>0</v>
      </c>
      <c r="S472" s="402">
        <f ca="1">Table66[[#This Row],[Year 1  (Proposed)]]+Table66[[#This Row],[Year 2 (Proposed)]]+Table66[[#This Row],[Year 3 (Proposed)]]+Table66[[#This Row],[Year 4 (Proposed)]]+Table66[[#This Row],[Year 5 (Proposed)]]+Table66[[#This Row],[Year 6 (Proposed)]]</f>
        <v>0</v>
      </c>
      <c r="T472" s="403" t="b">
        <f ca="1">Table66[[#This Row],[Total Specifed in RFO - N/A]]=Table66[[#This Row],[Total Proposed]]</f>
        <v>1</v>
      </c>
      <c r="U472" s="439"/>
      <c r="V472" s="441">
        <f ca="1">Table66[[#This Row],[Year 6 (Specified in RFO) - N/A]]-Table66[[#This Row],[Column1]]</f>
        <v>0</v>
      </c>
    </row>
    <row r="473" spans="1:22" ht="16.5" thickBot="1">
      <c r="A473" s="227"/>
      <c r="B473" s="319"/>
      <c r="C473" s="319"/>
      <c r="D473" s="320"/>
      <c r="E473" s="320"/>
      <c r="F473" s="190"/>
      <c r="G4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3" s="190"/>
      <c r="I4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3" s="190"/>
      <c r="K4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3" s="190"/>
      <c r="M4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3" s="190"/>
      <c r="O4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3" s="190"/>
      <c r="Q4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3" s="192">
        <f ca="1">Table66[[#This Row],[Year 1 (Specified in RFO) - N/A]]+Table66[[#This Row],[Year 2 (Specified in RFO) - N/A]]+Table66[[#This Row],[Year 3 (Specified in RFO) - N/A]]+Table66[[#This Row],[Year 4 (Specified in RFO) - N/A]]+Table66[[#This Row],[Year 5 (Specified in RFO) - N/A]]+Table66[[#This Row],[Year 6 (Specified in RFO) - N/A]]</f>
        <v>0</v>
      </c>
      <c r="S473" s="402">
        <f ca="1">Table66[[#This Row],[Year 1  (Proposed)]]+Table66[[#This Row],[Year 2 (Proposed)]]+Table66[[#This Row],[Year 3 (Proposed)]]+Table66[[#This Row],[Year 4 (Proposed)]]+Table66[[#This Row],[Year 5 (Proposed)]]+Table66[[#This Row],[Year 6 (Proposed)]]</f>
        <v>0</v>
      </c>
      <c r="T473" s="403" t="b">
        <f ca="1">Table66[[#This Row],[Total Specifed in RFO - N/A]]=Table66[[#This Row],[Total Proposed]]</f>
        <v>1</v>
      </c>
      <c r="U473" s="439"/>
      <c r="V473" s="441">
        <f ca="1">Table66[[#This Row],[Year 6 (Specified in RFO) - N/A]]-Table66[[#This Row],[Column1]]</f>
        <v>0</v>
      </c>
    </row>
    <row r="474" spans="1:22" ht="16.5" thickBot="1">
      <c r="A474" s="227"/>
      <c r="B474" s="319"/>
      <c r="C474" s="319"/>
      <c r="D474" s="320"/>
      <c r="E474" s="320"/>
      <c r="F474" s="190"/>
      <c r="G4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4" s="190"/>
      <c r="I4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4" s="190"/>
      <c r="K4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4" s="190"/>
      <c r="M4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4" s="190"/>
      <c r="O4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4" s="190"/>
      <c r="Q4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4" s="192">
        <f ca="1">Table66[[#This Row],[Year 1 (Specified in RFO) - N/A]]+Table66[[#This Row],[Year 2 (Specified in RFO) - N/A]]+Table66[[#This Row],[Year 3 (Specified in RFO) - N/A]]+Table66[[#This Row],[Year 4 (Specified in RFO) - N/A]]+Table66[[#This Row],[Year 5 (Specified in RFO) - N/A]]+Table66[[#This Row],[Year 6 (Specified in RFO) - N/A]]</f>
        <v>0</v>
      </c>
      <c r="S474" s="402">
        <f ca="1">Table66[[#This Row],[Year 1  (Proposed)]]+Table66[[#This Row],[Year 2 (Proposed)]]+Table66[[#This Row],[Year 3 (Proposed)]]+Table66[[#This Row],[Year 4 (Proposed)]]+Table66[[#This Row],[Year 5 (Proposed)]]+Table66[[#This Row],[Year 6 (Proposed)]]</f>
        <v>0</v>
      </c>
      <c r="T474" s="403" t="b">
        <f ca="1">Table66[[#This Row],[Total Specifed in RFO - N/A]]=Table66[[#This Row],[Total Proposed]]</f>
        <v>1</v>
      </c>
      <c r="U474" s="439"/>
      <c r="V474" s="441">
        <f ca="1">Table66[[#This Row],[Year 6 (Specified in RFO) - N/A]]-Table66[[#This Row],[Column1]]</f>
        <v>0</v>
      </c>
    </row>
    <row r="475" spans="1:22" ht="16.5" thickBot="1">
      <c r="A475" s="227"/>
      <c r="B475" s="319"/>
      <c r="C475" s="319"/>
      <c r="D475" s="320"/>
      <c r="E475" s="320"/>
      <c r="F475" s="190"/>
      <c r="G4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5" s="190"/>
      <c r="I4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5" s="190"/>
      <c r="K4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5" s="190"/>
      <c r="M4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5" s="190"/>
      <c r="O4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5" s="190"/>
      <c r="Q4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5" s="192">
        <f ca="1">Table66[[#This Row],[Year 1 (Specified in RFO) - N/A]]+Table66[[#This Row],[Year 2 (Specified in RFO) - N/A]]+Table66[[#This Row],[Year 3 (Specified in RFO) - N/A]]+Table66[[#This Row],[Year 4 (Specified in RFO) - N/A]]+Table66[[#This Row],[Year 5 (Specified in RFO) - N/A]]+Table66[[#This Row],[Year 6 (Specified in RFO) - N/A]]</f>
        <v>0</v>
      </c>
      <c r="S475" s="402">
        <f ca="1">Table66[[#This Row],[Year 1  (Proposed)]]+Table66[[#This Row],[Year 2 (Proposed)]]+Table66[[#This Row],[Year 3 (Proposed)]]+Table66[[#This Row],[Year 4 (Proposed)]]+Table66[[#This Row],[Year 5 (Proposed)]]+Table66[[#This Row],[Year 6 (Proposed)]]</f>
        <v>0</v>
      </c>
      <c r="T475" s="403" t="b">
        <f ca="1">Table66[[#This Row],[Total Specifed in RFO - N/A]]=Table66[[#This Row],[Total Proposed]]</f>
        <v>1</v>
      </c>
      <c r="U475" s="439"/>
      <c r="V475" s="441">
        <f ca="1">Table66[[#This Row],[Year 6 (Specified in RFO) - N/A]]-Table66[[#This Row],[Column1]]</f>
        <v>0</v>
      </c>
    </row>
    <row r="476" spans="1:22" ht="16.5" thickBot="1">
      <c r="A476" s="227"/>
      <c r="B476" s="319"/>
      <c r="C476" s="319"/>
      <c r="D476" s="320"/>
      <c r="E476" s="320"/>
      <c r="F476" s="190"/>
      <c r="G4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6" s="190"/>
      <c r="I4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6" s="190"/>
      <c r="K4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6" s="190"/>
      <c r="M4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6" s="190"/>
      <c r="O4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6" s="190"/>
      <c r="Q4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6" s="192">
        <f ca="1">Table66[[#This Row],[Year 1 (Specified in RFO) - N/A]]+Table66[[#This Row],[Year 2 (Specified in RFO) - N/A]]+Table66[[#This Row],[Year 3 (Specified in RFO) - N/A]]+Table66[[#This Row],[Year 4 (Specified in RFO) - N/A]]+Table66[[#This Row],[Year 5 (Specified in RFO) - N/A]]+Table66[[#This Row],[Year 6 (Specified in RFO) - N/A]]</f>
        <v>0</v>
      </c>
      <c r="S476" s="402">
        <f ca="1">Table66[[#This Row],[Year 1  (Proposed)]]+Table66[[#This Row],[Year 2 (Proposed)]]+Table66[[#This Row],[Year 3 (Proposed)]]+Table66[[#This Row],[Year 4 (Proposed)]]+Table66[[#This Row],[Year 5 (Proposed)]]+Table66[[#This Row],[Year 6 (Proposed)]]</f>
        <v>0</v>
      </c>
      <c r="T476" s="403" t="b">
        <f ca="1">Table66[[#This Row],[Total Specifed in RFO - N/A]]=Table66[[#This Row],[Total Proposed]]</f>
        <v>1</v>
      </c>
      <c r="U476" s="439"/>
      <c r="V476" s="441">
        <f ca="1">Table66[[#This Row],[Year 6 (Specified in RFO) - N/A]]-Table66[[#This Row],[Column1]]</f>
        <v>0</v>
      </c>
    </row>
    <row r="477" spans="1:22" ht="16.5" thickBot="1">
      <c r="A477" s="227"/>
      <c r="B477" s="319"/>
      <c r="C477" s="319"/>
      <c r="D477" s="320"/>
      <c r="E477" s="320"/>
      <c r="F477" s="190"/>
      <c r="G4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7" s="190"/>
      <c r="I4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7" s="190"/>
      <c r="K4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7" s="190"/>
      <c r="M4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7" s="190"/>
      <c r="O4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7" s="190"/>
      <c r="Q4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7" s="192">
        <f ca="1">Table66[[#This Row],[Year 1 (Specified in RFO) - N/A]]+Table66[[#This Row],[Year 2 (Specified in RFO) - N/A]]+Table66[[#This Row],[Year 3 (Specified in RFO) - N/A]]+Table66[[#This Row],[Year 4 (Specified in RFO) - N/A]]+Table66[[#This Row],[Year 5 (Specified in RFO) - N/A]]+Table66[[#This Row],[Year 6 (Specified in RFO) - N/A]]</f>
        <v>0</v>
      </c>
      <c r="S477" s="402">
        <f ca="1">Table66[[#This Row],[Year 1  (Proposed)]]+Table66[[#This Row],[Year 2 (Proposed)]]+Table66[[#This Row],[Year 3 (Proposed)]]+Table66[[#This Row],[Year 4 (Proposed)]]+Table66[[#This Row],[Year 5 (Proposed)]]+Table66[[#This Row],[Year 6 (Proposed)]]</f>
        <v>0</v>
      </c>
      <c r="T477" s="403" t="b">
        <f ca="1">Table66[[#This Row],[Total Specifed in RFO - N/A]]=Table66[[#This Row],[Total Proposed]]</f>
        <v>1</v>
      </c>
      <c r="U477" s="439"/>
      <c r="V477" s="441">
        <f ca="1">Table66[[#This Row],[Year 6 (Specified in RFO) - N/A]]-Table66[[#This Row],[Column1]]</f>
        <v>0</v>
      </c>
    </row>
    <row r="478" spans="1:22" ht="16.5" thickBot="1">
      <c r="A478" s="227"/>
      <c r="B478" s="319"/>
      <c r="C478" s="319"/>
      <c r="D478" s="320"/>
      <c r="E478" s="320"/>
      <c r="F478" s="190"/>
      <c r="G4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8" s="190"/>
      <c r="I4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8" s="190"/>
      <c r="K4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8" s="190"/>
      <c r="M4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8" s="190"/>
      <c r="O4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8" s="190"/>
      <c r="Q4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8" s="192">
        <f ca="1">Table66[[#This Row],[Year 1 (Specified in RFO) - N/A]]+Table66[[#This Row],[Year 2 (Specified in RFO) - N/A]]+Table66[[#This Row],[Year 3 (Specified in RFO) - N/A]]+Table66[[#This Row],[Year 4 (Specified in RFO) - N/A]]+Table66[[#This Row],[Year 5 (Specified in RFO) - N/A]]+Table66[[#This Row],[Year 6 (Specified in RFO) - N/A]]</f>
        <v>0</v>
      </c>
      <c r="S478" s="402">
        <f ca="1">Table66[[#This Row],[Year 1  (Proposed)]]+Table66[[#This Row],[Year 2 (Proposed)]]+Table66[[#This Row],[Year 3 (Proposed)]]+Table66[[#This Row],[Year 4 (Proposed)]]+Table66[[#This Row],[Year 5 (Proposed)]]+Table66[[#This Row],[Year 6 (Proposed)]]</f>
        <v>0</v>
      </c>
      <c r="T478" s="403" t="b">
        <f ca="1">Table66[[#This Row],[Total Specifed in RFO - N/A]]=Table66[[#This Row],[Total Proposed]]</f>
        <v>1</v>
      </c>
      <c r="U478" s="439"/>
      <c r="V478" s="441">
        <f ca="1">Table66[[#This Row],[Year 6 (Specified in RFO) - N/A]]-Table66[[#This Row],[Column1]]</f>
        <v>0</v>
      </c>
    </row>
    <row r="479" spans="1:22" ht="16.5" thickBot="1">
      <c r="A479" s="227"/>
      <c r="B479" s="319"/>
      <c r="C479" s="319"/>
      <c r="D479" s="320"/>
      <c r="E479" s="320"/>
      <c r="F479" s="190"/>
      <c r="G4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9" s="190"/>
      <c r="I4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9" s="190"/>
      <c r="K4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9" s="190"/>
      <c r="M4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9" s="190"/>
      <c r="O4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9" s="190"/>
      <c r="Q4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9" s="192">
        <f ca="1">Table66[[#This Row],[Year 1 (Specified in RFO) - N/A]]+Table66[[#This Row],[Year 2 (Specified in RFO) - N/A]]+Table66[[#This Row],[Year 3 (Specified in RFO) - N/A]]+Table66[[#This Row],[Year 4 (Specified in RFO) - N/A]]+Table66[[#This Row],[Year 5 (Specified in RFO) - N/A]]+Table66[[#This Row],[Year 6 (Specified in RFO) - N/A]]</f>
        <v>0</v>
      </c>
      <c r="S479" s="402">
        <f ca="1">Table66[[#This Row],[Year 1  (Proposed)]]+Table66[[#This Row],[Year 2 (Proposed)]]+Table66[[#This Row],[Year 3 (Proposed)]]+Table66[[#This Row],[Year 4 (Proposed)]]+Table66[[#This Row],[Year 5 (Proposed)]]+Table66[[#This Row],[Year 6 (Proposed)]]</f>
        <v>0</v>
      </c>
      <c r="T479" s="403" t="b">
        <f ca="1">Table66[[#This Row],[Total Specifed in RFO - N/A]]=Table66[[#This Row],[Total Proposed]]</f>
        <v>1</v>
      </c>
      <c r="U479" s="439"/>
      <c r="V479" s="441">
        <f ca="1">Table66[[#This Row],[Year 6 (Specified in RFO) - N/A]]-Table66[[#This Row],[Column1]]</f>
        <v>0</v>
      </c>
    </row>
    <row r="480" spans="1:22" ht="16.5" thickBot="1">
      <c r="A480" s="227"/>
      <c r="B480" s="319"/>
      <c r="C480" s="319"/>
      <c r="D480" s="320"/>
      <c r="E480" s="320"/>
      <c r="F480" s="190"/>
      <c r="G4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0" s="190"/>
      <c r="I4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0" s="190"/>
      <c r="K4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0" s="190"/>
      <c r="M4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0" s="190"/>
      <c r="O4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0" s="190"/>
      <c r="Q4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0" s="192">
        <f ca="1">Table66[[#This Row],[Year 1 (Specified in RFO) - N/A]]+Table66[[#This Row],[Year 2 (Specified in RFO) - N/A]]+Table66[[#This Row],[Year 3 (Specified in RFO) - N/A]]+Table66[[#This Row],[Year 4 (Specified in RFO) - N/A]]+Table66[[#This Row],[Year 5 (Specified in RFO) - N/A]]+Table66[[#This Row],[Year 6 (Specified in RFO) - N/A]]</f>
        <v>0</v>
      </c>
      <c r="S480" s="402">
        <f ca="1">Table66[[#This Row],[Year 1  (Proposed)]]+Table66[[#This Row],[Year 2 (Proposed)]]+Table66[[#This Row],[Year 3 (Proposed)]]+Table66[[#This Row],[Year 4 (Proposed)]]+Table66[[#This Row],[Year 5 (Proposed)]]+Table66[[#This Row],[Year 6 (Proposed)]]</f>
        <v>0</v>
      </c>
      <c r="T480" s="403" t="b">
        <f ca="1">Table66[[#This Row],[Total Specifed in RFO - N/A]]=Table66[[#This Row],[Total Proposed]]</f>
        <v>1</v>
      </c>
      <c r="U480" s="439"/>
      <c r="V480" s="441">
        <f ca="1">Table66[[#This Row],[Year 6 (Specified in RFO) - N/A]]-Table66[[#This Row],[Column1]]</f>
        <v>0</v>
      </c>
    </row>
    <row r="481" spans="1:22" ht="16.5" thickBot="1">
      <c r="A481" s="227"/>
      <c r="B481" s="319"/>
      <c r="C481" s="319"/>
      <c r="D481" s="320"/>
      <c r="E481" s="320"/>
      <c r="F481" s="190"/>
      <c r="G4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1" s="190"/>
      <c r="I4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1" s="190"/>
      <c r="K4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1" s="190"/>
      <c r="M4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1" s="190"/>
      <c r="O4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1" s="190"/>
      <c r="Q4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1" s="192">
        <f ca="1">Table66[[#This Row],[Year 1 (Specified in RFO) - N/A]]+Table66[[#This Row],[Year 2 (Specified in RFO) - N/A]]+Table66[[#This Row],[Year 3 (Specified in RFO) - N/A]]+Table66[[#This Row],[Year 4 (Specified in RFO) - N/A]]+Table66[[#This Row],[Year 5 (Specified in RFO) - N/A]]+Table66[[#This Row],[Year 6 (Specified in RFO) - N/A]]</f>
        <v>0</v>
      </c>
      <c r="S481" s="402">
        <f ca="1">Table66[[#This Row],[Year 1  (Proposed)]]+Table66[[#This Row],[Year 2 (Proposed)]]+Table66[[#This Row],[Year 3 (Proposed)]]+Table66[[#This Row],[Year 4 (Proposed)]]+Table66[[#This Row],[Year 5 (Proposed)]]+Table66[[#This Row],[Year 6 (Proposed)]]</f>
        <v>0</v>
      </c>
      <c r="T481" s="403" t="b">
        <f ca="1">Table66[[#This Row],[Total Specifed in RFO - N/A]]=Table66[[#This Row],[Total Proposed]]</f>
        <v>1</v>
      </c>
      <c r="U481" s="439"/>
      <c r="V481" s="441">
        <f ca="1">Table66[[#This Row],[Year 6 (Specified in RFO) - N/A]]-Table66[[#This Row],[Column1]]</f>
        <v>0</v>
      </c>
    </row>
    <row r="482" spans="1:22" ht="16.5" thickBot="1">
      <c r="A482" s="227"/>
      <c r="B482" s="319"/>
      <c r="C482" s="319"/>
      <c r="D482" s="320"/>
      <c r="E482" s="320"/>
      <c r="F482" s="190"/>
      <c r="G4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2" s="190"/>
      <c r="I4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2" s="190"/>
      <c r="K4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2" s="190"/>
      <c r="M4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2" s="190"/>
      <c r="O4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2" s="190"/>
      <c r="Q4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2" s="192">
        <f ca="1">Table66[[#This Row],[Year 1 (Specified in RFO) - N/A]]+Table66[[#This Row],[Year 2 (Specified in RFO) - N/A]]+Table66[[#This Row],[Year 3 (Specified in RFO) - N/A]]+Table66[[#This Row],[Year 4 (Specified in RFO) - N/A]]+Table66[[#This Row],[Year 5 (Specified in RFO) - N/A]]+Table66[[#This Row],[Year 6 (Specified in RFO) - N/A]]</f>
        <v>0</v>
      </c>
      <c r="S482" s="402">
        <f ca="1">Table66[[#This Row],[Year 1  (Proposed)]]+Table66[[#This Row],[Year 2 (Proposed)]]+Table66[[#This Row],[Year 3 (Proposed)]]+Table66[[#This Row],[Year 4 (Proposed)]]+Table66[[#This Row],[Year 5 (Proposed)]]+Table66[[#This Row],[Year 6 (Proposed)]]</f>
        <v>0</v>
      </c>
      <c r="T482" s="403" t="b">
        <f ca="1">Table66[[#This Row],[Total Specifed in RFO - N/A]]=Table66[[#This Row],[Total Proposed]]</f>
        <v>1</v>
      </c>
      <c r="U482" s="439"/>
      <c r="V482" s="441">
        <f ca="1">Table66[[#This Row],[Year 6 (Specified in RFO) - N/A]]-Table66[[#This Row],[Column1]]</f>
        <v>0</v>
      </c>
    </row>
    <row r="483" spans="1:22" ht="16.5" thickBot="1">
      <c r="A483" s="227"/>
      <c r="B483" s="319"/>
      <c r="C483" s="319"/>
      <c r="D483" s="320"/>
      <c r="E483" s="320"/>
      <c r="F483" s="190"/>
      <c r="G4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3" s="190"/>
      <c r="I4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3" s="190"/>
      <c r="K4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3" s="190"/>
      <c r="M4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3" s="190"/>
      <c r="O4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3" s="190"/>
      <c r="Q4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3" s="192">
        <f ca="1">Table66[[#This Row],[Year 1 (Specified in RFO) - N/A]]+Table66[[#This Row],[Year 2 (Specified in RFO) - N/A]]+Table66[[#This Row],[Year 3 (Specified in RFO) - N/A]]+Table66[[#This Row],[Year 4 (Specified in RFO) - N/A]]+Table66[[#This Row],[Year 5 (Specified in RFO) - N/A]]+Table66[[#This Row],[Year 6 (Specified in RFO) - N/A]]</f>
        <v>0</v>
      </c>
      <c r="S483" s="402">
        <f ca="1">Table66[[#This Row],[Year 1  (Proposed)]]+Table66[[#This Row],[Year 2 (Proposed)]]+Table66[[#This Row],[Year 3 (Proposed)]]+Table66[[#This Row],[Year 4 (Proposed)]]+Table66[[#This Row],[Year 5 (Proposed)]]+Table66[[#This Row],[Year 6 (Proposed)]]</f>
        <v>0</v>
      </c>
      <c r="T483" s="403" t="b">
        <f ca="1">Table66[[#This Row],[Total Specifed in RFO - N/A]]=Table66[[#This Row],[Total Proposed]]</f>
        <v>1</v>
      </c>
      <c r="U483" s="439"/>
      <c r="V483" s="441">
        <f ca="1">Table66[[#This Row],[Year 6 (Specified in RFO) - N/A]]-Table66[[#This Row],[Column1]]</f>
        <v>0</v>
      </c>
    </row>
    <row r="484" spans="1:22" ht="16.5" thickBot="1">
      <c r="A484" s="227"/>
      <c r="B484" s="319"/>
      <c r="C484" s="319"/>
      <c r="D484" s="320"/>
      <c r="E484" s="320"/>
      <c r="F484" s="190"/>
      <c r="G4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4" s="190"/>
      <c r="I4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4" s="190"/>
      <c r="K4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4" s="190"/>
      <c r="M4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4" s="190"/>
      <c r="O4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4" s="190"/>
      <c r="Q4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4" s="192">
        <f ca="1">Table66[[#This Row],[Year 1 (Specified in RFO) - N/A]]+Table66[[#This Row],[Year 2 (Specified in RFO) - N/A]]+Table66[[#This Row],[Year 3 (Specified in RFO) - N/A]]+Table66[[#This Row],[Year 4 (Specified in RFO) - N/A]]+Table66[[#This Row],[Year 5 (Specified in RFO) - N/A]]+Table66[[#This Row],[Year 6 (Specified in RFO) - N/A]]</f>
        <v>0</v>
      </c>
      <c r="S484" s="402">
        <f ca="1">Table66[[#This Row],[Year 1  (Proposed)]]+Table66[[#This Row],[Year 2 (Proposed)]]+Table66[[#This Row],[Year 3 (Proposed)]]+Table66[[#This Row],[Year 4 (Proposed)]]+Table66[[#This Row],[Year 5 (Proposed)]]+Table66[[#This Row],[Year 6 (Proposed)]]</f>
        <v>0</v>
      </c>
      <c r="T484" s="403" t="b">
        <f ca="1">Table66[[#This Row],[Total Specifed in RFO - N/A]]=Table66[[#This Row],[Total Proposed]]</f>
        <v>1</v>
      </c>
      <c r="U484" s="439"/>
      <c r="V484" s="441">
        <f ca="1">Table66[[#This Row],[Year 6 (Specified in RFO) - N/A]]-Table66[[#This Row],[Column1]]</f>
        <v>0</v>
      </c>
    </row>
    <row r="485" spans="1:22" ht="16.5" thickBot="1">
      <c r="A485" s="227"/>
      <c r="B485" s="319"/>
      <c r="C485" s="319"/>
      <c r="D485" s="320"/>
      <c r="E485" s="320"/>
      <c r="F485" s="190"/>
      <c r="G4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5" s="190"/>
      <c r="I4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5" s="190"/>
      <c r="K4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5" s="190"/>
      <c r="M4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5" s="190"/>
      <c r="O4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5" s="190"/>
      <c r="Q4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5" s="192">
        <f ca="1">Table66[[#This Row],[Year 1 (Specified in RFO) - N/A]]+Table66[[#This Row],[Year 2 (Specified in RFO) - N/A]]+Table66[[#This Row],[Year 3 (Specified in RFO) - N/A]]+Table66[[#This Row],[Year 4 (Specified in RFO) - N/A]]+Table66[[#This Row],[Year 5 (Specified in RFO) - N/A]]+Table66[[#This Row],[Year 6 (Specified in RFO) - N/A]]</f>
        <v>0</v>
      </c>
      <c r="S485" s="402">
        <f ca="1">Table66[[#This Row],[Year 1  (Proposed)]]+Table66[[#This Row],[Year 2 (Proposed)]]+Table66[[#This Row],[Year 3 (Proposed)]]+Table66[[#This Row],[Year 4 (Proposed)]]+Table66[[#This Row],[Year 5 (Proposed)]]+Table66[[#This Row],[Year 6 (Proposed)]]</f>
        <v>0</v>
      </c>
      <c r="T485" s="403" t="b">
        <f ca="1">Table66[[#This Row],[Total Specifed in RFO - N/A]]=Table66[[#This Row],[Total Proposed]]</f>
        <v>1</v>
      </c>
      <c r="U485" s="439"/>
      <c r="V485" s="441">
        <f ca="1">Table66[[#This Row],[Year 6 (Specified in RFO) - N/A]]-Table66[[#This Row],[Column1]]</f>
        <v>0</v>
      </c>
    </row>
    <row r="486" spans="1:22" ht="16.5" thickBot="1">
      <c r="A486" s="227"/>
      <c r="B486" s="319"/>
      <c r="C486" s="319"/>
      <c r="D486" s="320"/>
      <c r="E486" s="320"/>
      <c r="F486" s="190"/>
      <c r="G4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6" s="190"/>
      <c r="I4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6" s="190"/>
      <c r="K4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6" s="190"/>
      <c r="M4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6" s="190"/>
      <c r="O4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6" s="190"/>
      <c r="Q4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6" s="192">
        <f ca="1">Table66[[#This Row],[Year 1 (Specified in RFO) - N/A]]+Table66[[#This Row],[Year 2 (Specified in RFO) - N/A]]+Table66[[#This Row],[Year 3 (Specified in RFO) - N/A]]+Table66[[#This Row],[Year 4 (Specified in RFO) - N/A]]+Table66[[#This Row],[Year 5 (Specified in RFO) - N/A]]+Table66[[#This Row],[Year 6 (Specified in RFO) - N/A]]</f>
        <v>0</v>
      </c>
      <c r="S486" s="402">
        <f ca="1">Table66[[#This Row],[Year 1  (Proposed)]]+Table66[[#This Row],[Year 2 (Proposed)]]+Table66[[#This Row],[Year 3 (Proposed)]]+Table66[[#This Row],[Year 4 (Proposed)]]+Table66[[#This Row],[Year 5 (Proposed)]]+Table66[[#This Row],[Year 6 (Proposed)]]</f>
        <v>0</v>
      </c>
      <c r="T486" s="403" t="b">
        <f ca="1">Table66[[#This Row],[Total Specifed in RFO - N/A]]=Table66[[#This Row],[Total Proposed]]</f>
        <v>1</v>
      </c>
      <c r="U486" s="439"/>
      <c r="V486" s="441">
        <f ca="1">Table66[[#This Row],[Year 6 (Specified in RFO) - N/A]]-Table66[[#This Row],[Column1]]</f>
        <v>0</v>
      </c>
    </row>
    <row r="487" spans="1:22" ht="16.5" thickBot="1">
      <c r="A487" s="227"/>
      <c r="B487" s="319"/>
      <c r="C487" s="319"/>
      <c r="D487" s="320"/>
      <c r="E487" s="320"/>
      <c r="F487" s="190"/>
      <c r="G4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7" s="190"/>
      <c r="I4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7" s="190"/>
      <c r="K4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7" s="190"/>
      <c r="M4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7" s="190"/>
      <c r="O4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7" s="190"/>
      <c r="Q4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7" s="192">
        <f ca="1">Table66[[#This Row],[Year 1 (Specified in RFO) - N/A]]+Table66[[#This Row],[Year 2 (Specified in RFO) - N/A]]+Table66[[#This Row],[Year 3 (Specified in RFO) - N/A]]+Table66[[#This Row],[Year 4 (Specified in RFO) - N/A]]+Table66[[#This Row],[Year 5 (Specified in RFO) - N/A]]+Table66[[#This Row],[Year 6 (Specified in RFO) - N/A]]</f>
        <v>0</v>
      </c>
      <c r="S487" s="402">
        <f ca="1">Table66[[#This Row],[Year 1  (Proposed)]]+Table66[[#This Row],[Year 2 (Proposed)]]+Table66[[#This Row],[Year 3 (Proposed)]]+Table66[[#This Row],[Year 4 (Proposed)]]+Table66[[#This Row],[Year 5 (Proposed)]]+Table66[[#This Row],[Year 6 (Proposed)]]</f>
        <v>0</v>
      </c>
      <c r="T487" s="403" t="b">
        <f ca="1">Table66[[#This Row],[Total Specifed in RFO - N/A]]=Table66[[#This Row],[Total Proposed]]</f>
        <v>1</v>
      </c>
      <c r="U487" s="439"/>
      <c r="V487" s="441">
        <f ca="1">Table66[[#This Row],[Year 6 (Specified in RFO) - N/A]]-Table66[[#This Row],[Column1]]</f>
        <v>0</v>
      </c>
    </row>
    <row r="488" spans="1:22" ht="16.5" thickBot="1">
      <c r="A488" s="227"/>
      <c r="B488" s="319"/>
      <c r="C488" s="319"/>
      <c r="D488" s="320"/>
      <c r="E488" s="320"/>
      <c r="F488" s="190"/>
      <c r="G4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8" s="190"/>
      <c r="I4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8" s="190"/>
      <c r="K4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8" s="190"/>
      <c r="M4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8" s="190"/>
      <c r="O4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8" s="190"/>
      <c r="Q4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8" s="192">
        <f ca="1">Table66[[#This Row],[Year 1 (Specified in RFO) - N/A]]+Table66[[#This Row],[Year 2 (Specified in RFO) - N/A]]+Table66[[#This Row],[Year 3 (Specified in RFO) - N/A]]+Table66[[#This Row],[Year 4 (Specified in RFO) - N/A]]+Table66[[#This Row],[Year 5 (Specified in RFO) - N/A]]+Table66[[#This Row],[Year 6 (Specified in RFO) - N/A]]</f>
        <v>0</v>
      </c>
      <c r="S488" s="402">
        <f ca="1">Table66[[#This Row],[Year 1  (Proposed)]]+Table66[[#This Row],[Year 2 (Proposed)]]+Table66[[#This Row],[Year 3 (Proposed)]]+Table66[[#This Row],[Year 4 (Proposed)]]+Table66[[#This Row],[Year 5 (Proposed)]]+Table66[[#This Row],[Year 6 (Proposed)]]</f>
        <v>0</v>
      </c>
      <c r="T488" s="403" t="b">
        <f ca="1">Table66[[#This Row],[Total Specifed in RFO - N/A]]=Table66[[#This Row],[Total Proposed]]</f>
        <v>1</v>
      </c>
      <c r="U488" s="439"/>
      <c r="V488" s="441">
        <f ca="1">Table66[[#This Row],[Year 6 (Specified in RFO) - N/A]]-Table66[[#This Row],[Column1]]</f>
        <v>0</v>
      </c>
    </row>
    <row r="489" spans="1:22" ht="16.5" thickBot="1">
      <c r="A489" s="227"/>
      <c r="B489" s="319"/>
      <c r="C489" s="319"/>
      <c r="D489" s="320"/>
      <c r="E489" s="320"/>
      <c r="F489" s="190"/>
      <c r="G4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9" s="190"/>
      <c r="I4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9" s="190"/>
      <c r="K4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9" s="190"/>
      <c r="M4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9" s="190"/>
      <c r="O4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9" s="190"/>
      <c r="Q4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9" s="192">
        <f ca="1">Table66[[#This Row],[Year 1 (Specified in RFO) - N/A]]+Table66[[#This Row],[Year 2 (Specified in RFO) - N/A]]+Table66[[#This Row],[Year 3 (Specified in RFO) - N/A]]+Table66[[#This Row],[Year 4 (Specified in RFO) - N/A]]+Table66[[#This Row],[Year 5 (Specified in RFO) - N/A]]+Table66[[#This Row],[Year 6 (Specified in RFO) - N/A]]</f>
        <v>0</v>
      </c>
      <c r="S489" s="402">
        <f ca="1">Table66[[#This Row],[Year 1  (Proposed)]]+Table66[[#This Row],[Year 2 (Proposed)]]+Table66[[#This Row],[Year 3 (Proposed)]]+Table66[[#This Row],[Year 4 (Proposed)]]+Table66[[#This Row],[Year 5 (Proposed)]]+Table66[[#This Row],[Year 6 (Proposed)]]</f>
        <v>0</v>
      </c>
      <c r="T489" s="403" t="b">
        <f ca="1">Table66[[#This Row],[Total Specifed in RFO - N/A]]=Table66[[#This Row],[Total Proposed]]</f>
        <v>1</v>
      </c>
      <c r="U489" s="439"/>
      <c r="V489" s="441">
        <f ca="1">Table66[[#This Row],[Year 6 (Specified in RFO) - N/A]]-Table66[[#This Row],[Column1]]</f>
        <v>0</v>
      </c>
    </row>
    <row r="490" spans="1:22" ht="16.5" thickBot="1">
      <c r="A490" s="227"/>
      <c r="B490" s="319"/>
      <c r="C490" s="319"/>
      <c r="D490" s="320"/>
      <c r="E490" s="320"/>
      <c r="F490" s="190"/>
      <c r="G4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0" s="190"/>
      <c r="I4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0" s="190"/>
      <c r="K4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0" s="190"/>
      <c r="M4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0" s="190"/>
      <c r="O4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0" s="190"/>
      <c r="Q4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0" s="192">
        <f ca="1">Table66[[#This Row],[Year 1 (Specified in RFO) - N/A]]+Table66[[#This Row],[Year 2 (Specified in RFO) - N/A]]+Table66[[#This Row],[Year 3 (Specified in RFO) - N/A]]+Table66[[#This Row],[Year 4 (Specified in RFO) - N/A]]+Table66[[#This Row],[Year 5 (Specified in RFO) - N/A]]+Table66[[#This Row],[Year 6 (Specified in RFO) - N/A]]</f>
        <v>0</v>
      </c>
      <c r="S490" s="402">
        <f ca="1">Table66[[#This Row],[Year 1  (Proposed)]]+Table66[[#This Row],[Year 2 (Proposed)]]+Table66[[#This Row],[Year 3 (Proposed)]]+Table66[[#This Row],[Year 4 (Proposed)]]+Table66[[#This Row],[Year 5 (Proposed)]]+Table66[[#This Row],[Year 6 (Proposed)]]</f>
        <v>0</v>
      </c>
      <c r="T490" s="403" t="b">
        <f ca="1">Table66[[#This Row],[Total Specifed in RFO - N/A]]=Table66[[#This Row],[Total Proposed]]</f>
        <v>1</v>
      </c>
      <c r="U490" s="439"/>
      <c r="V490" s="441">
        <f ca="1">Table66[[#This Row],[Year 6 (Specified in RFO) - N/A]]-Table66[[#This Row],[Column1]]</f>
        <v>0</v>
      </c>
    </row>
    <row r="491" spans="1:22" ht="16.5" thickBot="1">
      <c r="A491" s="227"/>
      <c r="B491" s="319"/>
      <c r="C491" s="319"/>
      <c r="D491" s="320"/>
      <c r="E491" s="320"/>
      <c r="F491" s="190"/>
      <c r="G4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1" s="190"/>
      <c r="I4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1" s="190"/>
      <c r="K4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1" s="190"/>
      <c r="M4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1" s="190"/>
      <c r="O4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1" s="190"/>
      <c r="Q4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1" s="192">
        <f ca="1">Table66[[#This Row],[Year 1 (Specified in RFO) - N/A]]+Table66[[#This Row],[Year 2 (Specified in RFO) - N/A]]+Table66[[#This Row],[Year 3 (Specified in RFO) - N/A]]+Table66[[#This Row],[Year 4 (Specified in RFO) - N/A]]+Table66[[#This Row],[Year 5 (Specified in RFO) - N/A]]+Table66[[#This Row],[Year 6 (Specified in RFO) - N/A]]</f>
        <v>0</v>
      </c>
      <c r="S491" s="402">
        <f ca="1">Table66[[#This Row],[Year 1  (Proposed)]]+Table66[[#This Row],[Year 2 (Proposed)]]+Table66[[#This Row],[Year 3 (Proposed)]]+Table66[[#This Row],[Year 4 (Proposed)]]+Table66[[#This Row],[Year 5 (Proposed)]]+Table66[[#This Row],[Year 6 (Proposed)]]</f>
        <v>0</v>
      </c>
      <c r="T491" s="403" t="b">
        <f ca="1">Table66[[#This Row],[Total Specifed in RFO - N/A]]=Table66[[#This Row],[Total Proposed]]</f>
        <v>1</v>
      </c>
      <c r="U491" s="439"/>
      <c r="V491" s="441">
        <f ca="1">Table66[[#This Row],[Year 6 (Specified in RFO) - N/A]]-Table66[[#This Row],[Column1]]</f>
        <v>0</v>
      </c>
    </row>
    <row r="492" spans="1:22" ht="16.5" thickBot="1">
      <c r="A492" s="227"/>
      <c r="B492" s="319"/>
      <c r="C492" s="319"/>
      <c r="D492" s="320"/>
      <c r="E492" s="320"/>
      <c r="F492" s="190"/>
      <c r="G4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2" s="190"/>
      <c r="I4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2" s="190"/>
      <c r="K4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2" s="190"/>
      <c r="M4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2" s="190"/>
      <c r="O4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2" s="190"/>
      <c r="Q4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2" s="192">
        <f ca="1">Table66[[#This Row],[Year 1 (Specified in RFO) - N/A]]+Table66[[#This Row],[Year 2 (Specified in RFO) - N/A]]+Table66[[#This Row],[Year 3 (Specified in RFO) - N/A]]+Table66[[#This Row],[Year 4 (Specified in RFO) - N/A]]+Table66[[#This Row],[Year 5 (Specified in RFO) - N/A]]+Table66[[#This Row],[Year 6 (Specified in RFO) - N/A]]</f>
        <v>0</v>
      </c>
      <c r="S492" s="402">
        <f ca="1">Table66[[#This Row],[Year 1  (Proposed)]]+Table66[[#This Row],[Year 2 (Proposed)]]+Table66[[#This Row],[Year 3 (Proposed)]]+Table66[[#This Row],[Year 4 (Proposed)]]+Table66[[#This Row],[Year 5 (Proposed)]]+Table66[[#This Row],[Year 6 (Proposed)]]</f>
        <v>0</v>
      </c>
      <c r="T492" s="403" t="b">
        <f ca="1">Table66[[#This Row],[Total Specifed in RFO - N/A]]=Table66[[#This Row],[Total Proposed]]</f>
        <v>1</v>
      </c>
      <c r="U492" s="439"/>
      <c r="V492" s="441">
        <f ca="1">Table66[[#This Row],[Year 6 (Specified in RFO) - N/A]]-Table66[[#This Row],[Column1]]</f>
        <v>0</v>
      </c>
    </row>
    <row r="493" spans="1:22" ht="16.5" thickBot="1">
      <c r="A493" s="227"/>
      <c r="B493" s="319"/>
      <c r="C493" s="319"/>
      <c r="D493" s="320"/>
      <c r="E493" s="320"/>
      <c r="F493" s="190"/>
      <c r="G4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3" s="190"/>
      <c r="I4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3" s="190"/>
      <c r="K4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3" s="190"/>
      <c r="M4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3" s="190"/>
      <c r="O4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3" s="190"/>
      <c r="Q4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3" s="192">
        <f ca="1">Table66[[#This Row],[Year 1 (Specified in RFO) - N/A]]+Table66[[#This Row],[Year 2 (Specified in RFO) - N/A]]+Table66[[#This Row],[Year 3 (Specified in RFO) - N/A]]+Table66[[#This Row],[Year 4 (Specified in RFO) - N/A]]+Table66[[#This Row],[Year 5 (Specified in RFO) - N/A]]+Table66[[#This Row],[Year 6 (Specified in RFO) - N/A]]</f>
        <v>0</v>
      </c>
      <c r="S493" s="402">
        <f ca="1">Table66[[#This Row],[Year 1  (Proposed)]]+Table66[[#This Row],[Year 2 (Proposed)]]+Table66[[#This Row],[Year 3 (Proposed)]]+Table66[[#This Row],[Year 4 (Proposed)]]+Table66[[#This Row],[Year 5 (Proposed)]]+Table66[[#This Row],[Year 6 (Proposed)]]</f>
        <v>0</v>
      </c>
      <c r="T493" s="403" t="b">
        <f ca="1">Table66[[#This Row],[Total Specifed in RFO - N/A]]=Table66[[#This Row],[Total Proposed]]</f>
        <v>1</v>
      </c>
      <c r="U493" s="439"/>
      <c r="V493" s="441">
        <f ca="1">Table66[[#This Row],[Year 6 (Specified in RFO) - N/A]]-Table66[[#This Row],[Column1]]</f>
        <v>0</v>
      </c>
    </row>
    <row r="494" spans="1:22" ht="16.5" thickBot="1">
      <c r="A494" s="227"/>
      <c r="B494" s="319"/>
      <c r="C494" s="319"/>
      <c r="D494" s="320"/>
      <c r="E494" s="320"/>
      <c r="F494" s="190"/>
      <c r="G4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4" s="190"/>
      <c r="I4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4" s="190"/>
      <c r="K4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4" s="190"/>
      <c r="M4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4" s="190"/>
      <c r="O4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4" s="190"/>
      <c r="Q4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4" s="192">
        <f ca="1">Table66[[#This Row],[Year 1 (Specified in RFO) - N/A]]+Table66[[#This Row],[Year 2 (Specified in RFO) - N/A]]+Table66[[#This Row],[Year 3 (Specified in RFO) - N/A]]+Table66[[#This Row],[Year 4 (Specified in RFO) - N/A]]+Table66[[#This Row],[Year 5 (Specified in RFO) - N/A]]+Table66[[#This Row],[Year 6 (Specified in RFO) - N/A]]</f>
        <v>0</v>
      </c>
      <c r="S494" s="402">
        <f ca="1">Table66[[#This Row],[Year 1  (Proposed)]]+Table66[[#This Row],[Year 2 (Proposed)]]+Table66[[#This Row],[Year 3 (Proposed)]]+Table66[[#This Row],[Year 4 (Proposed)]]+Table66[[#This Row],[Year 5 (Proposed)]]+Table66[[#This Row],[Year 6 (Proposed)]]</f>
        <v>0</v>
      </c>
      <c r="T494" s="403" t="b">
        <f ca="1">Table66[[#This Row],[Total Specifed in RFO - N/A]]=Table66[[#This Row],[Total Proposed]]</f>
        <v>1</v>
      </c>
      <c r="U494" s="439"/>
      <c r="V494" s="441">
        <f ca="1">Table66[[#This Row],[Year 6 (Specified in RFO) - N/A]]-Table66[[#This Row],[Column1]]</f>
        <v>0</v>
      </c>
    </row>
    <row r="495" spans="1:22" ht="16.5" thickBot="1">
      <c r="A495" s="227"/>
      <c r="B495" s="319"/>
      <c r="C495" s="319"/>
      <c r="D495" s="320"/>
      <c r="E495" s="320"/>
      <c r="F495" s="190"/>
      <c r="G4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5" s="190"/>
      <c r="I4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5" s="190"/>
      <c r="K4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5" s="190"/>
      <c r="M4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5" s="190"/>
      <c r="O4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5" s="190"/>
      <c r="Q4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5" s="192">
        <f ca="1">Table66[[#This Row],[Year 1 (Specified in RFO) - N/A]]+Table66[[#This Row],[Year 2 (Specified in RFO) - N/A]]+Table66[[#This Row],[Year 3 (Specified in RFO) - N/A]]+Table66[[#This Row],[Year 4 (Specified in RFO) - N/A]]+Table66[[#This Row],[Year 5 (Specified in RFO) - N/A]]+Table66[[#This Row],[Year 6 (Specified in RFO) - N/A]]</f>
        <v>0</v>
      </c>
      <c r="S495" s="402">
        <f ca="1">Table66[[#This Row],[Year 1  (Proposed)]]+Table66[[#This Row],[Year 2 (Proposed)]]+Table66[[#This Row],[Year 3 (Proposed)]]+Table66[[#This Row],[Year 4 (Proposed)]]+Table66[[#This Row],[Year 5 (Proposed)]]+Table66[[#This Row],[Year 6 (Proposed)]]</f>
        <v>0</v>
      </c>
      <c r="T495" s="403" t="b">
        <f ca="1">Table66[[#This Row],[Total Specifed in RFO - N/A]]=Table66[[#This Row],[Total Proposed]]</f>
        <v>1</v>
      </c>
      <c r="U495" s="439"/>
      <c r="V495" s="441">
        <f ca="1">Table66[[#This Row],[Year 6 (Specified in RFO) - N/A]]-Table66[[#This Row],[Column1]]</f>
        <v>0</v>
      </c>
    </row>
    <row r="496" spans="1:22" ht="16.5" thickBot="1">
      <c r="A496" s="227"/>
      <c r="B496" s="319"/>
      <c r="C496" s="319"/>
      <c r="D496" s="320"/>
      <c r="E496" s="320"/>
      <c r="F496" s="190"/>
      <c r="G4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6" s="190"/>
      <c r="I4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6" s="190"/>
      <c r="K4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6" s="190"/>
      <c r="M4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6" s="190"/>
      <c r="O4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6" s="190"/>
      <c r="Q4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6" s="192">
        <f ca="1">Table66[[#This Row],[Year 1 (Specified in RFO) - N/A]]+Table66[[#This Row],[Year 2 (Specified in RFO) - N/A]]+Table66[[#This Row],[Year 3 (Specified in RFO) - N/A]]+Table66[[#This Row],[Year 4 (Specified in RFO) - N/A]]+Table66[[#This Row],[Year 5 (Specified in RFO) - N/A]]+Table66[[#This Row],[Year 6 (Specified in RFO) - N/A]]</f>
        <v>0</v>
      </c>
      <c r="S496" s="402">
        <f ca="1">Table66[[#This Row],[Year 1  (Proposed)]]+Table66[[#This Row],[Year 2 (Proposed)]]+Table66[[#This Row],[Year 3 (Proposed)]]+Table66[[#This Row],[Year 4 (Proposed)]]+Table66[[#This Row],[Year 5 (Proposed)]]+Table66[[#This Row],[Year 6 (Proposed)]]</f>
        <v>0</v>
      </c>
      <c r="T496" s="403" t="b">
        <f ca="1">Table66[[#This Row],[Total Specifed in RFO - N/A]]=Table66[[#This Row],[Total Proposed]]</f>
        <v>1</v>
      </c>
      <c r="U496" s="439"/>
      <c r="V496" s="441">
        <f ca="1">Table66[[#This Row],[Year 6 (Specified in RFO) - N/A]]-Table66[[#This Row],[Column1]]</f>
        <v>0</v>
      </c>
    </row>
    <row r="497" spans="1:22" ht="16.5" customHeight="1" thickBot="1">
      <c r="A497" s="227"/>
      <c r="B497" s="319"/>
      <c r="C497" s="319"/>
      <c r="D497" s="320"/>
      <c r="E497" s="320"/>
      <c r="F497" s="190"/>
      <c r="G4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7" s="190"/>
      <c r="I4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7" s="190"/>
      <c r="K4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7" s="190"/>
      <c r="M4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7" s="190"/>
      <c r="O4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7" s="190"/>
      <c r="Q4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7" s="192">
        <f ca="1">Table66[[#This Row],[Year 1 (Specified in RFO) - N/A]]+Table66[[#This Row],[Year 2 (Specified in RFO) - N/A]]+Table66[[#This Row],[Year 3 (Specified in RFO) - N/A]]+Table66[[#This Row],[Year 4 (Specified in RFO) - N/A]]+Table66[[#This Row],[Year 5 (Specified in RFO) - N/A]]+Table66[[#This Row],[Year 6 (Specified in RFO) - N/A]]</f>
        <v>0</v>
      </c>
      <c r="S497" s="402">
        <f ca="1">Table66[[#This Row],[Year 1  (Proposed)]]+Table66[[#This Row],[Year 2 (Proposed)]]+Table66[[#This Row],[Year 3 (Proposed)]]+Table66[[#This Row],[Year 4 (Proposed)]]+Table66[[#This Row],[Year 5 (Proposed)]]+Table66[[#This Row],[Year 6 (Proposed)]]</f>
        <v>0</v>
      </c>
      <c r="T497" s="403" t="b">
        <f ca="1">Table66[[#This Row],[Total Specifed in RFO - N/A]]=Table66[[#This Row],[Total Proposed]]</f>
        <v>1</v>
      </c>
      <c r="U497" s="439"/>
      <c r="V497" s="441">
        <f ca="1">Table66[[#This Row],[Year 6 (Specified in RFO) - N/A]]-Table66[[#This Row],[Column1]]</f>
        <v>0</v>
      </c>
    </row>
    <row r="498" spans="1:22" ht="16.5" thickBot="1">
      <c r="A498" s="227"/>
      <c r="B498" s="319"/>
      <c r="C498" s="319"/>
      <c r="D498" s="320"/>
      <c r="E498" s="320"/>
      <c r="F498" s="190"/>
      <c r="G4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8" s="190"/>
      <c r="I4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8" s="190"/>
      <c r="K4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8" s="190"/>
      <c r="M4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8" s="190"/>
      <c r="O4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8" s="190"/>
      <c r="Q4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8" s="192">
        <f ca="1">Table66[[#This Row],[Year 1 (Specified in RFO) - N/A]]+Table66[[#This Row],[Year 2 (Specified in RFO) - N/A]]+Table66[[#This Row],[Year 3 (Specified in RFO) - N/A]]+Table66[[#This Row],[Year 4 (Specified in RFO) - N/A]]+Table66[[#This Row],[Year 5 (Specified in RFO) - N/A]]+Table66[[#This Row],[Year 6 (Specified in RFO) - N/A]]</f>
        <v>0</v>
      </c>
      <c r="S498" s="402">
        <f ca="1">Table66[[#This Row],[Year 1  (Proposed)]]+Table66[[#This Row],[Year 2 (Proposed)]]+Table66[[#This Row],[Year 3 (Proposed)]]+Table66[[#This Row],[Year 4 (Proposed)]]+Table66[[#This Row],[Year 5 (Proposed)]]+Table66[[#This Row],[Year 6 (Proposed)]]</f>
        <v>0</v>
      </c>
      <c r="T498" s="403" t="b">
        <f ca="1">Table66[[#This Row],[Total Specifed in RFO - N/A]]=Table66[[#This Row],[Total Proposed]]</f>
        <v>1</v>
      </c>
      <c r="U498" s="439"/>
      <c r="V498" s="441">
        <f ca="1">Table66[[#This Row],[Year 6 (Specified in RFO) - N/A]]-Table66[[#This Row],[Column1]]</f>
        <v>0</v>
      </c>
    </row>
    <row r="499" spans="1:22" ht="16.5" thickBot="1">
      <c r="A499" s="227"/>
      <c r="B499" s="319"/>
      <c r="C499" s="319"/>
      <c r="D499" s="320"/>
      <c r="E499" s="320"/>
      <c r="F499" s="190"/>
      <c r="G4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9" s="190"/>
      <c r="I4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9" s="190"/>
      <c r="K4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9" s="190"/>
      <c r="M4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9" s="190"/>
      <c r="O4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9" s="190"/>
      <c r="Q4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9" s="192">
        <f ca="1">Table66[[#This Row],[Year 1 (Specified in RFO) - N/A]]+Table66[[#This Row],[Year 2 (Specified in RFO) - N/A]]+Table66[[#This Row],[Year 3 (Specified in RFO) - N/A]]+Table66[[#This Row],[Year 4 (Specified in RFO) - N/A]]+Table66[[#This Row],[Year 5 (Specified in RFO) - N/A]]+Table66[[#This Row],[Year 6 (Specified in RFO) - N/A]]</f>
        <v>0</v>
      </c>
      <c r="S499" s="402">
        <f ca="1">Table66[[#This Row],[Year 1  (Proposed)]]+Table66[[#This Row],[Year 2 (Proposed)]]+Table66[[#This Row],[Year 3 (Proposed)]]+Table66[[#This Row],[Year 4 (Proposed)]]+Table66[[#This Row],[Year 5 (Proposed)]]+Table66[[#This Row],[Year 6 (Proposed)]]</f>
        <v>0</v>
      </c>
      <c r="T499" s="403" t="b">
        <f ca="1">Table66[[#This Row],[Total Specifed in RFO - N/A]]=Table66[[#This Row],[Total Proposed]]</f>
        <v>1</v>
      </c>
      <c r="U499" s="439"/>
      <c r="V499" s="441">
        <f ca="1">Table66[[#This Row],[Year 6 (Specified in RFO) - N/A]]-Table66[[#This Row],[Column1]]</f>
        <v>0</v>
      </c>
    </row>
    <row r="500" spans="1:22" ht="16.5" thickBot="1">
      <c r="A500" s="227"/>
      <c r="B500" s="319"/>
      <c r="C500" s="319"/>
      <c r="D500" s="320"/>
      <c r="E500" s="320"/>
      <c r="F500" s="190"/>
      <c r="G5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0" s="190"/>
      <c r="I5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0" s="190"/>
      <c r="K5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0" s="190"/>
      <c r="M5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0" s="190"/>
      <c r="O5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0" s="190"/>
      <c r="Q5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0" s="192">
        <f ca="1">Table66[[#This Row],[Year 1 (Specified in RFO) - N/A]]+Table66[[#This Row],[Year 2 (Specified in RFO) - N/A]]+Table66[[#This Row],[Year 3 (Specified in RFO) - N/A]]+Table66[[#This Row],[Year 4 (Specified in RFO) - N/A]]+Table66[[#This Row],[Year 5 (Specified in RFO) - N/A]]+Table66[[#This Row],[Year 6 (Specified in RFO) - N/A]]</f>
        <v>0</v>
      </c>
      <c r="S500" s="402">
        <f ca="1">Table66[[#This Row],[Year 1  (Proposed)]]+Table66[[#This Row],[Year 2 (Proposed)]]+Table66[[#This Row],[Year 3 (Proposed)]]+Table66[[#This Row],[Year 4 (Proposed)]]+Table66[[#This Row],[Year 5 (Proposed)]]+Table66[[#This Row],[Year 6 (Proposed)]]</f>
        <v>0</v>
      </c>
      <c r="T500" s="403" t="b">
        <f ca="1">Table66[[#This Row],[Total Specifed in RFO - N/A]]=Table66[[#This Row],[Total Proposed]]</f>
        <v>1</v>
      </c>
      <c r="U500" s="439"/>
      <c r="V500" s="441">
        <f ca="1">Table66[[#This Row],[Year 6 (Specified in RFO) - N/A]]-Table66[[#This Row],[Column1]]</f>
        <v>0</v>
      </c>
    </row>
    <row r="501" spans="1:22" ht="16.5" thickBot="1">
      <c r="A501" s="227"/>
      <c r="B501" s="319"/>
      <c r="C501" s="319"/>
      <c r="D501" s="320"/>
      <c r="E501" s="320"/>
      <c r="F501" s="190"/>
      <c r="G5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1" s="190"/>
      <c r="I5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1" s="190"/>
      <c r="K5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1" s="190"/>
      <c r="M5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1" s="190"/>
      <c r="O5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1" s="190"/>
      <c r="Q5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1" s="192">
        <f ca="1">Table66[[#This Row],[Year 1 (Specified in RFO) - N/A]]+Table66[[#This Row],[Year 2 (Specified in RFO) - N/A]]+Table66[[#This Row],[Year 3 (Specified in RFO) - N/A]]+Table66[[#This Row],[Year 4 (Specified in RFO) - N/A]]+Table66[[#This Row],[Year 5 (Specified in RFO) - N/A]]+Table66[[#This Row],[Year 6 (Specified in RFO) - N/A]]</f>
        <v>0</v>
      </c>
      <c r="S501" s="402">
        <f ca="1">Table66[[#This Row],[Year 1  (Proposed)]]+Table66[[#This Row],[Year 2 (Proposed)]]+Table66[[#This Row],[Year 3 (Proposed)]]+Table66[[#This Row],[Year 4 (Proposed)]]+Table66[[#This Row],[Year 5 (Proposed)]]+Table66[[#This Row],[Year 6 (Proposed)]]</f>
        <v>0</v>
      </c>
      <c r="T501" s="403" t="b">
        <f ca="1">Table66[[#This Row],[Total Specifed in RFO - N/A]]=Table66[[#This Row],[Total Proposed]]</f>
        <v>1</v>
      </c>
      <c r="U501" s="439"/>
      <c r="V501" s="441">
        <f ca="1">Table66[[#This Row],[Year 6 (Specified in RFO) - N/A]]-Table66[[#This Row],[Column1]]</f>
        <v>0</v>
      </c>
    </row>
    <row r="502" spans="1:22" ht="16.5" thickBot="1">
      <c r="A502" s="227"/>
      <c r="B502" s="319"/>
      <c r="C502" s="319"/>
      <c r="D502" s="320"/>
      <c r="E502" s="320"/>
      <c r="F502" s="190"/>
      <c r="G5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2" s="190"/>
      <c r="I5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2" s="190"/>
      <c r="K5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2" s="190"/>
      <c r="M5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2" s="190"/>
      <c r="O5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2" s="190"/>
      <c r="Q5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2" s="192">
        <f ca="1">Table66[[#This Row],[Year 1 (Specified in RFO) - N/A]]+Table66[[#This Row],[Year 2 (Specified in RFO) - N/A]]+Table66[[#This Row],[Year 3 (Specified in RFO) - N/A]]+Table66[[#This Row],[Year 4 (Specified in RFO) - N/A]]+Table66[[#This Row],[Year 5 (Specified in RFO) - N/A]]+Table66[[#This Row],[Year 6 (Specified in RFO) - N/A]]</f>
        <v>0</v>
      </c>
      <c r="S502" s="402">
        <f ca="1">Table66[[#This Row],[Year 1  (Proposed)]]+Table66[[#This Row],[Year 2 (Proposed)]]+Table66[[#This Row],[Year 3 (Proposed)]]+Table66[[#This Row],[Year 4 (Proposed)]]+Table66[[#This Row],[Year 5 (Proposed)]]+Table66[[#This Row],[Year 6 (Proposed)]]</f>
        <v>0</v>
      </c>
      <c r="T502" s="403" t="b">
        <f ca="1">Table66[[#This Row],[Total Specifed in RFO - N/A]]=Table66[[#This Row],[Total Proposed]]</f>
        <v>1</v>
      </c>
      <c r="U502" s="439"/>
      <c r="V502" s="441">
        <f ca="1">Table66[[#This Row],[Year 6 (Specified in RFO) - N/A]]-Table66[[#This Row],[Column1]]</f>
        <v>0</v>
      </c>
    </row>
    <row r="503" spans="1:22" ht="16.5" thickBot="1">
      <c r="A503" s="227"/>
      <c r="B503" s="319"/>
      <c r="C503" s="319"/>
      <c r="D503" s="320"/>
      <c r="E503" s="320"/>
      <c r="F503" s="190"/>
      <c r="G5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3" s="190"/>
      <c r="I5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3" s="190"/>
      <c r="K5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3" s="190"/>
      <c r="M5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3" s="190"/>
      <c r="O5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3" s="190"/>
      <c r="Q5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3" s="192">
        <f ca="1">Table66[[#This Row],[Year 1 (Specified in RFO) - N/A]]+Table66[[#This Row],[Year 2 (Specified in RFO) - N/A]]+Table66[[#This Row],[Year 3 (Specified in RFO) - N/A]]+Table66[[#This Row],[Year 4 (Specified in RFO) - N/A]]+Table66[[#This Row],[Year 5 (Specified in RFO) - N/A]]+Table66[[#This Row],[Year 6 (Specified in RFO) - N/A]]</f>
        <v>0</v>
      </c>
      <c r="S503" s="402">
        <f ca="1">Table66[[#This Row],[Year 1  (Proposed)]]+Table66[[#This Row],[Year 2 (Proposed)]]+Table66[[#This Row],[Year 3 (Proposed)]]+Table66[[#This Row],[Year 4 (Proposed)]]+Table66[[#This Row],[Year 5 (Proposed)]]+Table66[[#This Row],[Year 6 (Proposed)]]</f>
        <v>0</v>
      </c>
      <c r="T503" s="403" t="b">
        <f ca="1">Table66[[#This Row],[Total Specifed in RFO - N/A]]=Table66[[#This Row],[Total Proposed]]</f>
        <v>1</v>
      </c>
      <c r="U503" s="439"/>
      <c r="V503" s="441">
        <f ca="1">Table66[[#This Row],[Year 6 (Specified in RFO) - N/A]]-Table66[[#This Row],[Column1]]</f>
        <v>0</v>
      </c>
    </row>
    <row r="504" spans="1:22" ht="16.5" thickBot="1">
      <c r="A504" s="227"/>
      <c r="B504" s="319"/>
      <c r="C504" s="319"/>
      <c r="D504" s="320"/>
      <c r="E504" s="320"/>
      <c r="F504" s="190"/>
      <c r="G5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4" s="190"/>
      <c r="I5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4" s="190"/>
      <c r="K5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4" s="190"/>
      <c r="M5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4" s="190"/>
      <c r="O5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4" s="190"/>
      <c r="Q5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4" s="192">
        <f ca="1">Table66[[#This Row],[Year 1 (Specified in RFO) - N/A]]+Table66[[#This Row],[Year 2 (Specified in RFO) - N/A]]+Table66[[#This Row],[Year 3 (Specified in RFO) - N/A]]+Table66[[#This Row],[Year 4 (Specified in RFO) - N/A]]+Table66[[#This Row],[Year 5 (Specified in RFO) - N/A]]+Table66[[#This Row],[Year 6 (Specified in RFO) - N/A]]</f>
        <v>0</v>
      </c>
      <c r="S504" s="402">
        <f ca="1">Table66[[#This Row],[Year 1  (Proposed)]]+Table66[[#This Row],[Year 2 (Proposed)]]+Table66[[#This Row],[Year 3 (Proposed)]]+Table66[[#This Row],[Year 4 (Proposed)]]+Table66[[#This Row],[Year 5 (Proposed)]]+Table66[[#This Row],[Year 6 (Proposed)]]</f>
        <v>0</v>
      </c>
      <c r="T504" s="403" t="b">
        <f ca="1">Table66[[#This Row],[Total Specifed in RFO - N/A]]=Table66[[#This Row],[Total Proposed]]</f>
        <v>1</v>
      </c>
      <c r="U504" s="439"/>
      <c r="V504" s="441">
        <f ca="1">Table66[[#This Row],[Year 6 (Specified in RFO) - N/A]]-Table66[[#This Row],[Column1]]</f>
        <v>0</v>
      </c>
    </row>
    <row r="505" spans="1:22" ht="16.5" thickBot="1">
      <c r="A505" s="227"/>
      <c r="B505" s="319"/>
      <c r="C505" s="319"/>
      <c r="D505" s="320"/>
      <c r="E505" s="320"/>
      <c r="F505" s="190"/>
      <c r="G5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5" s="190"/>
      <c r="I5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5" s="190"/>
      <c r="K5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5" s="190"/>
      <c r="M5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5" s="190"/>
      <c r="O5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5" s="190"/>
      <c r="Q5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5" s="192">
        <f ca="1">Table66[[#This Row],[Year 1 (Specified in RFO) - N/A]]+Table66[[#This Row],[Year 2 (Specified in RFO) - N/A]]+Table66[[#This Row],[Year 3 (Specified in RFO) - N/A]]+Table66[[#This Row],[Year 4 (Specified in RFO) - N/A]]+Table66[[#This Row],[Year 5 (Specified in RFO) - N/A]]+Table66[[#This Row],[Year 6 (Specified in RFO) - N/A]]</f>
        <v>0</v>
      </c>
      <c r="S505" s="402">
        <f ca="1">Table66[[#This Row],[Year 1  (Proposed)]]+Table66[[#This Row],[Year 2 (Proposed)]]+Table66[[#This Row],[Year 3 (Proposed)]]+Table66[[#This Row],[Year 4 (Proposed)]]+Table66[[#This Row],[Year 5 (Proposed)]]+Table66[[#This Row],[Year 6 (Proposed)]]</f>
        <v>0</v>
      </c>
      <c r="T505" s="403" t="b">
        <f ca="1">Table66[[#This Row],[Total Specifed in RFO - N/A]]=Table66[[#This Row],[Total Proposed]]</f>
        <v>1</v>
      </c>
      <c r="U505" s="439"/>
      <c r="V505" s="441">
        <f ca="1">Table66[[#This Row],[Year 6 (Specified in RFO) - N/A]]-Table66[[#This Row],[Column1]]</f>
        <v>0</v>
      </c>
    </row>
    <row r="506" spans="1:22" ht="16.5" thickBot="1">
      <c r="A506" s="227"/>
      <c r="B506" s="319"/>
      <c r="C506" s="319"/>
      <c r="D506" s="320"/>
      <c r="E506" s="320"/>
      <c r="F506" s="190"/>
      <c r="G5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6" s="190"/>
      <c r="I5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6" s="190"/>
      <c r="K5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6" s="190"/>
      <c r="M5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6" s="190"/>
      <c r="O5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6" s="190"/>
      <c r="Q5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6" s="192">
        <f ca="1">Table66[[#This Row],[Year 1 (Specified in RFO) - N/A]]+Table66[[#This Row],[Year 2 (Specified in RFO) - N/A]]+Table66[[#This Row],[Year 3 (Specified in RFO) - N/A]]+Table66[[#This Row],[Year 4 (Specified in RFO) - N/A]]+Table66[[#This Row],[Year 5 (Specified in RFO) - N/A]]+Table66[[#This Row],[Year 6 (Specified in RFO) - N/A]]</f>
        <v>0</v>
      </c>
      <c r="S506" s="402">
        <f ca="1">Table66[[#This Row],[Year 1  (Proposed)]]+Table66[[#This Row],[Year 2 (Proposed)]]+Table66[[#This Row],[Year 3 (Proposed)]]+Table66[[#This Row],[Year 4 (Proposed)]]+Table66[[#This Row],[Year 5 (Proposed)]]+Table66[[#This Row],[Year 6 (Proposed)]]</f>
        <v>0</v>
      </c>
      <c r="T506" s="403" t="b">
        <f ca="1">Table66[[#This Row],[Total Specifed in RFO - N/A]]=Table66[[#This Row],[Total Proposed]]</f>
        <v>1</v>
      </c>
      <c r="U506" s="439"/>
      <c r="V506" s="441">
        <f ca="1">Table66[[#This Row],[Year 6 (Specified in RFO) - N/A]]-Table66[[#This Row],[Column1]]</f>
        <v>0</v>
      </c>
    </row>
    <row r="507" spans="1:22" ht="16.5" thickBot="1">
      <c r="A507" s="227"/>
      <c r="B507" s="319"/>
      <c r="C507" s="319"/>
      <c r="D507" s="320"/>
      <c r="E507" s="320"/>
      <c r="F507" s="190"/>
      <c r="G5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7" s="190"/>
      <c r="I5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7" s="190"/>
      <c r="K5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7" s="190"/>
      <c r="M5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7" s="190"/>
      <c r="O5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7" s="190"/>
      <c r="Q5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7" s="192">
        <f ca="1">Table66[[#This Row],[Year 1 (Specified in RFO) - N/A]]+Table66[[#This Row],[Year 2 (Specified in RFO) - N/A]]+Table66[[#This Row],[Year 3 (Specified in RFO) - N/A]]+Table66[[#This Row],[Year 4 (Specified in RFO) - N/A]]+Table66[[#This Row],[Year 5 (Specified in RFO) - N/A]]+Table66[[#This Row],[Year 6 (Specified in RFO) - N/A]]</f>
        <v>0</v>
      </c>
      <c r="S507" s="402">
        <f ca="1">Table66[[#This Row],[Year 1  (Proposed)]]+Table66[[#This Row],[Year 2 (Proposed)]]+Table66[[#This Row],[Year 3 (Proposed)]]+Table66[[#This Row],[Year 4 (Proposed)]]+Table66[[#This Row],[Year 5 (Proposed)]]+Table66[[#This Row],[Year 6 (Proposed)]]</f>
        <v>0</v>
      </c>
      <c r="T507" s="403" t="b">
        <f ca="1">Table66[[#This Row],[Total Specifed in RFO - N/A]]=Table66[[#This Row],[Total Proposed]]</f>
        <v>1</v>
      </c>
      <c r="U507" s="439"/>
      <c r="V507" s="441">
        <f ca="1">Table66[[#This Row],[Year 6 (Specified in RFO) - N/A]]-Table66[[#This Row],[Column1]]</f>
        <v>0</v>
      </c>
    </row>
    <row r="508" spans="1:22" ht="16.5" thickBot="1">
      <c r="A508" s="227"/>
      <c r="B508" s="319"/>
      <c r="C508" s="319"/>
      <c r="D508" s="320"/>
      <c r="E508" s="320"/>
      <c r="F508" s="190"/>
      <c r="G5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8" s="190"/>
      <c r="I5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8" s="190"/>
      <c r="K5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8" s="190"/>
      <c r="M5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8" s="190"/>
      <c r="O5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8" s="190"/>
      <c r="Q5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8" s="192">
        <f ca="1">Table66[[#This Row],[Year 1 (Specified in RFO) - N/A]]+Table66[[#This Row],[Year 2 (Specified in RFO) - N/A]]+Table66[[#This Row],[Year 3 (Specified in RFO) - N/A]]+Table66[[#This Row],[Year 4 (Specified in RFO) - N/A]]+Table66[[#This Row],[Year 5 (Specified in RFO) - N/A]]+Table66[[#This Row],[Year 6 (Specified in RFO) - N/A]]</f>
        <v>0</v>
      </c>
      <c r="S508" s="402">
        <f ca="1">Table66[[#This Row],[Year 1  (Proposed)]]+Table66[[#This Row],[Year 2 (Proposed)]]+Table66[[#This Row],[Year 3 (Proposed)]]+Table66[[#This Row],[Year 4 (Proposed)]]+Table66[[#This Row],[Year 5 (Proposed)]]+Table66[[#This Row],[Year 6 (Proposed)]]</f>
        <v>0</v>
      </c>
      <c r="T508" s="403" t="b">
        <f ca="1">Table66[[#This Row],[Total Specifed in RFO - N/A]]=Table66[[#This Row],[Total Proposed]]</f>
        <v>1</v>
      </c>
      <c r="U508" s="439"/>
      <c r="V508" s="441">
        <f ca="1">Table66[[#This Row],[Year 6 (Specified in RFO) - N/A]]-Table66[[#This Row],[Column1]]</f>
        <v>0</v>
      </c>
    </row>
    <row r="509" spans="1:22" ht="16.5" thickBot="1">
      <c r="A509" s="227"/>
      <c r="B509" s="319"/>
      <c r="C509" s="319"/>
      <c r="D509" s="320"/>
      <c r="E509" s="320"/>
      <c r="F509" s="190"/>
      <c r="G5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9" s="190"/>
      <c r="I5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9" s="190"/>
      <c r="K5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9" s="190"/>
      <c r="M5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9" s="190"/>
      <c r="O5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9" s="190"/>
      <c r="Q5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9" s="192">
        <f ca="1">Table66[[#This Row],[Year 1 (Specified in RFO) - N/A]]+Table66[[#This Row],[Year 2 (Specified in RFO) - N/A]]+Table66[[#This Row],[Year 3 (Specified in RFO) - N/A]]+Table66[[#This Row],[Year 4 (Specified in RFO) - N/A]]+Table66[[#This Row],[Year 5 (Specified in RFO) - N/A]]+Table66[[#This Row],[Year 6 (Specified in RFO) - N/A]]</f>
        <v>0</v>
      </c>
      <c r="S509" s="402">
        <f ca="1">Table66[[#This Row],[Year 1  (Proposed)]]+Table66[[#This Row],[Year 2 (Proposed)]]+Table66[[#This Row],[Year 3 (Proposed)]]+Table66[[#This Row],[Year 4 (Proposed)]]+Table66[[#This Row],[Year 5 (Proposed)]]+Table66[[#This Row],[Year 6 (Proposed)]]</f>
        <v>0</v>
      </c>
      <c r="T509" s="403" t="b">
        <f ca="1">Table66[[#This Row],[Total Specifed in RFO - N/A]]=Table66[[#This Row],[Total Proposed]]</f>
        <v>1</v>
      </c>
      <c r="U509" s="439"/>
      <c r="V509" s="441">
        <f ca="1">Table66[[#This Row],[Year 6 (Specified in RFO) - N/A]]-Table66[[#This Row],[Column1]]</f>
        <v>0</v>
      </c>
    </row>
    <row r="510" spans="1:22" ht="16.5" thickBot="1">
      <c r="A510" s="227"/>
      <c r="B510" s="319"/>
      <c r="C510" s="319"/>
      <c r="D510" s="320"/>
      <c r="E510" s="320"/>
      <c r="F510" s="190"/>
      <c r="G5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0" s="190"/>
      <c r="I5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0" s="190"/>
      <c r="K5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0" s="190"/>
      <c r="M5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0" s="190"/>
      <c r="O5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0" s="190"/>
      <c r="Q5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0" s="192">
        <f ca="1">Table66[[#This Row],[Year 1 (Specified in RFO) - N/A]]+Table66[[#This Row],[Year 2 (Specified in RFO) - N/A]]+Table66[[#This Row],[Year 3 (Specified in RFO) - N/A]]+Table66[[#This Row],[Year 4 (Specified in RFO) - N/A]]+Table66[[#This Row],[Year 5 (Specified in RFO) - N/A]]+Table66[[#This Row],[Year 6 (Specified in RFO) - N/A]]</f>
        <v>0</v>
      </c>
      <c r="S510" s="402">
        <f ca="1">Table66[[#This Row],[Year 1  (Proposed)]]+Table66[[#This Row],[Year 2 (Proposed)]]+Table66[[#This Row],[Year 3 (Proposed)]]+Table66[[#This Row],[Year 4 (Proposed)]]+Table66[[#This Row],[Year 5 (Proposed)]]+Table66[[#This Row],[Year 6 (Proposed)]]</f>
        <v>0</v>
      </c>
      <c r="T510" s="403" t="b">
        <f ca="1">Table66[[#This Row],[Total Specifed in RFO - N/A]]=Table66[[#This Row],[Total Proposed]]</f>
        <v>1</v>
      </c>
      <c r="U510" s="439"/>
      <c r="V510" s="441">
        <f ca="1">Table66[[#This Row],[Year 6 (Specified in RFO) - N/A]]-Table66[[#This Row],[Column1]]</f>
        <v>0</v>
      </c>
    </row>
    <row r="511" spans="1:22" ht="16.5" thickBot="1">
      <c r="A511" s="227"/>
      <c r="B511" s="319"/>
      <c r="C511" s="319"/>
      <c r="D511" s="320"/>
      <c r="E511" s="320"/>
      <c r="F511" s="190"/>
      <c r="G5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1" s="190"/>
      <c r="I5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1" s="190"/>
      <c r="K5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1" s="190"/>
      <c r="M5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1" s="190"/>
      <c r="O5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1" s="190"/>
      <c r="Q5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1" s="192">
        <f ca="1">Table66[[#This Row],[Year 1 (Specified in RFO) - N/A]]+Table66[[#This Row],[Year 2 (Specified in RFO) - N/A]]+Table66[[#This Row],[Year 3 (Specified in RFO) - N/A]]+Table66[[#This Row],[Year 4 (Specified in RFO) - N/A]]+Table66[[#This Row],[Year 5 (Specified in RFO) - N/A]]+Table66[[#This Row],[Year 6 (Specified in RFO) - N/A]]</f>
        <v>0</v>
      </c>
      <c r="S511" s="402">
        <f ca="1">Table66[[#This Row],[Year 1  (Proposed)]]+Table66[[#This Row],[Year 2 (Proposed)]]+Table66[[#This Row],[Year 3 (Proposed)]]+Table66[[#This Row],[Year 4 (Proposed)]]+Table66[[#This Row],[Year 5 (Proposed)]]+Table66[[#This Row],[Year 6 (Proposed)]]</f>
        <v>0</v>
      </c>
      <c r="T511" s="403" t="b">
        <f ca="1">Table66[[#This Row],[Total Specifed in RFO - N/A]]=Table66[[#This Row],[Total Proposed]]</f>
        <v>1</v>
      </c>
      <c r="U511" s="439"/>
      <c r="V511" s="441">
        <f ca="1">Table66[[#This Row],[Year 6 (Specified in RFO) - N/A]]-Table66[[#This Row],[Column1]]</f>
        <v>0</v>
      </c>
    </row>
    <row r="512" spans="1:22" ht="16.5" thickBot="1">
      <c r="A512" s="227"/>
      <c r="B512" s="319"/>
      <c r="C512" s="319"/>
      <c r="D512" s="320"/>
      <c r="E512" s="320"/>
      <c r="F512" s="190"/>
      <c r="G5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2" s="190"/>
      <c r="I5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2" s="190"/>
      <c r="K5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2" s="190"/>
      <c r="M5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2" s="190"/>
      <c r="O5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2" s="190"/>
      <c r="Q5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2" s="192">
        <f ca="1">Table66[[#This Row],[Year 1 (Specified in RFO) - N/A]]+Table66[[#This Row],[Year 2 (Specified in RFO) - N/A]]+Table66[[#This Row],[Year 3 (Specified in RFO) - N/A]]+Table66[[#This Row],[Year 4 (Specified in RFO) - N/A]]+Table66[[#This Row],[Year 5 (Specified in RFO) - N/A]]+Table66[[#This Row],[Year 6 (Specified in RFO) - N/A]]</f>
        <v>0</v>
      </c>
      <c r="S512" s="402">
        <f ca="1">Table66[[#This Row],[Year 1  (Proposed)]]+Table66[[#This Row],[Year 2 (Proposed)]]+Table66[[#This Row],[Year 3 (Proposed)]]+Table66[[#This Row],[Year 4 (Proposed)]]+Table66[[#This Row],[Year 5 (Proposed)]]+Table66[[#This Row],[Year 6 (Proposed)]]</f>
        <v>0</v>
      </c>
      <c r="T512" s="403" t="b">
        <f ca="1">Table66[[#This Row],[Total Specifed in RFO - N/A]]=Table66[[#This Row],[Total Proposed]]</f>
        <v>1</v>
      </c>
      <c r="U512" s="439"/>
      <c r="V512" s="441">
        <f ca="1">Table66[[#This Row],[Year 6 (Specified in RFO) - N/A]]-Table66[[#This Row],[Column1]]</f>
        <v>0</v>
      </c>
    </row>
    <row r="513" spans="1:22" ht="16.5" thickBot="1">
      <c r="A513" s="227"/>
      <c r="B513" s="319"/>
      <c r="C513" s="319"/>
      <c r="D513" s="320"/>
      <c r="E513" s="320"/>
      <c r="F513" s="190"/>
      <c r="G5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3" s="190"/>
      <c r="I5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3" s="190"/>
      <c r="K5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3" s="190"/>
      <c r="M5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3" s="190"/>
      <c r="O5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3" s="190"/>
      <c r="Q5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3" s="192">
        <f ca="1">Table66[[#This Row],[Year 1 (Specified in RFO) - N/A]]+Table66[[#This Row],[Year 2 (Specified in RFO) - N/A]]+Table66[[#This Row],[Year 3 (Specified in RFO) - N/A]]+Table66[[#This Row],[Year 4 (Specified in RFO) - N/A]]+Table66[[#This Row],[Year 5 (Specified in RFO) - N/A]]+Table66[[#This Row],[Year 6 (Specified in RFO) - N/A]]</f>
        <v>0</v>
      </c>
      <c r="S513" s="402">
        <f ca="1">Table66[[#This Row],[Year 1  (Proposed)]]+Table66[[#This Row],[Year 2 (Proposed)]]+Table66[[#This Row],[Year 3 (Proposed)]]+Table66[[#This Row],[Year 4 (Proposed)]]+Table66[[#This Row],[Year 5 (Proposed)]]+Table66[[#This Row],[Year 6 (Proposed)]]</f>
        <v>0</v>
      </c>
      <c r="T513" s="403" t="b">
        <f ca="1">Table66[[#This Row],[Total Specifed in RFO - N/A]]=Table66[[#This Row],[Total Proposed]]</f>
        <v>1</v>
      </c>
      <c r="U513" s="439"/>
      <c r="V513" s="441">
        <f ca="1">Table66[[#This Row],[Year 6 (Specified in RFO) - N/A]]-Table66[[#This Row],[Column1]]</f>
        <v>0</v>
      </c>
    </row>
    <row r="514" spans="1:22" ht="16.5" thickBot="1">
      <c r="A514" s="227"/>
      <c r="B514" s="319"/>
      <c r="C514" s="319"/>
      <c r="D514" s="320"/>
      <c r="E514" s="320"/>
      <c r="F514" s="190"/>
      <c r="G5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4" s="190"/>
      <c r="I5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4" s="190"/>
      <c r="K5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4" s="190"/>
      <c r="M5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4" s="190"/>
      <c r="O5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4" s="190"/>
      <c r="Q5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4" s="192">
        <f ca="1">Table66[[#This Row],[Year 1 (Specified in RFO) - N/A]]+Table66[[#This Row],[Year 2 (Specified in RFO) - N/A]]+Table66[[#This Row],[Year 3 (Specified in RFO) - N/A]]+Table66[[#This Row],[Year 4 (Specified in RFO) - N/A]]+Table66[[#This Row],[Year 5 (Specified in RFO) - N/A]]+Table66[[#This Row],[Year 6 (Specified in RFO) - N/A]]</f>
        <v>0</v>
      </c>
      <c r="S514" s="402">
        <f ca="1">Table66[[#This Row],[Year 1  (Proposed)]]+Table66[[#This Row],[Year 2 (Proposed)]]+Table66[[#This Row],[Year 3 (Proposed)]]+Table66[[#This Row],[Year 4 (Proposed)]]+Table66[[#This Row],[Year 5 (Proposed)]]+Table66[[#This Row],[Year 6 (Proposed)]]</f>
        <v>0</v>
      </c>
      <c r="T514" s="403" t="b">
        <f ca="1">Table66[[#This Row],[Total Specifed in RFO - N/A]]=Table66[[#This Row],[Total Proposed]]</f>
        <v>1</v>
      </c>
      <c r="U514" s="439"/>
      <c r="V514" s="441">
        <f ca="1">Table66[[#This Row],[Year 6 (Specified in RFO) - N/A]]-Table66[[#This Row],[Column1]]</f>
        <v>0</v>
      </c>
    </row>
    <row r="515" spans="1:22" ht="16.5" thickBot="1">
      <c r="A515" s="227"/>
      <c r="B515" s="319"/>
      <c r="C515" s="319"/>
      <c r="D515" s="320"/>
      <c r="E515" s="320"/>
      <c r="F515" s="190"/>
      <c r="G5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5" s="190"/>
      <c r="I5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5" s="190"/>
      <c r="K5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5" s="190"/>
      <c r="M5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5" s="190"/>
      <c r="O5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5" s="190"/>
      <c r="Q5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5" s="192">
        <f ca="1">Table66[[#This Row],[Year 1 (Specified in RFO) - N/A]]+Table66[[#This Row],[Year 2 (Specified in RFO) - N/A]]+Table66[[#This Row],[Year 3 (Specified in RFO) - N/A]]+Table66[[#This Row],[Year 4 (Specified in RFO) - N/A]]+Table66[[#This Row],[Year 5 (Specified in RFO) - N/A]]+Table66[[#This Row],[Year 6 (Specified in RFO) - N/A]]</f>
        <v>0</v>
      </c>
      <c r="S515" s="402">
        <f ca="1">Table66[[#This Row],[Year 1  (Proposed)]]+Table66[[#This Row],[Year 2 (Proposed)]]+Table66[[#This Row],[Year 3 (Proposed)]]+Table66[[#This Row],[Year 4 (Proposed)]]+Table66[[#This Row],[Year 5 (Proposed)]]+Table66[[#This Row],[Year 6 (Proposed)]]</f>
        <v>0</v>
      </c>
      <c r="T515" s="403" t="b">
        <f ca="1">Table66[[#This Row],[Total Specifed in RFO - N/A]]=Table66[[#This Row],[Total Proposed]]</f>
        <v>1</v>
      </c>
      <c r="U515" s="439"/>
      <c r="V515" s="441">
        <f ca="1">Table66[[#This Row],[Year 6 (Specified in RFO) - N/A]]-Table66[[#This Row],[Column1]]</f>
        <v>0</v>
      </c>
    </row>
    <row r="516" spans="1:22" ht="16.5" thickBot="1">
      <c r="A516" s="227"/>
      <c r="B516" s="319"/>
      <c r="C516" s="319"/>
      <c r="D516" s="320"/>
      <c r="E516" s="320"/>
      <c r="F516" s="190"/>
      <c r="G5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6" s="190"/>
      <c r="I5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6" s="190"/>
      <c r="K5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6" s="190"/>
      <c r="M5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6" s="190"/>
      <c r="O5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6" s="190"/>
      <c r="Q5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6" s="192">
        <f ca="1">Table66[[#This Row],[Year 1 (Specified in RFO) - N/A]]+Table66[[#This Row],[Year 2 (Specified in RFO) - N/A]]+Table66[[#This Row],[Year 3 (Specified in RFO) - N/A]]+Table66[[#This Row],[Year 4 (Specified in RFO) - N/A]]+Table66[[#This Row],[Year 5 (Specified in RFO) - N/A]]+Table66[[#This Row],[Year 6 (Specified in RFO) - N/A]]</f>
        <v>0</v>
      </c>
      <c r="S516" s="402">
        <f ca="1">Table66[[#This Row],[Year 1  (Proposed)]]+Table66[[#This Row],[Year 2 (Proposed)]]+Table66[[#This Row],[Year 3 (Proposed)]]+Table66[[#This Row],[Year 4 (Proposed)]]+Table66[[#This Row],[Year 5 (Proposed)]]+Table66[[#This Row],[Year 6 (Proposed)]]</f>
        <v>0</v>
      </c>
      <c r="T516" s="403" t="b">
        <f ca="1">Table66[[#This Row],[Total Specifed in RFO - N/A]]=Table66[[#This Row],[Total Proposed]]</f>
        <v>1</v>
      </c>
      <c r="U516" s="439"/>
      <c r="V516" s="441">
        <f ca="1">Table66[[#This Row],[Year 6 (Specified in RFO) - N/A]]-Table66[[#This Row],[Column1]]</f>
        <v>0</v>
      </c>
    </row>
    <row r="517" spans="1:22" ht="16.5" thickBot="1">
      <c r="A517" s="227"/>
      <c r="B517" s="319"/>
      <c r="C517" s="319"/>
      <c r="D517" s="320"/>
      <c r="E517" s="320"/>
      <c r="F517" s="190"/>
      <c r="G5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7" s="190"/>
      <c r="I5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7" s="190"/>
      <c r="K5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7" s="190"/>
      <c r="M5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7" s="190"/>
      <c r="O5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7" s="190"/>
      <c r="Q5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7" s="192">
        <f ca="1">Table66[[#This Row],[Year 1 (Specified in RFO) - N/A]]+Table66[[#This Row],[Year 2 (Specified in RFO) - N/A]]+Table66[[#This Row],[Year 3 (Specified in RFO) - N/A]]+Table66[[#This Row],[Year 4 (Specified in RFO) - N/A]]+Table66[[#This Row],[Year 5 (Specified in RFO) - N/A]]+Table66[[#This Row],[Year 6 (Specified in RFO) - N/A]]</f>
        <v>0</v>
      </c>
      <c r="S517" s="402">
        <f ca="1">Table66[[#This Row],[Year 1  (Proposed)]]+Table66[[#This Row],[Year 2 (Proposed)]]+Table66[[#This Row],[Year 3 (Proposed)]]+Table66[[#This Row],[Year 4 (Proposed)]]+Table66[[#This Row],[Year 5 (Proposed)]]+Table66[[#This Row],[Year 6 (Proposed)]]</f>
        <v>0</v>
      </c>
      <c r="T517" s="403" t="b">
        <f ca="1">Table66[[#This Row],[Total Specifed in RFO - N/A]]=Table66[[#This Row],[Total Proposed]]</f>
        <v>1</v>
      </c>
      <c r="U517" s="439"/>
      <c r="V517" s="441">
        <f ca="1">Table66[[#This Row],[Year 6 (Specified in RFO) - N/A]]-Table66[[#This Row],[Column1]]</f>
        <v>0</v>
      </c>
    </row>
    <row r="518" spans="1:22" ht="16.5" thickBot="1">
      <c r="A518" s="227"/>
      <c r="B518" s="319"/>
      <c r="C518" s="319"/>
      <c r="D518" s="320"/>
      <c r="E518" s="320"/>
      <c r="F518" s="190"/>
      <c r="G5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8" s="190"/>
      <c r="I5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8" s="190"/>
      <c r="K5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8" s="190"/>
      <c r="M5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8" s="190"/>
      <c r="O5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8" s="190"/>
      <c r="Q5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8" s="192">
        <f ca="1">Table66[[#This Row],[Year 1 (Specified in RFO) - N/A]]+Table66[[#This Row],[Year 2 (Specified in RFO) - N/A]]+Table66[[#This Row],[Year 3 (Specified in RFO) - N/A]]+Table66[[#This Row],[Year 4 (Specified in RFO) - N/A]]+Table66[[#This Row],[Year 5 (Specified in RFO) - N/A]]+Table66[[#This Row],[Year 6 (Specified in RFO) - N/A]]</f>
        <v>0</v>
      </c>
      <c r="S518" s="402">
        <f ca="1">Table66[[#This Row],[Year 1  (Proposed)]]+Table66[[#This Row],[Year 2 (Proposed)]]+Table66[[#This Row],[Year 3 (Proposed)]]+Table66[[#This Row],[Year 4 (Proposed)]]+Table66[[#This Row],[Year 5 (Proposed)]]+Table66[[#This Row],[Year 6 (Proposed)]]</f>
        <v>0</v>
      </c>
      <c r="T518" s="403" t="b">
        <f ca="1">Table66[[#This Row],[Total Specifed in RFO - N/A]]=Table66[[#This Row],[Total Proposed]]</f>
        <v>1</v>
      </c>
      <c r="U518" s="439"/>
      <c r="V518" s="441">
        <f ca="1">Table66[[#This Row],[Year 6 (Specified in RFO) - N/A]]-Table66[[#This Row],[Column1]]</f>
        <v>0</v>
      </c>
    </row>
    <row r="519" spans="1:22" ht="16.5" thickBot="1">
      <c r="A519" s="227"/>
      <c r="B519" s="319"/>
      <c r="C519" s="319"/>
      <c r="D519" s="320"/>
      <c r="E519" s="320"/>
      <c r="F519" s="190"/>
      <c r="G5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9" s="190"/>
      <c r="I5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9" s="190"/>
      <c r="K5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9" s="190"/>
      <c r="M5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9" s="190"/>
      <c r="O5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9" s="190"/>
      <c r="Q5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9" s="192">
        <f ca="1">Table66[[#This Row],[Year 1 (Specified in RFO) - N/A]]+Table66[[#This Row],[Year 2 (Specified in RFO) - N/A]]+Table66[[#This Row],[Year 3 (Specified in RFO) - N/A]]+Table66[[#This Row],[Year 4 (Specified in RFO) - N/A]]+Table66[[#This Row],[Year 5 (Specified in RFO) - N/A]]+Table66[[#This Row],[Year 6 (Specified in RFO) - N/A]]</f>
        <v>0</v>
      </c>
      <c r="S519" s="402">
        <f ca="1">Table66[[#This Row],[Year 1  (Proposed)]]+Table66[[#This Row],[Year 2 (Proposed)]]+Table66[[#This Row],[Year 3 (Proposed)]]+Table66[[#This Row],[Year 4 (Proposed)]]+Table66[[#This Row],[Year 5 (Proposed)]]+Table66[[#This Row],[Year 6 (Proposed)]]</f>
        <v>0</v>
      </c>
      <c r="T519" s="403" t="b">
        <f ca="1">Table66[[#This Row],[Total Specifed in RFO - N/A]]=Table66[[#This Row],[Total Proposed]]</f>
        <v>1</v>
      </c>
      <c r="U519" s="439"/>
      <c r="V519" s="441">
        <f ca="1">Table66[[#This Row],[Year 6 (Specified in RFO) - N/A]]-Table66[[#This Row],[Column1]]</f>
        <v>0</v>
      </c>
    </row>
    <row r="520" spans="1:22" ht="16.5" thickBot="1">
      <c r="A520" s="227"/>
      <c r="B520" s="319"/>
      <c r="C520" s="319"/>
      <c r="D520" s="320"/>
      <c r="E520" s="320"/>
      <c r="F520" s="190"/>
      <c r="G5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0" s="190"/>
      <c r="I5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0" s="190"/>
      <c r="K5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0" s="190"/>
      <c r="M5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0" s="190"/>
      <c r="O5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0" s="190"/>
      <c r="Q5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0" s="192">
        <f ca="1">Table66[[#This Row],[Year 1 (Specified in RFO) - N/A]]+Table66[[#This Row],[Year 2 (Specified in RFO) - N/A]]+Table66[[#This Row],[Year 3 (Specified in RFO) - N/A]]+Table66[[#This Row],[Year 4 (Specified in RFO) - N/A]]+Table66[[#This Row],[Year 5 (Specified in RFO) - N/A]]+Table66[[#This Row],[Year 6 (Specified in RFO) - N/A]]</f>
        <v>0</v>
      </c>
      <c r="S520" s="402">
        <f ca="1">Table66[[#This Row],[Year 1  (Proposed)]]+Table66[[#This Row],[Year 2 (Proposed)]]+Table66[[#This Row],[Year 3 (Proposed)]]+Table66[[#This Row],[Year 4 (Proposed)]]+Table66[[#This Row],[Year 5 (Proposed)]]+Table66[[#This Row],[Year 6 (Proposed)]]</f>
        <v>0</v>
      </c>
      <c r="T520" s="403" t="b">
        <f ca="1">Table66[[#This Row],[Total Specifed in RFO - N/A]]=Table66[[#This Row],[Total Proposed]]</f>
        <v>1</v>
      </c>
      <c r="U520" s="439"/>
      <c r="V520" s="441">
        <f ca="1">Table66[[#This Row],[Year 6 (Specified in RFO) - N/A]]-Table66[[#This Row],[Column1]]</f>
        <v>0</v>
      </c>
    </row>
    <row r="521" spans="1:22" ht="16.5" thickBot="1">
      <c r="A521" s="227"/>
      <c r="B521" s="319"/>
      <c r="C521" s="319"/>
      <c r="D521" s="320"/>
      <c r="E521" s="320"/>
      <c r="F521" s="190"/>
      <c r="G5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1" s="190"/>
      <c r="I5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1" s="190"/>
      <c r="K5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1" s="190"/>
      <c r="M5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1" s="190"/>
      <c r="O5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1" s="190"/>
      <c r="Q5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1" s="192">
        <f ca="1">Table66[[#This Row],[Year 1 (Specified in RFO) - N/A]]+Table66[[#This Row],[Year 2 (Specified in RFO) - N/A]]+Table66[[#This Row],[Year 3 (Specified in RFO) - N/A]]+Table66[[#This Row],[Year 4 (Specified in RFO) - N/A]]+Table66[[#This Row],[Year 5 (Specified in RFO) - N/A]]+Table66[[#This Row],[Year 6 (Specified in RFO) - N/A]]</f>
        <v>0</v>
      </c>
      <c r="S521" s="402">
        <f ca="1">Table66[[#This Row],[Year 1  (Proposed)]]+Table66[[#This Row],[Year 2 (Proposed)]]+Table66[[#This Row],[Year 3 (Proposed)]]+Table66[[#This Row],[Year 4 (Proposed)]]+Table66[[#This Row],[Year 5 (Proposed)]]+Table66[[#This Row],[Year 6 (Proposed)]]</f>
        <v>0</v>
      </c>
      <c r="T521" s="403" t="b">
        <f ca="1">Table66[[#This Row],[Total Specifed in RFO - N/A]]=Table66[[#This Row],[Total Proposed]]</f>
        <v>1</v>
      </c>
      <c r="U521" s="439"/>
      <c r="V521" s="441">
        <f ca="1">Table66[[#This Row],[Year 6 (Specified in RFO) - N/A]]-Table66[[#This Row],[Column1]]</f>
        <v>0</v>
      </c>
    </row>
    <row r="522" spans="1:22" ht="16.5" thickBot="1">
      <c r="A522" s="227"/>
      <c r="B522" s="319"/>
      <c r="C522" s="319"/>
      <c r="D522" s="320"/>
      <c r="E522" s="320"/>
      <c r="F522" s="190"/>
      <c r="G5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2" s="190"/>
      <c r="I5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2" s="190"/>
      <c r="K5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2" s="190"/>
      <c r="M5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2" s="190"/>
      <c r="O5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2" s="190"/>
      <c r="Q5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2" s="192">
        <f ca="1">Table66[[#This Row],[Year 1 (Specified in RFO) - N/A]]+Table66[[#This Row],[Year 2 (Specified in RFO) - N/A]]+Table66[[#This Row],[Year 3 (Specified in RFO) - N/A]]+Table66[[#This Row],[Year 4 (Specified in RFO) - N/A]]+Table66[[#This Row],[Year 5 (Specified in RFO) - N/A]]+Table66[[#This Row],[Year 6 (Specified in RFO) - N/A]]</f>
        <v>0</v>
      </c>
      <c r="S522" s="402">
        <f ca="1">Table66[[#This Row],[Year 1  (Proposed)]]+Table66[[#This Row],[Year 2 (Proposed)]]+Table66[[#This Row],[Year 3 (Proposed)]]+Table66[[#This Row],[Year 4 (Proposed)]]+Table66[[#This Row],[Year 5 (Proposed)]]+Table66[[#This Row],[Year 6 (Proposed)]]</f>
        <v>0</v>
      </c>
      <c r="T522" s="403" t="b">
        <f ca="1">Table66[[#This Row],[Total Specifed in RFO - N/A]]=Table66[[#This Row],[Total Proposed]]</f>
        <v>1</v>
      </c>
      <c r="U522" s="439"/>
      <c r="V522" s="441">
        <f ca="1">Table66[[#This Row],[Year 6 (Specified in RFO) - N/A]]-Table66[[#This Row],[Column1]]</f>
        <v>0</v>
      </c>
    </row>
    <row r="523" spans="1:22" ht="16.5" thickBot="1">
      <c r="A523" s="227"/>
      <c r="B523" s="319"/>
      <c r="C523" s="319"/>
      <c r="D523" s="320"/>
      <c r="E523" s="320"/>
      <c r="F523" s="190"/>
      <c r="G5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3" s="190"/>
      <c r="I5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3" s="190"/>
      <c r="K5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3" s="190"/>
      <c r="M5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3" s="190"/>
      <c r="O5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3" s="190"/>
      <c r="Q5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3" s="192">
        <f ca="1">Table66[[#This Row],[Year 1 (Specified in RFO) - N/A]]+Table66[[#This Row],[Year 2 (Specified in RFO) - N/A]]+Table66[[#This Row],[Year 3 (Specified in RFO) - N/A]]+Table66[[#This Row],[Year 4 (Specified in RFO) - N/A]]+Table66[[#This Row],[Year 5 (Specified in RFO) - N/A]]+Table66[[#This Row],[Year 6 (Specified in RFO) - N/A]]</f>
        <v>0</v>
      </c>
      <c r="S523" s="402">
        <f ca="1">Table66[[#This Row],[Year 1  (Proposed)]]+Table66[[#This Row],[Year 2 (Proposed)]]+Table66[[#This Row],[Year 3 (Proposed)]]+Table66[[#This Row],[Year 4 (Proposed)]]+Table66[[#This Row],[Year 5 (Proposed)]]+Table66[[#This Row],[Year 6 (Proposed)]]</f>
        <v>0</v>
      </c>
      <c r="T523" s="403" t="b">
        <f ca="1">Table66[[#This Row],[Total Specifed in RFO - N/A]]=Table66[[#This Row],[Total Proposed]]</f>
        <v>1</v>
      </c>
      <c r="U523" s="439"/>
      <c r="V523" s="441">
        <f ca="1">Table66[[#This Row],[Year 6 (Specified in RFO) - N/A]]-Table66[[#This Row],[Column1]]</f>
        <v>0</v>
      </c>
    </row>
    <row r="524" spans="1:22" ht="16.5" thickBot="1">
      <c r="A524" s="227"/>
      <c r="B524" s="319"/>
      <c r="C524" s="319"/>
      <c r="D524" s="320"/>
      <c r="E524" s="320"/>
      <c r="F524" s="190"/>
      <c r="G5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4" s="190"/>
      <c r="I5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4" s="190"/>
      <c r="K5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4" s="190"/>
      <c r="M5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4" s="190"/>
      <c r="O5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4" s="190"/>
      <c r="Q5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4" s="192">
        <f ca="1">Table66[[#This Row],[Year 1 (Specified in RFO) - N/A]]+Table66[[#This Row],[Year 2 (Specified in RFO) - N/A]]+Table66[[#This Row],[Year 3 (Specified in RFO) - N/A]]+Table66[[#This Row],[Year 4 (Specified in RFO) - N/A]]+Table66[[#This Row],[Year 5 (Specified in RFO) - N/A]]+Table66[[#This Row],[Year 6 (Specified in RFO) - N/A]]</f>
        <v>0</v>
      </c>
      <c r="S524" s="402">
        <f ca="1">Table66[[#This Row],[Year 1  (Proposed)]]+Table66[[#This Row],[Year 2 (Proposed)]]+Table66[[#This Row],[Year 3 (Proposed)]]+Table66[[#This Row],[Year 4 (Proposed)]]+Table66[[#This Row],[Year 5 (Proposed)]]+Table66[[#This Row],[Year 6 (Proposed)]]</f>
        <v>0</v>
      </c>
      <c r="T524" s="403" t="b">
        <f ca="1">Table66[[#This Row],[Total Specifed in RFO - N/A]]=Table66[[#This Row],[Total Proposed]]</f>
        <v>1</v>
      </c>
      <c r="U524" s="439"/>
      <c r="V524" s="441">
        <f ca="1">Table66[[#This Row],[Year 6 (Specified in RFO) - N/A]]-Table66[[#This Row],[Column1]]</f>
        <v>0</v>
      </c>
    </row>
    <row r="525" spans="1:22" ht="16.5" thickBot="1">
      <c r="A525" s="227"/>
      <c r="B525" s="319"/>
      <c r="C525" s="319"/>
      <c r="D525" s="320"/>
      <c r="E525" s="320"/>
      <c r="F525" s="190"/>
      <c r="G5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5" s="190"/>
      <c r="I5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5" s="190"/>
      <c r="K5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5" s="190"/>
      <c r="M5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5" s="190"/>
      <c r="O5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5" s="190"/>
      <c r="Q5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5" s="192">
        <f ca="1">Table66[[#This Row],[Year 1 (Specified in RFO) - N/A]]+Table66[[#This Row],[Year 2 (Specified in RFO) - N/A]]+Table66[[#This Row],[Year 3 (Specified in RFO) - N/A]]+Table66[[#This Row],[Year 4 (Specified in RFO) - N/A]]+Table66[[#This Row],[Year 5 (Specified in RFO) - N/A]]+Table66[[#This Row],[Year 6 (Specified in RFO) - N/A]]</f>
        <v>0</v>
      </c>
      <c r="S525" s="402">
        <f ca="1">Table66[[#This Row],[Year 1  (Proposed)]]+Table66[[#This Row],[Year 2 (Proposed)]]+Table66[[#This Row],[Year 3 (Proposed)]]+Table66[[#This Row],[Year 4 (Proposed)]]+Table66[[#This Row],[Year 5 (Proposed)]]+Table66[[#This Row],[Year 6 (Proposed)]]</f>
        <v>0</v>
      </c>
      <c r="T525" s="403" t="b">
        <f ca="1">Table66[[#This Row],[Total Specifed in RFO - N/A]]=Table66[[#This Row],[Total Proposed]]</f>
        <v>1</v>
      </c>
      <c r="U525" s="439"/>
      <c r="V525" s="441">
        <f ca="1">Table66[[#This Row],[Year 6 (Specified in RFO) - N/A]]-Table66[[#This Row],[Column1]]</f>
        <v>0</v>
      </c>
    </row>
    <row r="526" spans="1:22" ht="16.5" thickBot="1">
      <c r="A526" s="227"/>
      <c r="B526" s="319"/>
      <c r="C526" s="319"/>
      <c r="D526" s="320"/>
      <c r="E526" s="320"/>
      <c r="F526" s="190"/>
      <c r="G5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6" s="190"/>
      <c r="I5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6" s="190"/>
      <c r="K5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6" s="190"/>
      <c r="M5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6" s="190"/>
      <c r="O5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6" s="190"/>
      <c r="Q5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6" s="192">
        <f ca="1">Table66[[#This Row],[Year 1 (Specified in RFO) - N/A]]+Table66[[#This Row],[Year 2 (Specified in RFO) - N/A]]+Table66[[#This Row],[Year 3 (Specified in RFO) - N/A]]+Table66[[#This Row],[Year 4 (Specified in RFO) - N/A]]+Table66[[#This Row],[Year 5 (Specified in RFO) - N/A]]+Table66[[#This Row],[Year 6 (Specified in RFO) - N/A]]</f>
        <v>0</v>
      </c>
      <c r="S526" s="402">
        <f ca="1">Table66[[#This Row],[Year 1  (Proposed)]]+Table66[[#This Row],[Year 2 (Proposed)]]+Table66[[#This Row],[Year 3 (Proposed)]]+Table66[[#This Row],[Year 4 (Proposed)]]+Table66[[#This Row],[Year 5 (Proposed)]]+Table66[[#This Row],[Year 6 (Proposed)]]</f>
        <v>0</v>
      </c>
      <c r="T526" s="403" t="b">
        <f ca="1">Table66[[#This Row],[Total Specifed in RFO - N/A]]=Table66[[#This Row],[Total Proposed]]</f>
        <v>1</v>
      </c>
      <c r="U526" s="439"/>
      <c r="V526" s="441">
        <f ca="1">Table66[[#This Row],[Year 6 (Specified in RFO) - N/A]]-Table66[[#This Row],[Column1]]</f>
        <v>0</v>
      </c>
    </row>
    <row r="527" spans="1:22" ht="16.5" thickBot="1">
      <c r="A527" s="227"/>
      <c r="B527" s="319"/>
      <c r="C527" s="319"/>
      <c r="D527" s="320"/>
      <c r="E527" s="320"/>
      <c r="F527" s="190"/>
      <c r="G5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7" s="190"/>
      <c r="I5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7" s="190"/>
      <c r="K5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7" s="190"/>
      <c r="M5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7" s="190"/>
      <c r="O5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7" s="190"/>
      <c r="Q5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7" s="192">
        <f ca="1">Table66[[#This Row],[Year 1 (Specified in RFO) - N/A]]+Table66[[#This Row],[Year 2 (Specified in RFO) - N/A]]+Table66[[#This Row],[Year 3 (Specified in RFO) - N/A]]+Table66[[#This Row],[Year 4 (Specified in RFO) - N/A]]+Table66[[#This Row],[Year 5 (Specified in RFO) - N/A]]+Table66[[#This Row],[Year 6 (Specified in RFO) - N/A]]</f>
        <v>0</v>
      </c>
      <c r="S527" s="402">
        <f ca="1">Table66[[#This Row],[Year 1  (Proposed)]]+Table66[[#This Row],[Year 2 (Proposed)]]+Table66[[#This Row],[Year 3 (Proposed)]]+Table66[[#This Row],[Year 4 (Proposed)]]+Table66[[#This Row],[Year 5 (Proposed)]]+Table66[[#This Row],[Year 6 (Proposed)]]</f>
        <v>0</v>
      </c>
      <c r="T527" s="403" t="b">
        <f ca="1">Table66[[#This Row],[Total Specifed in RFO - N/A]]=Table66[[#This Row],[Total Proposed]]</f>
        <v>1</v>
      </c>
      <c r="U527" s="439"/>
      <c r="V527" s="441">
        <f ca="1">Table66[[#This Row],[Year 6 (Specified in RFO) - N/A]]-Table66[[#This Row],[Column1]]</f>
        <v>0</v>
      </c>
    </row>
    <row r="528" spans="1:22" ht="16.5" thickBot="1">
      <c r="A528" s="227"/>
      <c r="B528" s="319"/>
      <c r="C528" s="319"/>
      <c r="D528" s="320"/>
      <c r="E528" s="320"/>
      <c r="F528" s="190"/>
      <c r="G5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8" s="190"/>
      <c r="I5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8" s="190"/>
      <c r="K5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8" s="190"/>
      <c r="M5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8" s="190"/>
      <c r="O5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8" s="190"/>
      <c r="Q5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8" s="192">
        <f ca="1">Table66[[#This Row],[Year 1 (Specified in RFO) - N/A]]+Table66[[#This Row],[Year 2 (Specified in RFO) - N/A]]+Table66[[#This Row],[Year 3 (Specified in RFO) - N/A]]+Table66[[#This Row],[Year 4 (Specified in RFO) - N/A]]+Table66[[#This Row],[Year 5 (Specified in RFO) - N/A]]+Table66[[#This Row],[Year 6 (Specified in RFO) - N/A]]</f>
        <v>0</v>
      </c>
      <c r="S528" s="402">
        <f ca="1">Table66[[#This Row],[Year 1  (Proposed)]]+Table66[[#This Row],[Year 2 (Proposed)]]+Table66[[#This Row],[Year 3 (Proposed)]]+Table66[[#This Row],[Year 4 (Proposed)]]+Table66[[#This Row],[Year 5 (Proposed)]]+Table66[[#This Row],[Year 6 (Proposed)]]</f>
        <v>0</v>
      </c>
      <c r="T528" s="403" t="b">
        <f ca="1">Table66[[#This Row],[Total Specifed in RFO - N/A]]=Table66[[#This Row],[Total Proposed]]</f>
        <v>1</v>
      </c>
      <c r="U528" s="439"/>
      <c r="V528" s="441">
        <f ca="1">Table66[[#This Row],[Year 6 (Specified in RFO) - N/A]]-Table66[[#This Row],[Column1]]</f>
        <v>0</v>
      </c>
    </row>
    <row r="529" spans="1:22" ht="16.5" thickBot="1">
      <c r="A529" s="227"/>
      <c r="B529" s="319"/>
      <c r="C529" s="319"/>
      <c r="D529" s="320"/>
      <c r="E529" s="320"/>
      <c r="F529" s="190"/>
      <c r="G5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9" s="190"/>
      <c r="I5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9" s="190"/>
      <c r="K5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9" s="190"/>
      <c r="M5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9" s="190"/>
      <c r="O5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9" s="190"/>
      <c r="Q5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9" s="192">
        <f ca="1">Table66[[#This Row],[Year 1 (Specified in RFO) - N/A]]+Table66[[#This Row],[Year 2 (Specified in RFO) - N/A]]+Table66[[#This Row],[Year 3 (Specified in RFO) - N/A]]+Table66[[#This Row],[Year 4 (Specified in RFO) - N/A]]+Table66[[#This Row],[Year 5 (Specified in RFO) - N/A]]+Table66[[#This Row],[Year 6 (Specified in RFO) - N/A]]</f>
        <v>0</v>
      </c>
      <c r="S529" s="402">
        <f ca="1">Table66[[#This Row],[Year 1  (Proposed)]]+Table66[[#This Row],[Year 2 (Proposed)]]+Table66[[#This Row],[Year 3 (Proposed)]]+Table66[[#This Row],[Year 4 (Proposed)]]+Table66[[#This Row],[Year 5 (Proposed)]]+Table66[[#This Row],[Year 6 (Proposed)]]</f>
        <v>0</v>
      </c>
      <c r="T529" s="403" t="b">
        <f ca="1">Table66[[#This Row],[Total Specifed in RFO - N/A]]=Table66[[#This Row],[Total Proposed]]</f>
        <v>1</v>
      </c>
      <c r="U529" s="439"/>
      <c r="V529" s="441">
        <f ca="1">Table66[[#This Row],[Year 6 (Specified in RFO) - N/A]]-Table66[[#This Row],[Column1]]</f>
        <v>0</v>
      </c>
    </row>
    <row r="530" spans="1:22" ht="16.5" thickBot="1">
      <c r="A530" s="227"/>
      <c r="B530" s="319"/>
      <c r="C530" s="319"/>
      <c r="D530" s="320"/>
      <c r="E530" s="320"/>
      <c r="F530" s="190"/>
      <c r="G5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0" s="190"/>
      <c r="I5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0" s="190"/>
      <c r="K5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0" s="190"/>
      <c r="M5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0" s="190"/>
      <c r="O5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0" s="190"/>
      <c r="Q5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0" s="192">
        <f ca="1">Table66[[#This Row],[Year 1 (Specified in RFO) - N/A]]+Table66[[#This Row],[Year 2 (Specified in RFO) - N/A]]+Table66[[#This Row],[Year 3 (Specified in RFO) - N/A]]+Table66[[#This Row],[Year 4 (Specified in RFO) - N/A]]+Table66[[#This Row],[Year 5 (Specified in RFO) - N/A]]+Table66[[#This Row],[Year 6 (Specified in RFO) - N/A]]</f>
        <v>0</v>
      </c>
      <c r="S530" s="402">
        <f ca="1">Table66[[#This Row],[Year 1  (Proposed)]]+Table66[[#This Row],[Year 2 (Proposed)]]+Table66[[#This Row],[Year 3 (Proposed)]]+Table66[[#This Row],[Year 4 (Proposed)]]+Table66[[#This Row],[Year 5 (Proposed)]]+Table66[[#This Row],[Year 6 (Proposed)]]</f>
        <v>0</v>
      </c>
      <c r="T530" s="403" t="b">
        <f ca="1">Table66[[#This Row],[Total Specifed in RFO - N/A]]=Table66[[#This Row],[Total Proposed]]</f>
        <v>1</v>
      </c>
      <c r="U530" s="439"/>
      <c r="V530" s="441">
        <f ca="1">Table66[[#This Row],[Year 6 (Specified in RFO) - N/A]]-Table66[[#This Row],[Column1]]</f>
        <v>0</v>
      </c>
    </row>
    <row r="531" spans="1:22" ht="16.5" thickBot="1">
      <c r="A531" s="227"/>
      <c r="B531" s="319"/>
      <c r="C531" s="319"/>
      <c r="D531" s="320"/>
      <c r="E531" s="320"/>
      <c r="F531" s="190"/>
      <c r="G5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1" s="190"/>
      <c r="I5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1" s="190"/>
      <c r="K5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1" s="190"/>
      <c r="M5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1" s="190"/>
      <c r="O5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1" s="190"/>
      <c r="Q5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1" s="192">
        <f ca="1">Table66[[#This Row],[Year 1 (Specified in RFO) - N/A]]+Table66[[#This Row],[Year 2 (Specified in RFO) - N/A]]+Table66[[#This Row],[Year 3 (Specified in RFO) - N/A]]+Table66[[#This Row],[Year 4 (Specified in RFO) - N/A]]+Table66[[#This Row],[Year 5 (Specified in RFO) - N/A]]+Table66[[#This Row],[Year 6 (Specified in RFO) - N/A]]</f>
        <v>0</v>
      </c>
      <c r="S531" s="402">
        <f ca="1">Table66[[#This Row],[Year 1  (Proposed)]]+Table66[[#This Row],[Year 2 (Proposed)]]+Table66[[#This Row],[Year 3 (Proposed)]]+Table66[[#This Row],[Year 4 (Proposed)]]+Table66[[#This Row],[Year 5 (Proposed)]]+Table66[[#This Row],[Year 6 (Proposed)]]</f>
        <v>0</v>
      </c>
      <c r="T531" s="403" t="b">
        <f ca="1">Table66[[#This Row],[Total Specifed in RFO - N/A]]=Table66[[#This Row],[Total Proposed]]</f>
        <v>1</v>
      </c>
      <c r="U531" s="439"/>
      <c r="V531" s="441">
        <f ca="1">Table66[[#This Row],[Year 6 (Specified in RFO) - N/A]]-Table66[[#This Row],[Column1]]</f>
        <v>0</v>
      </c>
    </row>
    <row r="532" spans="1:22" ht="16.5" thickBot="1">
      <c r="A532" s="319"/>
      <c r="B532" s="319"/>
      <c r="C532" s="319"/>
      <c r="D532" s="320"/>
      <c r="E532" s="320"/>
      <c r="F532" s="190"/>
      <c r="G5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2" s="190"/>
      <c r="I5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2" s="190"/>
      <c r="K5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2" s="190"/>
      <c r="M532"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2" s="190"/>
      <c r="O532"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2" s="190"/>
      <c r="Q5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2" s="192">
        <f ca="1">Table66[[#This Row],[Year 1 (Specified in RFO) - N/A]]+Table66[[#This Row],[Year 2 (Specified in RFO) - N/A]]+Table66[[#This Row],[Year 3 (Specified in RFO) - N/A]]+Table66[[#This Row],[Year 4 (Specified in RFO) - N/A]]+Table66[[#This Row],[Year 5 (Specified in RFO) - N/A]]+Table66[[#This Row],[Year 6 (Specified in RFO) - N/A]]</f>
        <v>0</v>
      </c>
      <c r="S532" s="402">
        <f ca="1">Table66[[#This Row],[Year 1  (Proposed)]]+Table66[[#This Row],[Year 2 (Proposed)]]+Table66[[#This Row],[Year 3 (Proposed)]]+Table66[[#This Row],[Year 4 (Proposed)]]+Table66[[#This Row],[Year 5 (Proposed)]]+Table66[[#This Row],[Year 6 (Proposed)]]</f>
        <v>0</v>
      </c>
      <c r="T532" s="403" t="b">
        <f ca="1">Table66[[#This Row],[Total Specifed in RFO - N/A]]=Table66[[#This Row],[Total Proposed]]</f>
        <v>1</v>
      </c>
      <c r="U532" s="439"/>
      <c r="V532" s="441">
        <f ca="1">Table66[[#This Row],[Year 6 (Specified in RFO) - N/A]]-Table66[[#This Row],[Column1]]</f>
        <v>0</v>
      </c>
    </row>
    <row r="533" spans="1:22" ht="16.5" thickBot="1">
      <c r="A533" s="227"/>
      <c r="B533" s="227"/>
      <c r="C533" s="227"/>
      <c r="D533" s="231"/>
      <c r="E533" s="231"/>
      <c r="F533" s="190"/>
      <c r="G5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3" s="190"/>
      <c r="I5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3" s="190"/>
      <c r="K5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3" s="190"/>
      <c r="M533"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3" s="190"/>
      <c r="O533"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3" s="190"/>
      <c r="Q5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3" s="192">
        <f ca="1">Table66[[#This Row],[Year 1 (Specified in RFO) - N/A]]+Table66[[#This Row],[Year 2 (Specified in RFO) - N/A]]+Table66[[#This Row],[Year 3 (Specified in RFO) - N/A]]+Table66[[#This Row],[Year 4 (Specified in RFO) - N/A]]+Table66[[#This Row],[Year 5 (Specified in RFO) - N/A]]+Table66[[#This Row],[Year 6 (Specified in RFO) - N/A]]</f>
        <v>0</v>
      </c>
      <c r="S533" s="402">
        <f ca="1">Table66[[#This Row],[Year 1  (Proposed)]]+Table66[[#This Row],[Year 2 (Proposed)]]+Table66[[#This Row],[Year 3 (Proposed)]]+Table66[[#This Row],[Year 4 (Proposed)]]+Table66[[#This Row],[Year 5 (Proposed)]]+Table66[[#This Row],[Year 6 (Proposed)]]</f>
        <v>0</v>
      </c>
      <c r="T533" s="403" t="b">
        <f ca="1">Table66[[#This Row],[Total Specifed in RFO - N/A]]=Table66[[#This Row],[Total Proposed]]</f>
        <v>1</v>
      </c>
      <c r="U533" s="439"/>
      <c r="V533" s="441">
        <f ca="1">Table66[[#This Row],[Year 6 (Specified in RFO) - N/A]]-Table66[[#This Row],[Column1]]</f>
        <v>0</v>
      </c>
    </row>
    <row r="534" spans="1:22" ht="16.5" thickBot="1">
      <c r="A534" s="227"/>
      <c r="B534" s="319"/>
      <c r="C534" s="319"/>
      <c r="D534" s="320"/>
      <c r="E534" s="320"/>
      <c r="F534" s="190"/>
      <c r="G5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4" s="190"/>
      <c r="I5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4" s="190"/>
      <c r="K5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4" s="190"/>
      <c r="M5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4" s="190"/>
      <c r="O5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4" s="190"/>
      <c r="Q5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4" s="192">
        <f ca="1">Table66[[#This Row],[Year 1 (Specified in RFO) - N/A]]+Table66[[#This Row],[Year 2 (Specified in RFO) - N/A]]+Table66[[#This Row],[Year 3 (Specified in RFO) - N/A]]+Table66[[#This Row],[Year 4 (Specified in RFO) - N/A]]+Table66[[#This Row],[Year 5 (Specified in RFO) - N/A]]+Table66[[#This Row],[Year 6 (Specified in RFO) - N/A]]</f>
        <v>0</v>
      </c>
      <c r="S534" s="402">
        <f ca="1">Table66[[#This Row],[Year 1  (Proposed)]]+Table66[[#This Row],[Year 2 (Proposed)]]+Table66[[#This Row],[Year 3 (Proposed)]]+Table66[[#This Row],[Year 4 (Proposed)]]+Table66[[#This Row],[Year 5 (Proposed)]]+Table66[[#This Row],[Year 6 (Proposed)]]</f>
        <v>0</v>
      </c>
      <c r="T534" s="403" t="b">
        <f ca="1">Table66[[#This Row],[Total Specifed in RFO - N/A]]=Table66[[#This Row],[Total Proposed]]</f>
        <v>1</v>
      </c>
      <c r="U534" s="439"/>
      <c r="V534" s="441">
        <f ca="1">Table66[[#This Row],[Year 6 (Specified in RFO) - N/A]]-Table66[[#This Row],[Column1]]</f>
        <v>0</v>
      </c>
    </row>
    <row r="535" spans="1:22" ht="16.5" thickBot="1">
      <c r="A535" s="319"/>
      <c r="B535" s="319"/>
      <c r="C535" s="319"/>
      <c r="D535" s="320"/>
      <c r="E535" s="320"/>
      <c r="F535" s="190"/>
      <c r="G5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5" s="190"/>
      <c r="I5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5" s="190"/>
      <c r="K5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5" s="190"/>
      <c r="M535"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5" s="190"/>
      <c r="O535"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5" s="190"/>
      <c r="Q5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5" s="192">
        <f ca="1">Table66[[#This Row],[Year 1 (Specified in RFO) - N/A]]+Table66[[#This Row],[Year 2 (Specified in RFO) - N/A]]+Table66[[#This Row],[Year 3 (Specified in RFO) - N/A]]+Table66[[#This Row],[Year 4 (Specified in RFO) - N/A]]+Table66[[#This Row],[Year 5 (Specified in RFO) - N/A]]+Table66[[#This Row],[Year 6 (Specified in RFO) - N/A]]</f>
        <v>0</v>
      </c>
      <c r="S535" s="402">
        <f ca="1">Table66[[#This Row],[Year 1  (Proposed)]]+Table66[[#This Row],[Year 2 (Proposed)]]+Table66[[#This Row],[Year 3 (Proposed)]]+Table66[[#This Row],[Year 4 (Proposed)]]+Table66[[#This Row],[Year 5 (Proposed)]]+Table66[[#This Row],[Year 6 (Proposed)]]</f>
        <v>0</v>
      </c>
      <c r="T535" s="403" t="b">
        <f ca="1">Table66[[#This Row],[Total Specifed in RFO - N/A]]=Table66[[#This Row],[Total Proposed]]</f>
        <v>1</v>
      </c>
      <c r="U535" s="439"/>
      <c r="V535" s="441">
        <f ca="1">Table66[[#This Row],[Year 6 (Specified in RFO) - N/A]]-Table66[[#This Row],[Column1]]</f>
        <v>0</v>
      </c>
    </row>
    <row r="536" spans="1:22" ht="16.5" thickBot="1">
      <c r="A536" s="227"/>
      <c r="B536" s="227"/>
      <c r="C536" s="227"/>
      <c r="D536" s="231"/>
      <c r="E536" s="231"/>
      <c r="F536" s="190"/>
      <c r="G5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6" s="190"/>
      <c r="I5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6" s="190"/>
      <c r="K5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6" s="190"/>
      <c r="M536"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6" s="190"/>
      <c r="O536"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6" s="190"/>
      <c r="Q5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6" s="192">
        <f ca="1">Table66[[#This Row],[Year 1 (Specified in RFO) - N/A]]+Table66[[#This Row],[Year 2 (Specified in RFO) - N/A]]+Table66[[#This Row],[Year 3 (Specified in RFO) - N/A]]+Table66[[#This Row],[Year 4 (Specified in RFO) - N/A]]+Table66[[#This Row],[Year 5 (Specified in RFO) - N/A]]+Table66[[#This Row],[Year 6 (Specified in RFO) - N/A]]</f>
        <v>0</v>
      </c>
      <c r="S536" s="402">
        <f ca="1">Table66[[#This Row],[Year 1  (Proposed)]]+Table66[[#This Row],[Year 2 (Proposed)]]+Table66[[#This Row],[Year 3 (Proposed)]]+Table66[[#This Row],[Year 4 (Proposed)]]+Table66[[#This Row],[Year 5 (Proposed)]]+Table66[[#This Row],[Year 6 (Proposed)]]</f>
        <v>0</v>
      </c>
      <c r="T536" s="403" t="b">
        <f ca="1">Table66[[#This Row],[Total Specifed in RFO - N/A]]=Table66[[#This Row],[Total Proposed]]</f>
        <v>1</v>
      </c>
      <c r="U536" s="439"/>
      <c r="V536" s="441">
        <f ca="1">Table66[[#This Row],[Year 6 (Specified in RFO) - N/A]]-Table66[[#This Row],[Column1]]</f>
        <v>0</v>
      </c>
    </row>
    <row r="537" spans="1:22" ht="16.5" thickBot="1">
      <c r="A537" s="227"/>
      <c r="B537" s="319"/>
      <c r="C537" s="319"/>
      <c r="D537" s="320"/>
      <c r="E537" s="320"/>
      <c r="F537" s="190"/>
      <c r="G5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7" s="190"/>
      <c r="I5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7" s="190"/>
      <c r="K5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7" s="190"/>
      <c r="M5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7" s="190"/>
      <c r="O5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7" s="190"/>
      <c r="Q5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7" s="192">
        <f ca="1">Table66[[#This Row],[Year 1 (Specified in RFO) - N/A]]+Table66[[#This Row],[Year 2 (Specified in RFO) - N/A]]+Table66[[#This Row],[Year 3 (Specified in RFO) - N/A]]+Table66[[#This Row],[Year 4 (Specified in RFO) - N/A]]+Table66[[#This Row],[Year 5 (Specified in RFO) - N/A]]+Table66[[#This Row],[Year 6 (Specified in RFO) - N/A]]</f>
        <v>0</v>
      </c>
      <c r="S537" s="402">
        <f ca="1">Table66[[#This Row],[Year 1  (Proposed)]]+Table66[[#This Row],[Year 2 (Proposed)]]+Table66[[#This Row],[Year 3 (Proposed)]]+Table66[[#This Row],[Year 4 (Proposed)]]+Table66[[#This Row],[Year 5 (Proposed)]]+Table66[[#This Row],[Year 6 (Proposed)]]</f>
        <v>0</v>
      </c>
      <c r="T537" s="403" t="b">
        <f ca="1">Table66[[#This Row],[Total Specifed in RFO - N/A]]=Table66[[#This Row],[Total Proposed]]</f>
        <v>1</v>
      </c>
      <c r="U537" s="439"/>
      <c r="V537" s="441">
        <f ca="1">Table66[[#This Row],[Year 6 (Specified in RFO) - N/A]]-Table66[[#This Row],[Column1]]</f>
        <v>0</v>
      </c>
    </row>
    <row r="538" spans="1:22" ht="16.5" thickBot="1">
      <c r="A538" s="319"/>
      <c r="B538" s="319"/>
      <c r="C538" s="319"/>
      <c r="D538" s="320"/>
      <c r="E538" s="320"/>
      <c r="F538" s="190"/>
      <c r="G5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8" s="190"/>
      <c r="I5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8" s="190"/>
      <c r="K5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8" s="190"/>
      <c r="M538"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8" s="190"/>
      <c r="O538"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8" s="190"/>
      <c r="Q5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8" s="192">
        <f ca="1">Table66[[#This Row],[Year 1 (Specified in RFO) - N/A]]+Table66[[#This Row],[Year 2 (Specified in RFO) - N/A]]+Table66[[#This Row],[Year 3 (Specified in RFO) - N/A]]+Table66[[#This Row],[Year 4 (Specified in RFO) - N/A]]+Table66[[#This Row],[Year 5 (Specified in RFO) - N/A]]+Table66[[#This Row],[Year 6 (Specified in RFO) - N/A]]</f>
        <v>0</v>
      </c>
      <c r="S538" s="402">
        <f ca="1">Table66[[#This Row],[Year 1  (Proposed)]]+Table66[[#This Row],[Year 2 (Proposed)]]+Table66[[#This Row],[Year 3 (Proposed)]]+Table66[[#This Row],[Year 4 (Proposed)]]+Table66[[#This Row],[Year 5 (Proposed)]]+Table66[[#This Row],[Year 6 (Proposed)]]</f>
        <v>0</v>
      </c>
      <c r="T538" s="403" t="b">
        <f ca="1">Table66[[#This Row],[Total Specifed in RFO - N/A]]=Table66[[#This Row],[Total Proposed]]</f>
        <v>1</v>
      </c>
      <c r="U538" s="439"/>
      <c r="V538" s="441">
        <f ca="1">Table66[[#This Row],[Year 6 (Specified in RFO) - N/A]]-Table66[[#This Row],[Column1]]</f>
        <v>0</v>
      </c>
    </row>
    <row r="539" spans="1:22" ht="16.5" thickBot="1">
      <c r="A539" s="227"/>
      <c r="B539" s="227"/>
      <c r="C539" s="227"/>
      <c r="D539" s="231"/>
      <c r="E539" s="231"/>
      <c r="F539" s="190"/>
      <c r="G5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9" s="190"/>
      <c r="I5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9" s="190"/>
      <c r="K5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9" s="190"/>
      <c r="M539"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9" s="190"/>
      <c r="O539"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9" s="190"/>
      <c r="Q5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9" s="192">
        <f ca="1">Table66[[#This Row],[Year 1 (Specified in RFO) - N/A]]+Table66[[#This Row],[Year 2 (Specified in RFO) - N/A]]+Table66[[#This Row],[Year 3 (Specified in RFO) - N/A]]+Table66[[#This Row],[Year 4 (Specified in RFO) - N/A]]+Table66[[#This Row],[Year 5 (Specified in RFO) - N/A]]+Table66[[#This Row],[Year 6 (Specified in RFO) - N/A]]</f>
        <v>0</v>
      </c>
      <c r="S539" s="402">
        <f ca="1">Table66[[#This Row],[Year 1  (Proposed)]]+Table66[[#This Row],[Year 2 (Proposed)]]+Table66[[#This Row],[Year 3 (Proposed)]]+Table66[[#This Row],[Year 4 (Proposed)]]+Table66[[#This Row],[Year 5 (Proposed)]]+Table66[[#This Row],[Year 6 (Proposed)]]</f>
        <v>0</v>
      </c>
      <c r="T539" s="403" t="b">
        <f ca="1">Table66[[#This Row],[Total Specifed in RFO - N/A]]=Table66[[#This Row],[Total Proposed]]</f>
        <v>1</v>
      </c>
      <c r="U539" s="439"/>
      <c r="V539" s="441">
        <f ca="1">Table66[[#This Row],[Year 6 (Specified in RFO) - N/A]]-Table66[[#This Row],[Column1]]</f>
        <v>0</v>
      </c>
    </row>
    <row r="540" spans="1:22" ht="16.5" thickBot="1">
      <c r="A540" s="227"/>
      <c r="B540" s="319"/>
      <c r="C540" s="319"/>
      <c r="D540" s="320"/>
      <c r="E540" s="320"/>
      <c r="F540" s="190"/>
      <c r="G5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0" s="190"/>
      <c r="I5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0" s="190"/>
      <c r="K5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0" s="190"/>
      <c r="M5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0" s="190"/>
      <c r="O5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0" s="190"/>
      <c r="Q5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0" s="192">
        <f ca="1">Table66[[#This Row],[Year 1 (Specified in RFO) - N/A]]+Table66[[#This Row],[Year 2 (Specified in RFO) - N/A]]+Table66[[#This Row],[Year 3 (Specified in RFO) - N/A]]+Table66[[#This Row],[Year 4 (Specified in RFO) - N/A]]+Table66[[#This Row],[Year 5 (Specified in RFO) - N/A]]+Table66[[#This Row],[Year 6 (Specified in RFO) - N/A]]</f>
        <v>0</v>
      </c>
      <c r="S540" s="402">
        <f ca="1">Table66[[#This Row],[Year 1  (Proposed)]]+Table66[[#This Row],[Year 2 (Proposed)]]+Table66[[#This Row],[Year 3 (Proposed)]]+Table66[[#This Row],[Year 4 (Proposed)]]+Table66[[#This Row],[Year 5 (Proposed)]]+Table66[[#This Row],[Year 6 (Proposed)]]</f>
        <v>0</v>
      </c>
      <c r="T540" s="403" t="b">
        <f ca="1">Table66[[#This Row],[Total Specifed in RFO - N/A]]=Table66[[#This Row],[Total Proposed]]</f>
        <v>1</v>
      </c>
      <c r="U540" s="439"/>
      <c r="V540" s="441">
        <f ca="1">Table66[[#This Row],[Year 6 (Specified in RFO) - N/A]]-Table66[[#This Row],[Column1]]</f>
        <v>0</v>
      </c>
    </row>
    <row r="541" spans="1:22" ht="16.5" thickBot="1">
      <c r="A541" s="319"/>
      <c r="B541" s="319"/>
      <c r="C541" s="319"/>
      <c r="D541" s="320"/>
      <c r="E541" s="320"/>
      <c r="F541" s="190"/>
      <c r="G5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1" s="190"/>
      <c r="I5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1" s="190"/>
      <c r="K5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1" s="190"/>
      <c r="M541"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1" s="190"/>
      <c r="O541"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1" s="190"/>
      <c r="Q5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1" s="192">
        <f ca="1">Table66[[#This Row],[Year 1 (Specified in RFO) - N/A]]+Table66[[#This Row],[Year 2 (Specified in RFO) - N/A]]+Table66[[#This Row],[Year 3 (Specified in RFO) - N/A]]+Table66[[#This Row],[Year 4 (Specified in RFO) - N/A]]+Table66[[#This Row],[Year 5 (Specified in RFO) - N/A]]+Table66[[#This Row],[Year 6 (Specified in RFO) - N/A]]</f>
        <v>0</v>
      </c>
      <c r="S541" s="402">
        <f ca="1">Table66[[#This Row],[Year 1  (Proposed)]]+Table66[[#This Row],[Year 2 (Proposed)]]+Table66[[#This Row],[Year 3 (Proposed)]]+Table66[[#This Row],[Year 4 (Proposed)]]+Table66[[#This Row],[Year 5 (Proposed)]]+Table66[[#This Row],[Year 6 (Proposed)]]</f>
        <v>0</v>
      </c>
      <c r="T541" s="403" t="b">
        <f ca="1">Table66[[#This Row],[Total Specifed in RFO - N/A]]=Table66[[#This Row],[Total Proposed]]</f>
        <v>1</v>
      </c>
      <c r="U541" s="439"/>
      <c r="V541" s="441">
        <f ca="1">Table66[[#This Row],[Year 6 (Specified in RFO) - N/A]]-Table66[[#This Row],[Column1]]</f>
        <v>0</v>
      </c>
    </row>
    <row r="542" spans="1:22" ht="16.5" thickBot="1">
      <c r="A542" s="227"/>
      <c r="B542" s="227"/>
      <c r="C542" s="227"/>
      <c r="D542" s="231"/>
      <c r="E542" s="231"/>
      <c r="F542" s="190"/>
      <c r="G5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2" s="190"/>
      <c r="I5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2" s="190"/>
      <c r="K5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2" s="190"/>
      <c r="M542"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2" s="190"/>
      <c r="O542"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2" s="190"/>
      <c r="Q5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2" s="192">
        <f ca="1">Table66[[#This Row],[Year 1 (Specified in RFO) - N/A]]+Table66[[#This Row],[Year 2 (Specified in RFO) - N/A]]+Table66[[#This Row],[Year 3 (Specified in RFO) - N/A]]+Table66[[#This Row],[Year 4 (Specified in RFO) - N/A]]+Table66[[#This Row],[Year 5 (Specified in RFO) - N/A]]+Table66[[#This Row],[Year 6 (Specified in RFO) - N/A]]</f>
        <v>0</v>
      </c>
      <c r="S542" s="402">
        <f ca="1">Table66[[#This Row],[Year 1  (Proposed)]]+Table66[[#This Row],[Year 2 (Proposed)]]+Table66[[#This Row],[Year 3 (Proposed)]]+Table66[[#This Row],[Year 4 (Proposed)]]+Table66[[#This Row],[Year 5 (Proposed)]]+Table66[[#This Row],[Year 6 (Proposed)]]</f>
        <v>0</v>
      </c>
      <c r="T542" s="403" t="b">
        <f ca="1">Table66[[#This Row],[Total Specifed in RFO - N/A]]=Table66[[#This Row],[Total Proposed]]</f>
        <v>1</v>
      </c>
      <c r="U542" s="439"/>
      <c r="V542" s="441">
        <f ca="1">Table66[[#This Row],[Year 6 (Specified in RFO) - N/A]]-Table66[[#This Row],[Column1]]</f>
        <v>0</v>
      </c>
    </row>
    <row r="543" spans="1:22" ht="16.5" thickBot="1">
      <c r="A543" s="227"/>
      <c r="B543" s="319"/>
      <c r="C543" s="319"/>
      <c r="D543" s="320"/>
      <c r="E543" s="320"/>
      <c r="F543" s="190"/>
      <c r="G5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3" s="190"/>
      <c r="I5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3" s="190"/>
      <c r="K5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3" s="190"/>
      <c r="M5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3" s="190"/>
      <c r="O5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3" s="190"/>
      <c r="Q5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3" s="192">
        <f ca="1">Table66[[#This Row],[Year 1 (Specified in RFO) - N/A]]+Table66[[#This Row],[Year 2 (Specified in RFO) - N/A]]+Table66[[#This Row],[Year 3 (Specified in RFO) - N/A]]+Table66[[#This Row],[Year 4 (Specified in RFO) - N/A]]+Table66[[#This Row],[Year 5 (Specified in RFO) - N/A]]+Table66[[#This Row],[Year 6 (Specified in RFO) - N/A]]</f>
        <v>0</v>
      </c>
      <c r="S543" s="402">
        <f ca="1">Table66[[#This Row],[Year 1  (Proposed)]]+Table66[[#This Row],[Year 2 (Proposed)]]+Table66[[#This Row],[Year 3 (Proposed)]]+Table66[[#This Row],[Year 4 (Proposed)]]+Table66[[#This Row],[Year 5 (Proposed)]]+Table66[[#This Row],[Year 6 (Proposed)]]</f>
        <v>0</v>
      </c>
      <c r="T543" s="403" t="b">
        <f ca="1">Table66[[#This Row],[Total Specifed in RFO - N/A]]=Table66[[#This Row],[Total Proposed]]</f>
        <v>1</v>
      </c>
      <c r="U543" s="439"/>
      <c r="V543" s="441">
        <f ca="1">Table66[[#This Row],[Year 6 (Specified in RFO) - N/A]]-Table66[[#This Row],[Column1]]</f>
        <v>0</v>
      </c>
    </row>
    <row r="544" spans="1:22" ht="16.5" thickBot="1">
      <c r="A544" s="319"/>
      <c r="B544" s="319"/>
      <c r="C544" s="319"/>
      <c r="D544" s="320"/>
      <c r="E544" s="320"/>
      <c r="F544" s="190"/>
      <c r="G5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4" s="190"/>
      <c r="I5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4" s="190"/>
      <c r="K5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4" s="190"/>
      <c r="M544"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4" s="190"/>
      <c r="O544"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4" s="190"/>
      <c r="Q5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4" s="192">
        <f ca="1">Table66[[#This Row],[Year 1 (Specified in RFO) - N/A]]+Table66[[#This Row],[Year 2 (Specified in RFO) - N/A]]+Table66[[#This Row],[Year 3 (Specified in RFO) - N/A]]+Table66[[#This Row],[Year 4 (Specified in RFO) - N/A]]+Table66[[#This Row],[Year 5 (Specified in RFO) - N/A]]+Table66[[#This Row],[Year 6 (Specified in RFO) - N/A]]</f>
        <v>0</v>
      </c>
      <c r="S544" s="402">
        <f ca="1">Table66[[#This Row],[Year 1  (Proposed)]]+Table66[[#This Row],[Year 2 (Proposed)]]+Table66[[#This Row],[Year 3 (Proposed)]]+Table66[[#This Row],[Year 4 (Proposed)]]+Table66[[#This Row],[Year 5 (Proposed)]]+Table66[[#This Row],[Year 6 (Proposed)]]</f>
        <v>0</v>
      </c>
      <c r="T544" s="403" t="b">
        <f ca="1">Table66[[#This Row],[Total Specifed in RFO - N/A]]=Table66[[#This Row],[Total Proposed]]</f>
        <v>1</v>
      </c>
      <c r="U544" s="439"/>
      <c r="V544" s="441">
        <f ca="1">Table66[[#This Row],[Year 6 (Specified in RFO) - N/A]]-Table66[[#This Row],[Column1]]</f>
        <v>0</v>
      </c>
    </row>
    <row r="545" spans="1:22" ht="16.5" thickBot="1">
      <c r="A545" s="227"/>
      <c r="B545" s="227"/>
      <c r="C545" s="227"/>
      <c r="D545" s="231"/>
      <c r="E545" s="231"/>
      <c r="F545" s="190"/>
      <c r="G5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5" s="190"/>
      <c r="I5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5" s="190"/>
      <c r="K5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5" s="190"/>
      <c r="M545"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5" s="190"/>
      <c r="O545"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5" s="190"/>
      <c r="Q5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5" s="192">
        <f ca="1">Table66[[#This Row],[Year 1 (Specified in RFO) - N/A]]+Table66[[#This Row],[Year 2 (Specified in RFO) - N/A]]+Table66[[#This Row],[Year 3 (Specified in RFO) - N/A]]+Table66[[#This Row],[Year 4 (Specified in RFO) - N/A]]+Table66[[#This Row],[Year 5 (Specified in RFO) - N/A]]+Table66[[#This Row],[Year 6 (Specified in RFO) - N/A]]</f>
        <v>0</v>
      </c>
      <c r="S545" s="402">
        <f ca="1">Table66[[#This Row],[Year 1  (Proposed)]]+Table66[[#This Row],[Year 2 (Proposed)]]+Table66[[#This Row],[Year 3 (Proposed)]]+Table66[[#This Row],[Year 4 (Proposed)]]+Table66[[#This Row],[Year 5 (Proposed)]]+Table66[[#This Row],[Year 6 (Proposed)]]</f>
        <v>0</v>
      </c>
      <c r="T545" s="403" t="b">
        <f ca="1">Table66[[#This Row],[Total Specifed in RFO - N/A]]=Table66[[#This Row],[Total Proposed]]</f>
        <v>1</v>
      </c>
      <c r="U545" s="439"/>
      <c r="V545" s="441">
        <f ca="1">Table66[[#This Row],[Year 6 (Specified in RFO) - N/A]]-Table66[[#This Row],[Column1]]</f>
        <v>0</v>
      </c>
    </row>
    <row r="546" spans="1:22" ht="16.5" thickBot="1">
      <c r="A546" s="227"/>
      <c r="B546" s="319"/>
      <c r="C546" s="319"/>
      <c r="D546" s="320"/>
      <c r="E546" s="320"/>
      <c r="F546" s="190"/>
      <c r="G5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6" s="190"/>
      <c r="I5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6" s="190"/>
      <c r="K5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6" s="190"/>
      <c r="M5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6" s="190"/>
      <c r="O5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6" s="190"/>
      <c r="Q5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6" s="192">
        <f ca="1">Table66[[#This Row],[Year 1 (Specified in RFO) - N/A]]+Table66[[#This Row],[Year 2 (Specified in RFO) - N/A]]+Table66[[#This Row],[Year 3 (Specified in RFO) - N/A]]+Table66[[#This Row],[Year 4 (Specified in RFO) - N/A]]+Table66[[#This Row],[Year 5 (Specified in RFO) - N/A]]+Table66[[#This Row],[Year 6 (Specified in RFO) - N/A]]</f>
        <v>0</v>
      </c>
      <c r="S546" s="402">
        <f ca="1">Table66[[#This Row],[Year 1  (Proposed)]]+Table66[[#This Row],[Year 2 (Proposed)]]+Table66[[#This Row],[Year 3 (Proposed)]]+Table66[[#This Row],[Year 4 (Proposed)]]+Table66[[#This Row],[Year 5 (Proposed)]]+Table66[[#This Row],[Year 6 (Proposed)]]</f>
        <v>0</v>
      </c>
      <c r="T546" s="403" t="b">
        <f ca="1">Table66[[#This Row],[Total Specifed in RFO - N/A]]=Table66[[#This Row],[Total Proposed]]</f>
        <v>1</v>
      </c>
      <c r="U546" s="439"/>
      <c r="V546" s="441">
        <f ca="1">Table66[[#This Row],[Year 6 (Specified in RFO) - N/A]]-Table66[[#This Row],[Column1]]</f>
        <v>0</v>
      </c>
    </row>
    <row r="547" spans="1:22" ht="16.5" thickBot="1">
      <c r="A547" s="319"/>
      <c r="B547" s="319"/>
      <c r="C547" s="319"/>
      <c r="D547" s="320"/>
      <c r="E547" s="320"/>
      <c r="F547" s="190"/>
      <c r="G5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7" s="190"/>
      <c r="I5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7" s="190"/>
      <c r="K5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7" s="190"/>
      <c r="M547"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7" s="190"/>
      <c r="O547"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7" s="190"/>
      <c r="Q5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7" s="192">
        <f ca="1">Table66[[#This Row],[Year 1 (Specified in RFO) - N/A]]+Table66[[#This Row],[Year 2 (Specified in RFO) - N/A]]+Table66[[#This Row],[Year 3 (Specified in RFO) - N/A]]+Table66[[#This Row],[Year 4 (Specified in RFO) - N/A]]+Table66[[#This Row],[Year 5 (Specified in RFO) - N/A]]+Table66[[#This Row],[Year 6 (Specified in RFO) - N/A]]</f>
        <v>0</v>
      </c>
      <c r="S547" s="402">
        <f ca="1">Table66[[#This Row],[Year 1  (Proposed)]]+Table66[[#This Row],[Year 2 (Proposed)]]+Table66[[#This Row],[Year 3 (Proposed)]]+Table66[[#This Row],[Year 4 (Proposed)]]+Table66[[#This Row],[Year 5 (Proposed)]]+Table66[[#This Row],[Year 6 (Proposed)]]</f>
        <v>0</v>
      </c>
      <c r="T547" s="403" t="b">
        <f ca="1">Table66[[#This Row],[Total Specifed in RFO - N/A]]=Table66[[#This Row],[Total Proposed]]</f>
        <v>1</v>
      </c>
      <c r="U547" s="439"/>
      <c r="V547" s="441">
        <f ca="1">Table66[[#This Row],[Year 6 (Specified in RFO) - N/A]]-Table66[[#This Row],[Column1]]</f>
        <v>0</v>
      </c>
    </row>
    <row r="548" spans="1:22" ht="16.5" thickBot="1">
      <c r="A548" s="227"/>
      <c r="B548" s="227"/>
      <c r="C548" s="227"/>
      <c r="D548" s="231"/>
      <c r="E548" s="231"/>
      <c r="F548" s="190"/>
      <c r="G5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8" s="190"/>
      <c r="I5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8" s="190"/>
      <c r="K5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8" s="190"/>
      <c r="M548"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8" s="190"/>
      <c r="O548"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8" s="190"/>
      <c r="Q5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8" s="192">
        <f ca="1">Table66[[#This Row],[Year 1 (Specified in RFO) - N/A]]+Table66[[#This Row],[Year 2 (Specified in RFO) - N/A]]+Table66[[#This Row],[Year 3 (Specified in RFO) - N/A]]+Table66[[#This Row],[Year 4 (Specified in RFO) - N/A]]+Table66[[#This Row],[Year 5 (Specified in RFO) - N/A]]+Table66[[#This Row],[Year 6 (Specified in RFO) - N/A]]</f>
        <v>0</v>
      </c>
      <c r="S548" s="402">
        <f ca="1">Table66[[#This Row],[Year 1  (Proposed)]]+Table66[[#This Row],[Year 2 (Proposed)]]+Table66[[#This Row],[Year 3 (Proposed)]]+Table66[[#This Row],[Year 4 (Proposed)]]+Table66[[#This Row],[Year 5 (Proposed)]]+Table66[[#This Row],[Year 6 (Proposed)]]</f>
        <v>0</v>
      </c>
      <c r="T548" s="403" t="b">
        <f ca="1">Table66[[#This Row],[Total Specifed in RFO - N/A]]=Table66[[#This Row],[Total Proposed]]</f>
        <v>1</v>
      </c>
      <c r="U548" s="439"/>
      <c r="V548" s="441">
        <f ca="1">Table66[[#This Row],[Year 6 (Specified in RFO) - N/A]]-Table66[[#This Row],[Column1]]</f>
        <v>0</v>
      </c>
    </row>
    <row r="549" spans="1:22" ht="16.5" thickBot="1">
      <c r="A549" s="227"/>
      <c r="B549" s="319"/>
      <c r="C549" s="319"/>
      <c r="D549" s="320"/>
      <c r="E549" s="320"/>
      <c r="F549" s="190"/>
      <c r="G5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9" s="190"/>
      <c r="I5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9" s="190"/>
      <c r="K5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9" s="190"/>
      <c r="M5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9" s="190"/>
      <c r="O5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9" s="190"/>
      <c r="Q5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9" s="192">
        <f ca="1">Table66[[#This Row],[Year 1 (Specified in RFO) - N/A]]+Table66[[#This Row],[Year 2 (Specified in RFO) - N/A]]+Table66[[#This Row],[Year 3 (Specified in RFO) - N/A]]+Table66[[#This Row],[Year 4 (Specified in RFO) - N/A]]+Table66[[#This Row],[Year 5 (Specified in RFO) - N/A]]+Table66[[#This Row],[Year 6 (Specified in RFO) - N/A]]</f>
        <v>0</v>
      </c>
      <c r="S549" s="402">
        <f ca="1">Table66[[#This Row],[Year 1  (Proposed)]]+Table66[[#This Row],[Year 2 (Proposed)]]+Table66[[#This Row],[Year 3 (Proposed)]]+Table66[[#This Row],[Year 4 (Proposed)]]+Table66[[#This Row],[Year 5 (Proposed)]]+Table66[[#This Row],[Year 6 (Proposed)]]</f>
        <v>0</v>
      </c>
      <c r="T549" s="403" t="b">
        <f ca="1">Table66[[#This Row],[Total Specifed in RFO - N/A]]=Table66[[#This Row],[Total Proposed]]</f>
        <v>1</v>
      </c>
      <c r="U549" s="439"/>
      <c r="V549" s="441">
        <f ca="1">Table66[[#This Row],[Year 6 (Specified in RFO) - N/A]]-Table66[[#This Row],[Column1]]</f>
        <v>0</v>
      </c>
    </row>
    <row r="550" spans="1:22" ht="16.5" thickBot="1">
      <c r="A550" s="319"/>
      <c r="B550" s="319"/>
      <c r="C550" s="319"/>
      <c r="D550" s="320"/>
      <c r="E550" s="320"/>
      <c r="F550" s="190"/>
      <c r="G5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0" s="190"/>
      <c r="I5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0" s="190"/>
      <c r="K5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0" s="190"/>
      <c r="M550"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0" s="190"/>
      <c r="O550"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0" s="190"/>
      <c r="Q5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0" s="192">
        <f ca="1">Table66[[#This Row],[Year 1 (Specified in RFO) - N/A]]+Table66[[#This Row],[Year 2 (Specified in RFO) - N/A]]+Table66[[#This Row],[Year 3 (Specified in RFO) - N/A]]+Table66[[#This Row],[Year 4 (Specified in RFO) - N/A]]+Table66[[#This Row],[Year 5 (Specified in RFO) - N/A]]+Table66[[#This Row],[Year 6 (Specified in RFO) - N/A]]</f>
        <v>0</v>
      </c>
      <c r="S550" s="402">
        <f ca="1">Table66[[#This Row],[Year 1  (Proposed)]]+Table66[[#This Row],[Year 2 (Proposed)]]+Table66[[#This Row],[Year 3 (Proposed)]]+Table66[[#This Row],[Year 4 (Proposed)]]+Table66[[#This Row],[Year 5 (Proposed)]]+Table66[[#This Row],[Year 6 (Proposed)]]</f>
        <v>0</v>
      </c>
      <c r="T550" s="403" t="b">
        <f ca="1">Table66[[#This Row],[Total Specifed in RFO - N/A]]=Table66[[#This Row],[Total Proposed]]</f>
        <v>1</v>
      </c>
      <c r="U550" s="439"/>
      <c r="V550" s="441">
        <f ca="1">Table66[[#This Row],[Year 6 (Specified in RFO) - N/A]]-Table66[[#This Row],[Column1]]</f>
        <v>0</v>
      </c>
    </row>
    <row r="551" spans="1:22" ht="16.5" thickBot="1">
      <c r="A551" s="227"/>
      <c r="B551" s="227"/>
      <c r="C551" s="227"/>
      <c r="D551" s="231"/>
      <c r="E551" s="231"/>
      <c r="F551" s="190"/>
      <c r="G5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1" s="190"/>
      <c r="I5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1" s="190"/>
      <c r="K5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1" s="190"/>
      <c r="M551"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1" s="190"/>
      <c r="O551"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1" s="190"/>
      <c r="Q5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1" s="192">
        <f ca="1">Table66[[#This Row],[Year 1 (Specified in RFO) - N/A]]+Table66[[#This Row],[Year 2 (Specified in RFO) - N/A]]+Table66[[#This Row],[Year 3 (Specified in RFO) - N/A]]+Table66[[#This Row],[Year 4 (Specified in RFO) - N/A]]+Table66[[#This Row],[Year 5 (Specified in RFO) - N/A]]+Table66[[#This Row],[Year 6 (Specified in RFO) - N/A]]</f>
        <v>0</v>
      </c>
      <c r="S551" s="402">
        <f ca="1">Table66[[#This Row],[Year 1  (Proposed)]]+Table66[[#This Row],[Year 2 (Proposed)]]+Table66[[#This Row],[Year 3 (Proposed)]]+Table66[[#This Row],[Year 4 (Proposed)]]+Table66[[#This Row],[Year 5 (Proposed)]]+Table66[[#This Row],[Year 6 (Proposed)]]</f>
        <v>0</v>
      </c>
      <c r="T551" s="403" t="b">
        <f ca="1">Table66[[#This Row],[Total Specifed in RFO - N/A]]=Table66[[#This Row],[Total Proposed]]</f>
        <v>1</v>
      </c>
      <c r="U551" s="439"/>
      <c r="V551" s="441">
        <f ca="1">Table66[[#This Row],[Year 6 (Specified in RFO) - N/A]]-Table66[[#This Row],[Column1]]</f>
        <v>0</v>
      </c>
    </row>
    <row r="552" spans="1:22" ht="16.5" thickBot="1">
      <c r="A552" s="227"/>
      <c r="B552" s="319"/>
      <c r="C552" s="319"/>
      <c r="D552" s="320"/>
      <c r="E552" s="320"/>
      <c r="F552" s="190"/>
      <c r="G5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2" s="190"/>
      <c r="I5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2" s="190"/>
      <c r="K5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2" s="190"/>
      <c r="M5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2" s="190"/>
      <c r="O5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2" s="190"/>
      <c r="Q5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2" s="192">
        <f ca="1">Table66[[#This Row],[Year 1 (Specified in RFO) - N/A]]+Table66[[#This Row],[Year 2 (Specified in RFO) - N/A]]+Table66[[#This Row],[Year 3 (Specified in RFO) - N/A]]+Table66[[#This Row],[Year 4 (Specified in RFO) - N/A]]+Table66[[#This Row],[Year 5 (Specified in RFO) - N/A]]+Table66[[#This Row],[Year 6 (Specified in RFO) - N/A]]</f>
        <v>0</v>
      </c>
      <c r="S552" s="402">
        <f ca="1">Table66[[#This Row],[Year 1  (Proposed)]]+Table66[[#This Row],[Year 2 (Proposed)]]+Table66[[#This Row],[Year 3 (Proposed)]]+Table66[[#This Row],[Year 4 (Proposed)]]+Table66[[#This Row],[Year 5 (Proposed)]]+Table66[[#This Row],[Year 6 (Proposed)]]</f>
        <v>0</v>
      </c>
      <c r="T552" s="403" t="b">
        <f ca="1">Table66[[#This Row],[Total Specifed in RFO - N/A]]=Table66[[#This Row],[Total Proposed]]</f>
        <v>1</v>
      </c>
      <c r="U552" s="439"/>
      <c r="V552" s="441">
        <f ca="1">Table66[[#This Row],[Year 6 (Specified in RFO) - N/A]]-Table66[[#This Row],[Column1]]</f>
        <v>0</v>
      </c>
    </row>
    <row r="553" spans="1:22" ht="16.5" thickBot="1">
      <c r="A553" s="319"/>
      <c r="B553" s="319"/>
      <c r="C553" s="319"/>
      <c r="D553" s="320"/>
      <c r="E553" s="320"/>
      <c r="F553" s="190"/>
      <c r="G5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3" s="190"/>
      <c r="I5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3" s="190"/>
      <c r="K5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3" s="190"/>
      <c r="M553"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3" s="190"/>
      <c r="O553"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3" s="190"/>
      <c r="Q5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3" s="192">
        <f ca="1">Table66[[#This Row],[Year 1 (Specified in RFO) - N/A]]+Table66[[#This Row],[Year 2 (Specified in RFO) - N/A]]+Table66[[#This Row],[Year 3 (Specified in RFO) - N/A]]+Table66[[#This Row],[Year 4 (Specified in RFO) - N/A]]+Table66[[#This Row],[Year 5 (Specified in RFO) - N/A]]+Table66[[#This Row],[Year 6 (Specified in RFO) - N/A]]</f>
        <v>0</v>
      </c>
      <c r="S553" s="402">
        <f ca="1">Table66[[#This Row],[Year 1  (Proposed)]]+Table66[[#This Row],[Year 2 (Proposed)]]+Table66[[#This Row],[Year 3 (Proposed)]]+Table66[[#This Row],[Year 4 (Proposed)]]+Table66[[#This Row],[Year 5 (Proposed)]]+Table66[[#This Row],[Year 6 (Proposed)]]</f>
        <v>0</v>
      </c>
      <c r="T553" s="403" t="b">
        <f ca="1">Table66[[#This Row],[Total Specifed in RFO - N/A]]=Table66[[#This Row],[Total Proposed]]</f>
        <v>1</v>
      </c>
      <c r="U553" s="439"/>
      <c r="V553" s="441">
        <f ca="1">Table66[[#This Row],[Year 6 (Specified in RFO) - N/A]]-Table66[[#This Row],[Column1]]</f>
        <v>0</v>
      </c>
    </row>
    <row r="554" spans="1:22" ht="16.5" thickBot="1">
      <c r="A554" s="227"/>
      <c r="B554" s="227"/>
      <c r="C554" s="227"/>
      <c r="D554" s="231"/>
      <c r="E554" s="231"/>
      <c r="F554" s="190"/>
      <c r="G5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4" s="190"/>
      <c r="I5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4" s="190"/>
      <c r="K5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4" s="190"/>
      <c r="M554"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4" s="190"/>
      <c r="O554"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4" s="190"/>
      <c r="Q5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4" s="192">
        <f ca="1">Table66[[#This Row],[Year 1 (Specified in RFO) - N/A]]+Table66[[#This Row],[Year 2 (Specified in RFO) - N/A]]+Table66[[#This Row],[Year 3 (Specified in RFO) - N/A]]+Table66[[#This Row],[Year 4 (Specified in RFO) - N/A]]+Table66[[#This Row],[Year 5 (Specified in RFO) - N/A]]+Table66[[#This Row],[Year 6 (Specified in RFO) - N/A]]</f>
        <v>0</v>
      </c>
      <c r="S554" s="402">
        <f ca="1">Table66[[#This Row],[Year 1  (Proposed)]]+Table66[[#This Row],[Year 2 (Proposed)]]+Table66[[#This Row],[Year 3 (Proposed)]]+Table66[[#This Row],[Year 4 (Proposed)]]+Table66[[#This Row],[Year 5 (Proposed)]]+Table66[[#This Row],[Year 6 (Proposed)]]</f>
        <v>0</v>
      </c>
      <c r="T554" s="403" t="b">
        <f ca="1">Table66[[#This Row],[Total Specifed in RFO - N/A]]=Table66[[#This Row],[Total Proposed]]</f>
        <v>1</v>
      </c>
      <c r="U554" s="439"/>
      <c r="V554" s="441">
        <f ca="1">Table66[[#This Row],[Year 6 (Specified in RFO) - N/A]]-Table66[[#This Row],[Column1]]</f>
        <v>0</v>
      </c>
    </row>
    <row r="555" spans="1:22" ht="16.5" thickBot="1">
      <c r="A555" s="227"/>
      <c r="B555" s="319"/>
      <c r="C555" s="319"/>
      <c r="D555" s="320"/>
      <c r="E555" s="320"/>
      <c r="F555" s="190"/>
      <c r="G5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5" s="190"/>
      <c r="I5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5" s="190"/>
      <c r="K5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5" s="190"/>
      <c r="M5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5" s="190"/>
      <c r="O5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5" s="190"/>
      <c r="Q5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5" s="192">
        <f ca="1">Table66[[#This Row],[Year 1 (Specified in RFO) - N/A]]+Table66[[#This Row],[Year 2 (Specified in RFO) - N/A]]+Table66[[#This Row],[Year 3 (Specified in RFO) - N/A]]+Table66[[#This Row],[Year 4 (Specified in RFO) - N/A]]+Table66[[#This Row],[Year 5 (Specified in RFO) - N/A]]+Table66[[#This Row],[Year 6 (Specified in RFO) - N/A]]</f>
        <v>0</v>
      </c>
      <c r="S555" s="402">
        <f ca="1">Table66[[#This Row],[Year 1  (Proposed)]]+Table66[[#This Row],[Year 2 (Proposed)]]+Table66[[#This Row],[Year 3 (Proposed)]]+Table66[[#This Row],[Year 4 (Proposed)]]+Table66[[#This Row],[Year 5 (Proposed)]]+Table66[[#This Row],[Year 6 (Proposed)]]</f>
        <v>0</v>
      </c>
      <c r="T555" s="403" t="b">
        <f ca="1">Table66[[#This Row],[Total Specifed in RFO - N/A]]=Table66[[#This Row],[Total Proposed]]</f>
        <v>1</v>
      </c>
      <c r="U555" s="439"/>
      <c r="V555" s="441">
        <f ca="1">Table66[[#This Row],[Year 6 (Specified in RFO) - N/A]]-Table66[[#This Row],[Column1]]</f>
        <v>0</v>
      </c>
    </row>
    <row r="556" spans="1:22" ht="16.5" thickBot="1">
      <c r="A556" s="319"/>
      <c r="B556" s="319"/>
      <c r="C556" s="319"/>
      <c r="D556" s="320"/>
      <c r="E556" s="320"/>
      <c r="F556" s="190"/>
      <c r="G5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6" s="190"/>
      <c r="I5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6" s="190"/>
      <c r="K5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6" s="190"/>
      <c r="M5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6" s="190"/>
      <c r="O5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6" s="190"/>
      <c r="Q5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6" s="192">
        <f ca="1">Table66[[#This Row],[Year 1 (Specified in RFO) - N/A]]+Table66[[#This Row],[Year 2 (Specified in RFO) - N/A]]+Table66[[#This Row],[Year 3 (Specified in RFO) - N/A]]+Table66[[#This Row],[Year 4 (Specified in RFO) - N/A]]+Table66[[#This Row],[Year 5 (Specified in RFO) - N/A]]+Table66[[#This Row],[Year 6 (Specified in RFO) - N/A]]</f>
        <v>0</v>
      </c>
      <c r="S556" s="402">
        <f ca="1">Table66[[#This Row],[Year 1  (Proposed)]]+Table66[[#This Row],[Year 2 (Proposed)]]+Table66[[#This Row],[Year 3 (Proposed)]]+Table66[[#This Row],[Year 4 (Proposed)]]+Table66[[#This Row],[Year 5 (Proposed)]]+Table66[[#This Row],[Year 6 (Proposed)]]</f>
        <v>0</v>
      </c>
      <c r="T556" s="403" t="b">
        <f ca="1">Table66[[#This Row],[Total Specifed in RFO - N/A]]=Table66[[#This Row],[Total Proposed]]</f>
        <v>1</v>
      </c>
      <c r="U556" s="439"/>
      <c r="V556" s="441">
        <f ca="1">Table66[[#This Row],[Year 6 (Specified in RFO) - N/A]]-Table66[[#This Row],[Column1]]</f>
        <v>0</v>
      </c>
    </row>
    <row r="557" spans="1:22" ht="16.5" thickBot="1">
      <c r="A557" s="227"/>
      <c r="B557" s="227"/>
      <c r="C557" s="227"/>
      <c r="D557" s="231"/>
      <c r="E557" s="231"/>
      <c r="F557" s="190"/>
      <c r="G5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7" s="190"/>
      <c r="I5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7" s="190"/>
      <c r="K5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7" s="190"/>
      <c r="M557"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7" s="190"/>
      <c r="O557"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7" s="190"/>
      <c r="Q5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7" s="192">
        <f ca="1">Table66[[#This Row],[Year 1 (Specified in RFO) - N/A]]+Table66[[#This Row],[Year 2 (Specified in RFO) - N/A]]+Table66[[#This Row],[Year 3 (Specified in RFO) - N/A]]+Table66[[#This Row],[Year 4 (Specified in RFO) - N/A]]+Table66[[#This Row],[Year 5 (Specified in RFO) - N/A]]+Table66[[#This Row],[Year 6 (Specified in RFO) - N/A]]</f>
        <v>0</v>
      </c>
      <c r="S557" s="402">
        <f ca="1">Table66[[#This Row],[Year 1  (Proposed)]]+Table66[[#This Row],[Year 2 (Proposed)]]+Table66[[#This Row],[Year 3 (Proposed)]]+Table66[[#This Row],[Year 4 (Proposed)]]+Table66[[#This Row],[Year 5 (Proposed)]]+Table66[[#This Row],[Year 6 (Proposed)]]</f>
        <v>0</v>
      </c>
      <c r="T557" s="403" t="b">
        <f ca="1">Table66[[#This Row],[Total Specifed in RFO - N/A]]=Table66[[#This Row],[Total Proposed]]</f>
        <v>1</v>
      </c>
      <c r="U557" s="439"/>
      <c r="V557" s="441">
        <f ca="1">Table66[[#This Row],[Year 6 (Specified in RFO) - N/A]]-Table66[[#This Row],[Column1]]</f>
        <v>0</v>
      </c>
    </row>
    <row r="558" spans="1:22" ht="16.5" thickBot="1">
      <c r="A558" s="227"/>
      <c r="B558" s="319"/>
      <c r="C558" s="319"/>
      <c r="D558" s="320"/>
      <c r="E558" s="320"/>
      <c r="F558" s="190"/>
      <c r="G5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8" s="190"/>
      <c r="I5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8" s="190"/>
      <c r="K5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8" s="190"/>
      <c r="M5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8" s="190"/>
      <c r="O5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8" s="190"/>
      <c r="Q5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8" s="192">
        <f ca="1">Table66[[#This Row],[Year 1 (Specified in RFO) - N/A]]+Table66[[#This Row],[Year 2 (Specified in RFO) - N/A]]+Table66[[#This Row],[Year 3 (Specified in RFO) - N/A]]+Table66[[#This Row],[Year 4 (Specified in RFO) - N/A]]+Table66[[#This Row],[Year 5 (Specified in RFO) - N/A]]+Table66[[#This Row],[Year 6 (Specified in RFO) - N/A]]</f>
        <v>0</v>
      </c>
      <c r="S558" s="402">
        <f ca="1">Table66[[#This Row],[Year 1  (Proposed)]]+Table66[[#This Row],[Year 2 (Proposed)]]+Table66[[#This Row],[Year 3 (Proposed)]]+Table66[[#This Row],[Year 4 (Proposed)]]+Table66[[#This Row],[Year 5 (Proposed)]]+Table66[[#This Row],[Year 6 (Proposed)]]</f>
        <v>0</v>
      </c>
      <c r="T558" s="403" t="b">
        <f ca="1">Table66[[#This Row],[Total Specifed in RFO - N/A]]=Table66[[#This Row],[Total Proposed]]</f>
        <v>1</v>
      </c>
      <c r="U558" s="439"/>
      <c r="V558" s="441">
        <f ca="1">Table66[[#This Row],[Year 6 (Specified in RFO) - N/A]]-Table66[[#This Row],[Column1]]</f>
        <v>0</v>
      </c>
    </row>
    <row r="559" spans="1:22" ht="16.5" thickBot="1">
      <c r="A559" s="319"/>
      <c r="B559" s="319"/>
      <c r="C559" s="319"/>
      <c r="D559" s="320"/>
      <c r="E559" s="320"/>
      <c r="F559" s="190"/>
      <c r="G5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9" s="190"/>
      <c r="I5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9" s="190"/>
      <c r="K5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9" s="190"/>
      <c r="M5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9" s="190"/>
      <c r="O5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9" s="190"/>
      <c r="Q5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9" s="192">
        <f ca="1">Table66[[#This Row],[Year 1 (Specified in RFO) - N/A]]+Table66[[#This Row],[Year 2 (Specified in RFO) - N/A]]+Table66[[#This Row],[Year 3 (Specified in RFO) - N/A]]+Table66[[#This Row],[Year 4 (Specified in RFO) - N/A]]+Table66[[#This Row],[Year 5 (Specified in RFO) - N/A]]+Table66[[#This Row],[Year 6 (Specified in RFO) - N/A]]</f>
        <v>0</v>
      </c>
      <c r="S559" s="402">
        <f ca="1">Table66[[#This Row],[Year 1  (Proposed)]]+Table66[[#This Row],[Year 2 (Proposed)]]+Table66[[#This Row],[Year 3 (Proposed)]]+Table66[[#This Row],[Year 4 (Proposed)]]+Table66[[#This Row],[Year 5 (Proposed)]]+Table66[[#This Row],[Year 6 (Proposed)]]</f>
        <v>0</v>
      </c>
      <c r="T559" s="403" t="b">
        <f ca="1">Table66[[#This Row],[Total Specifed in RFO - N/A]]=Table66[[#This Row],[Total Proposed]]</f>
        <v>1</v>
      </c>
      <c r="U559" s="439"/>
      <c r="V559" s="441">
        <f ca="1">Table66[[#This Row],[Year 6 (Specified in RFO) - N/A]]-Table66[[#This Row],[Column1]]</f>
        <v>0</v>
      </c>
    </row>
    <row r="560" spans="1:22" ht="16.5" thickBot="1">
      <c r="A560" s="227"/>
      <c r="B560" s="227"/>
      <c r="C560" s="227"/>
      <c r="D560" s="231"/>
      <c r="E560" s="231"/>
      <c r="F560" s="190"/>
      <c r="G5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0" s="190"/>
      <c r="I5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0" s="190"/>
      <c r="K5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0" s="190"/>
      <c r="M5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0" s="190"/>
      <c r="O5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0" s="190"/>
      <c r="Q5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0" s="192">
        <f ca="1">Table66[[#This Row],[Year 1 (Specified in RFO) - N/A]]+Table66[[#This Row],[Year 2 (Specified in RFO) - N/A]]+Table66[[#This Row],[Year 3 (Specified in RFO) - N/A]]+Table66[[#This Row],[Year 4 (Specified in RFO) - N/A]]+Table66[[#This Row],[Year 5 (Specified in RFO) - N/A]]+Table66[[#This Row],[Year 6 (Specified in RFO) - N/A]]</f>
        <v>0</v>
      </c>
      <c r="S560" s="402">
        <f ca="1">Table66[[#This Row],[Year 1  (Proposed)]]+Table66[[#This Row],[Year 2 (Proposed)]]+Table66[[#This Row],[Year 3 (Proposed)]]+Table66[[#This Row],[Year 4 (Proposed)]]+Table66[[#This Row],[Year 5 (Proposed)]]+Table66[[#This Row],[Year 6 (Proposed)]]</f>
        <v>0</v>
      </c>
      <c r="T560" s="403" t="b">
        <f ca="1">Table66[[#This Row],[Total Specifed in RFO - N/A]]=Table66[[#This Row],[Total Proposed]]</f>
        <v>1</v>
      </c>
      <c r="U560" s="439"/>
      <c r="V560" s="441">
        <f ca="1">Table66[[#This Row],[Year 6 (Specified in RFO) - N/A]]-Table66[[#This Row],[Column1]]</f>
        <v>0</v>
      </c>
    </row>
    <row r="561" spans="1:22" ht="16.5" thickBot="1">
      <c r="A561" s="227"/>
      <c r="B561" s="319"/>
      <c r="C561" s="319"/>
      <c r="D561" s="320"/>
      <c r="E561" s="320"/>
      <c r="F561" s="190"/>
      <c r="G5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1" s="190"/>
      <c r="I5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1" s="190"/>
      <c r="K5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1" s="190"/>
      <c r="M5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1" s="190"/>
      <c r="O5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1" s="190"/>
      <c r="Q5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1" s="192">
        <f ca="1">Table66[[#This Row],[Year 1 (Specified in RFO) - N/A]]+Table66[[#This Row],[Year 2 (Specified in RFO) - N/A]]+Table66[[#This Row],[Year 3 (Specified in RFO) - N/A]]+Table66[[#This Row],[Year 4 (Specified in RFO) - N/A]]+Table66[[#This Row],[Year 5 (Specified in RFO) - N/A]]+Table66[[#This Row],[Year 6 (Specified in RFO) - N/A]]</f>
        <v>0</v>
      </c>
      <c r="S561" s="402">
        <f ca="1">Table66[[#This Row],[Year 1  (Proposed)]]+Table66[[#This Row],[Year 2 (Proposed)]]+Table66[[#This Row],[Year 3 (Proposed)]]+Table66[[#This Row],[Year 4 (Proposed)]]+Table66[[#This Row],[Year 5 (Proposed)]]+Table66[[#This Row],[Year 6 (Proposed)]]</f>
        <v>0</v>
      </c>
      <c r="T561" s="403" t="b">
        <f ca="1">Table66[[#This Row],[Total Specifed in RFO - N/A]]=Table66[[#This Row],[Total Proposed]]</f>
        <v>1</v>
      </c>
      <c r="U561" s="439"/>
      <c r="V561" s="441">
        <f ca="1">Table66[[#This Row],[Year 6 (Specified in RFO) - N/A]]-Table66[[#This Row],[Column1]]</f>
        <v>0</v>
      </c>
    </row>
    <row r="562" spans="1:22" ht="16.5" thickBot="1">
      <c r="A562" s="319"/>
      <c r="B562" s="319"/>
      <c r="C562" s="319"/>
      <c r="D562" s="320"/>
      <c r="E562" s="320"/>
      <c r="F562" s="190"/>
      <c r="G5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2" s="190"/>
      <c r="I5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2" s="190"/>
      <c r="K5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2" s="190"/>
      <c r="M562"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2" s="190"/>
      <c r="O562"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2" s="190"/>
      <c r="Q5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2" s="192">
        <f ca="1">Table66[[#This Row],[Year 1 (Specified in RFO) - N/A]]+Table66[[#This Row],[Year 2 (Specified in RFO) - N/A]]+Table66[[#This Row],[Year 3 (Specified in RFO) - N/A]]+Table66[[#This Row],[Year 4 (Specified in RFO) - N/A]]+Table66[[#This Row],[Year 5 (Specified in RFO) - N/A]]+Table66[[#This Row],[Year 6 (Specified in RFO) - N/A]]</f>
        <v>0</v>
      </c>
      <c r="S562" s="402">
        <f ca="1">Table66[[#This Row],[Year 1  (Proposed)]]+Table66[[#This Row],[Year 2 (Proposed)]]+Table66[[#This Row],[Year 3 (Proposed)]]+Table66[[#This Row],[Year 4 (Proposed)]]+Table66[[#This Row],[Year 5 (Proposed)]]+Table66[[#This Row],[Year 6 (Proposed)]]</f>
        <v>0</v>
      </c>
      <c r="T562" s="403" t="b">
        <f ca="1">Table66[[#This Row],[Total Specifed in RFO - N/A]]=Table66[[#This Row],[Total Proposed]]</f>
        <v>1</v>
      </c>
      <c r="U562" s="439"/>
      <c r="V562" s="441">
        <f ca="1">Table66[[#This Row],[Year 6 (Specified in RFO) - N/A]]-Table66[[#This Row],[Column1]]</f>
        <v>0</v>
      </c>
    </row>
    <row r="563" spans="1:22" ht="16.5" thickBot="1">
      <c r="A563" s="227"/>
      <c r="B563" s="227"/>
      <c r="C563" s="227"/>
      <c r="D563" s="231"/>
      <c r="E563" s="231"/>
      <c r="F563" s="190"/>
      <c r="G5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3" s="190"/>
      <c r="I5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3" s="190"/>
      <c r="K5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3" s="190"/>
      <c r="M563"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3" s="190"/>
      <c r="O563"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3" s="190"/>
      <c r="Q5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3" s="192">
        <f ca="1">Table66[[#This Row],[Year 1 (Specified in RFO) - N/A]]+Table66[[#This Row],[Year 2 (Specified in RFO) - N/A]]+Table66[[#This Row],[Year 3 (Specified in RFO) - N/A]]+Table66[[#This Row],[Year 4 (Specified in RFO) - N/A]]+Table66[[#This Row],[Year 5 (Specified in RFO) - N/A]]+Table66[[#This Row],[Year 6 (Specified in RFO) - N/A]]</f>
        <v>0</v>
      </c>
      <c r="S563" s="402">
        <f ca="1">Table66[[#This Row],[Year 1  (Proposed)]]+Table66[[#This Row],[Year 2 (Proposed)]]+Table66[[#This Row],[Year 3 (Proposed)]]+Table66[[#This Row],[Year 4 (Proposed)]]+Table66[[#This Row],[Year 5 (Proposed)]]+Table66[[#This Row],[Year 6 (Proposed)]]</f>
        <v>0</v>
      </c>
      <c r="T563" s="403" t="b">
        <f ca="1">Table66[[#This Row],[Total Specifed in RFO - N/A]]=Table66[[#This Row],[Total Proposed]]</f>
        <v>1</v>
      </c>
      <c r="U563" s="439"/>
      <c r="V563" s="441">
        <f ca="1">Table66[[#This Row],[Year 6 (Specified in RFO) - N/A]]-Table66[[#This Row],[Column1]]</f>
        <v>0</v>
      </c>
    </row>
    <row r="564" spans="1:22" ht="16.5" thickBot="1">
      <c r="A564" s="227"/>
      <c r="B564" s="319"/>
      <c r="C564" s="319"/>
      <c r="D564" s="320"/>
      <c r="E564" s="320"/>
      <c r="F564" s="190"/>
      <c r="G5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4" s="190"/>
      <c r="I5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4" s="190"/>
      <c r="K5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4" s="190"/>
      <c r="M5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4" s="190"/>
      <c r="O5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4" s="190"/>
      <c r="Q5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4" s="192">
        <f ca="1">Table66[[#This Row],[Year 1 (Specified in RFO) - N/A]]+Table66[[#This Row],[Year 2 (Specified in RFO) - N/A]]+Table66[[#This Row],[Year 3 (Specified in RFO) - N/A]]+Table66[[#This Row],[Year 4 (Specified in RFO) - N/A]]+Table66[[#This Row],[Year 5 (Specified in RFO) - N/A]]+Table66[[#This Row],[Year 6 (Specified in RFO) - N/A]]</f>
        <v>0</v>
      </c>
      <c r="S564" s="402">
        <f ca="1">Table66[[#This Row],[Year 1  (Proposed)]]+Table66[[#This Row],[Year 2 (Proposed)]]+Table66[[#This Row],[Year 3 (Proposed)]]+Table66[[#This Row],[Year 4 (Proposed)]]+Table66[[#This Row],[Year 5 (Proposed)]]+Table66[[#This Row],[Year 6 (Proposed)]]</f>
        <v>0</v>
      </c>
      <c r="T564" s="403" t="b">
        <f ca="1">Table66[[#This Row],[Total Specifed in RFO - N/A]]=Table66[[#This Row],[Total Proposed]]</f>
        <v>1</v>
      </c>
      <c r="U564" s="439"/>
      <c r="V564" s="441">
        <f ca="1">Table66[[#This Row],[Year 6 (Specified in RFO) - N/A]]-Table66[[#This Row],[Column1]]</f>
        <v>0</v>
      </c>
    </row>
    <row r="565" spans="1:22" ht="16.5" thickBot="1">
      <c r="A565" s="319"/>
      <c r="B565" s="319"/>
      <c r="C565" s="319"/>
      <c r="D565" s="320"/>
      <c r="E565" s="320"/>
      <c r="F565" s="190"/>
      <c r="G5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5" s="190"/>
      <c r="I5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5" s="190"/>
      <c r="K5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5" s="190"/>
      <c r="M565"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5" s="190"/>
      <c r="O565"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5" s="190"/>
      <c r="Q5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5" s="192">
        <f ca="1">Table66[[#This Row],[Year 1 (Specified in RFO) - N/A]]+Table66[[#This Row],[Year 2 (Specified in RFO) - N/A]]+Table66[[#This Row],[Year 3 (Specified in RFO) - N/A]]+Table66[[#This Row],[Year 4 (Specified in RFO) - N/A]]+Table66[[#This Row],[Year 5 (Specified in RFO) - N/A]]+Table66[[#This Row],[Year 6 (Specified in RFO) - N/A]]</f>
        <v>0</v>
      </c>
      <c r="S565" s="402">
        <f ca="1">Table66[[#This Row],[Year 1  (Proposed)]]+Table66[[#This Row],[Year 2 (Proposed)]]+Table66[[#This Row],[Year 3 (Proposed)]]+Table66[[#This Row],[Year 4 (Proposed)]]+Table66[[#This Row],[Year 5 (Proposed)]]+Table66[[#This Row],[Year 6 (Proposed)]]</f>
        <v>0</v>
      </c>
      <c r="T565" s="403" t="b">
        <f ca="1">Table66[[#This Row],[Total Specifed in RFO - N/A]]=Table66[[#This Row],[Total Proposed]]</f>
        <v>1</v>
      </c>
      <c r="U565" s="439"/>
      <c r="V565" s="441">
        <f ca="1">Table66[[#This Row],[Year 6 (Specified in RFO) - N/A]]-Table66[[#This Row],[Column1]]</f>
        <v>0</v>
      </c>
    </row>
    <row r="566" spans="1:22" ht="16.5" thickBot="1">
      <c r="A566" s="227"/>
      <c r="B566" s="227"/>
      <c r="C566" s="227"/>
      <c r="D566" s="231"/>
      <c r="E566" s="231"/>
      <c r="F566" s="190"/>
      <c r="G5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6" s="190"/>
      <c r="I5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6" s="190"/>
      <c r="K5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6" s="190"/>
      <c r="M566"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6" s="190"/>
      <c r="O566"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6" s="190"/>
      <c r="Q5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6" s="192">
        <f ca="1">Table66[[#This Row],[Year 1 (Specified in RFO) - N/A]]+Table66[[#This Row],[Year 2 (Specified in RFO) - N/A]]+Table66[[#This Row],[Year 3 (Specified in RFO) - N/A]]+Table66[[#This Row],[Year 4 (Specified in RFO) - N/A]]+Table66[[#This Row],[Year 5 (Specified in RFO) - N/A]]+Table66[[#This Row],[Year 6 (Specified in RFO) - N/A]]</f>
        <v>0</v>
      </c>
      <c r="S566" s="402">
        <f ca="1">Table66[[#This Row],[Year 1  (Proposed)]]+Table66[[#This Row],[Year 2 (Proposed)]]+Table66[[#This Row],[Year 3 (Proposed)]]+Table66[[#This Row],[Year 4 (Proposed)]]+Table66[[#This Row],[Year 5 (Proposed)]]+Table66[[#This Row],[Year 6 (Proposed)]]</f>
        <v>0</v>
      </c>
      <c r="T566" s="403" t="b">
        <f ca="1">Table66[[#This Row],[Total Specifed in RFO - N/A]]=Table66[[#This Row],[Total Proposed]]</f>
        <v>1</v>
      </c>
      <c r="U566" s="439"/>
      <c r="V566" s="441">
        <f ca="1">Table66[[#This Row],[Year 6 (Specified in RFO) - N/A]]-Table66[[#This Row],[Column1]]</f>
        <v>0</v>
      </c>
    </row>
    <row r="567" spans="1:22" ht="16.5" thickBot="1">
      <c r="A567" s="227"/>
      <c r="B567" s="319"/>
      <c r="C567" s="319"/>
      <c r="D567" s="320"/>
      <c r="E567" s="320"/>
      <c r="F567" s="190"/>
      <c r="G5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7" s="190"/>
      <c r="I5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7" s="190"/>
      <c r="K5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7" s="190"/>
      <c r="M5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7" s="190"/>
      <c r="O5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7" s="190"/>
      <c r="Q5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7" s="192">
        <f ca="1">Table66[[#This Row],[Year 1 (Specified in RFO) - N/A]]+Table66[[#This Row],[Year 2 (Specified in RFO) - N/A]]+Table66[[#This Row],[Year 3 (Specified in RFO) - N/A]]+Table66[[#This Row],[Year 4 (Specified in RFO) - N/A]]+Table66[[#This Row],[Year 5 (Specified in RFO) - N/A]]+Table66[[#This Row],[Year 6 (Specified in RFO) - N/A]]</f>
        <v>0</v>
      </c>
      <c r="S567" s="402">
        <f ca="1">Table66[[#This Row],[Year 1  (Proposed)]]+Table66[[#This Row],[Year 2 (Proposed)]]+Table66[[#This Row],[Year 3 (Proposed)]]+Table66[[#This Row],[Year 4 (Proposed)]]+Table66[[#This Row],[Year 5 (Proposed)]]+Table66[[#This Row],[Year 6 (Proposed)]]</f>
        <v>0</v>
      </c>
      <c r="T567" s="403" t="b">
        <f ca="1">Table66[[#This Row],[Total Specifed in RFO - N/A]]=Table66[[#This Row],[Total Proposed]]</f>
        <v>1</v>
      </c>
      <c r="U567" s="439"/>
      <c r="V567" s="441">
        <f ca="1">Table66[[#This Row],[Year 6 (Specified in RFO) - N/A]]-Table66[[#This Row],[Column1]]</f>
        <v>0</v>
      </c>
    </row>
    <row r="568" spans="1:22" ht="16.5" thickBot="1">
      <c r="A568" s="319"/>
      <c r="B568" s="319"/>
      <c r="C568" s="319"/>
      <c r="D568" s="320"/>
      <c r="E568" s="320"/>
      <c r="F568" s="190"/>
      <c r="G5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8" s="190"/>
      <c r="I5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8" s="190"/>
      <c r="K5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8" s="190"/>
      <c r="M568"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8" s="190"/>
      <c r="O568"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8" s="190"/>
      <c r="Q5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8" s="192">
        <f ca="1">Table66[[#This Row],[Year 1 (Specified in RFO) - N/A]]+Table66[[#This Row],[Year 2 (Specified in RFO) - N/A]]+Table66[[#This Row],[Year 3 (Specified in RFO) - N/A]]+Table66[[#This Row],[Year 4 (Specified in RFO) - N/A]]+Table66[[#This Row],[Year 5 (Specified in RFO) - N/A]]+Table66[[#This Row],[Year 6 (Specified in RFO) - N/A]]</f>
        <v>0</v>
      </c>
      <c r="S568" s="402">
        <f ca="1">Table66[[#This Row],[Year 1  (Proposed)]]+Table66[[#This Row],[Year 2 (Proposed)]]+Table66[[#This Row],[Year 3 (Proposed)]]+Table66[[#This Row],[Year 4 (Proposed)]]+Table66[[#This Row],[Year 5 (Proposed)]]+Table66[[#This Row],[Year 6 (Proposed)]]</f>
        <v>0</v>
      </c>
      <c r="T568" s="403" t="b">
        <f ca="1">Table66[[#This Row],[Total Specifed in RFO - N/A]]=Table66[[#This Row],[Total Proposed]]</f>
        <v>1</v>
      </c>
      <c r="U568" s="439"/>
      <c r="V568" s="441">
        <f ca="1">Table66[[#This Row],[Year 6 (Specified in RFO) - N/A]]-Table66[[#This Row],[Column1]]</f>
        <v>0</v>
      </c>
    </row>
    <row r="569" spans="1:22" ht="16.5" thickBot="1">
      <c r="A569" s="227"/>
      <c r="B569" s="227"/>
      <c r="C569" s="227"/>
      <c r="D569" s="231"/>
      <c r="E569" s="231"/>
      <c r="F569" s="190"/>
      <c r="G5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9" s="190"/>
      <c r="I5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9" s="190"/>
      <c r="K5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9" s="190"/>
      <c r="M569"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9" s="190"/>
      <c r="O569"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9" s="190"/>
      <c r="Q5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9" s="192">
        <f ca="1">Table66[[#This Row],[Year 1 (Specified in RFO) - N/A]]+Table66[[#This Row],[Year 2 (Specified in RFO) - N/A]]+Table66[[#This Row],[Year 3 (Specified in RFO) - N/A]]+Table66[[#This Row],[Year 4 (Specified in RFO) - N/A]]+Table66[[#This Row],[Year 5 (Specified in RFO) - N/A]]+Table66[[#This Row],[Year 6 (Specified in RFO) - N/A]]</f>
        <v>0</v>
      </c>
      <c r="S569" s="402">
        <f ca="1">Table66[[#This Row],[Year 1  (Proposed)]]+Table66[[#This Row],[Year 2 (Proposed)]]+Table66[[#This Row],[Year 3 (Proposed)]]+Table66[[#This Row],[Year 4 (Proposed)]]+Table66[[#This Row],[Year 5 (Proposed)]]+Table66[[#This Row],[Year 6 (Proposed)]]</f>
        <v>0</v>
      </c>
      <c r="T569" s="403" t="b">
        <f ca="1">Table66[[#This Row],[Total Specifed in RFO - N/A]]=Table66[[#This Row],[Total Proposed]]</f>
        <v>1</v>
      </c>
      <c r="U569" s="439"/>
      <c r="V569" s="441">
        <f ca="1">Table66[[#This Row],[Year 6 (Specified in RFO) - N/A]]-Table66[[#This Row],[Column1]]</f>
        <v>0</v>
      </c>
    </row>
    <row r="570" spans="1:22" ht="16.5" thickBot="1">
      <c r="A570" s="227"/>
      <c r="B570" s="319"/>
      <c r="C570" s="319"/>
      <c r="D570" s="320"/>
      <c r="E570" s="320"/>
      <c r="F570" s="190"/>
      <c r="G5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0" s="190"/>
      <c r="I5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0" s="190"/>
      <c r="K5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0" s="190"/>
      <c r="M5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0" s="190"/>
      <c r="O5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0" s="190"/>
      <c r="Q5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0" s="192">
        <f ca="1">Table66[[#This Row],[Year 1 (Specified in RFO) - N/A]]+Table66[[#This Row],[Year 2 (Specified in RFO) - N/A]]+Table66[[#This Row],[Year 3 (Specified in RFO) - N/A]]+Table66[[#This Row],[Year 4 (Specified in RFO) - N/A]]+Table66[[#This Row],[Year 5 (Specified in RFO) - N/A]]+Table66[[#This Row],[Year 6 (Specified in RFO) - N/A]]</f>
        <v>0</v>
      </c>
      <c r="S570" s="402">
        <f ca="1">Table66[[#This Row],[Year 1  (Proposed)]]+Table66[[#This Row],[Year 2 (Proposed)]]+Table66[[#This Row],[Year 3 (Proposed)]]+Table66[[#This Row],[Year 4 (Proposed)]]+Table66[[#This Row],[Year 5 (Proposed)]]+Table66[[#This Row],[Year 6 (Proposed)]]</f>
        <v>0</v>
      </c>
      <c r="T570" s="403" t="b">
        <f ca="1">Table66[[#This Row],[Total Specifed in RFO - N/A]]=Table66[[#This Row],[Total Proposed]]</f>
        <v>1</v>
      </c>
      <c r="U570" s="439"/>
      <c r="V570" s="441">
        <f ca="1">Table66[[#This Row],[Year 6 (Specified in RFO) - N/A]]-Table66[[#This Row],[Column1]]</f>
        <v>0</v>
      </c>
    </row>
    <row r="571" spans="1:22" ht="16.5" thickBot="1">
      <c r="A571" s="319"/>
      <c r="B571" s="319"/>
      <c r="C571" s="319"/>
      <c r="D571" s="320"/>
      <c r="E571" s="320"/>
      <c r="F571" s="190"/>
      <c r="G5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1" s="190"/>
      <c r="I5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1" s="190"/>
      <c r="K5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1" s="190"/>
      <c r="M571"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1" s="190"/>
      <c r="O571"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1" s="190"/>
      <c r="Q5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1" s="192">
        <f ca="1">Table66[[#This Row],[Year 1 (Specified in RFO) - N/A]]+Table66[[#This Row],[Year 2 (Specified in RFO) - N/A]]+Table66[[#This Row],[Year 3 (Specified in RFO) - N/A]]+Table66[[#This Row],[Year 4 (Specified in RFO) - N/A]]+Table66[[#This Row],[Year 5 (Specified in RFO) - N/A]]+Table66[[#This Row],[Year 6 (Specified in RFO) - N/A]]</f>
        <v>0</v>
      </c>
      <c r="S571" s="402">
        <f ca="1">Table66[[#This Row],[Year 1  (Proposed)]]+Table66[[#This Row],[Year 2 (Proposed)]]+Table66[[#This Row],[Year 3 (Proposed)]]+Table66[[#This Row],[Year 4 (Proposed)]]+Table66[[#This Row],[Year 5 (Proposed)]]+Table66[[#This Row],[Year 6 (Proposed)]]</f>
        <v>0</v>
      </c>
      <c r="T571" s="403" t="b">
        <f ca="1">Table66[[#This Row],[Total Specifed in RFO - N/A]]=Table66[[#This Row],[Total Proposed]]</f>
        <v>1</v>
      </c>
      <c r="U571" s="439"/>
      <c r="V571" s="441">
        <f ca="1">Table66[[#This Row],[Year 6 (Specified in RFO) - N/A]]-Table66[[#This Row],[Column1]]</f>
        <v>0</v>
      </c>
    </row>
    <row r="572" spans="1:22" ht="16.5" thickBot="1">
      <c r="A572" s="227"/>
      <c r="B572" s="227"/>
      <c r="C572" s="227"/>
      <c r="D572" s="231"/>
      <c r="E572" s="231"/>
      <c r="F572" s="190"/>
      <c r="G5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2" s="190"/>
      <c r="I5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2" s="190"/>
      <c r="K5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2" s="190"/>
      <c r="M572"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2" s="190"/>
      <c r="O572"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2" s="190"/>
      <c r="Q5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2" s="192">
        <f ca="1">Table66[[#This Row],[Year 1 (Specified in RFO) - N/A]]+Table66[[#This Row],[Year 2 (Specified in RFO) - N/A]]+Table66[[#This Row],[Year 3 (Specified in RFO) - N/A]]+Table66[[#This Row],[Year 4 (Specified in RFO) - N/A]]+Table66[[#This Row],[Year 5 (Specified in RFO) - N/A]]+Table66[[#This Row],[Year 6 (Specified in RFO) - N/A]]</f>
        <v>0</v>
      </c>
      <c r="S572" s="402">
        <f ca="1">Table66[[#This Row],[Year 1  (Proposed)]]+Table66[[#This Row],[Year 2 (Proposed)]]+Table66[[#This Row],[Year 3 (Proposed)]]+Table66[[#This Row],[Year 4 (Proposed)]]+Table66[[#This Row],[Year 5 (Proposed)]]+Table66[[#This Row],[Year 6 (Proposed)]]</f>
        <v>0</v>
      </c>
      <c r="T572" s="403" t="b">
        <f ca="1">Table66[[#This Row],[Total Specifed in RFO - N/A]]=Table66[[#This Row],[Total Proposed]]</f>
        <v>1</v>
      </c>
      <c r="U572" s="439"/>
      <c r="V572" s="441">
        <f ca="1">Table66[[#This Row],[Year 6 (Specified in RFO) - N/A]]-Table66[[#This Row],[Column1]]</f>
        <v>0</v>
      </c>
    </row>
    <row r="573" spans="1:22" ht="16.5" thickBot="1">
      <c r="A573" s="227"/>
      <c r="B573" s="319"/>
      <c r="C573" s="319"/>
      <c r="D573" s="320"/>
      <c r="E573" s="320"/>
      <c r="F573" s="190"/>
      <c r="G5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3" s="190"/>
      <c r="I5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3" s="190"/>
      <c r="K5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3" s="190"/>
      <c r="M5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3" s="190"/>
      <c r="O5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3" s="190"/>
      <c r="Q5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3" s="192">
        <f ca="1">Table66[[#This Row],[Year 1 (Specified in RFO) - N/A]]+Table66[[#This Row],[Year 2 (Specified in RFO) - N/A]]+Table66[[#This Row],[Year 3 (Specified in RFO) - N/A]]+Table66[[#This Row],[Year 4 (Specified in RFO) - N/A]]+Table66[[#This Row],[Year 5 (Specified in RFO) - N/A]]+Table66[[#This Row],[Year 6 (Specified in RFO) - N/A]]</f>
        <v>0</v>
      </c>
      <c r="S573" s="402">
        <f ca="1">Table66[[#This Row],[Year 1  (Proposed)]]+Table66[[#This Row],[Year 2 (Proposed)]]+Table66[[#This Row],[Year 3 (Proposed)]]+Table66[[#This Row],[Year 4 (Proposed)]]+Table66[[#This Row],[Year 5 (Proposed)]]+Table66[[#This Row],[Year 6 (Proposed)]]</f>
        <v>0</v>
      </c>
      <c r="T573" s="403" t="b">
        <f ca="1">Table66[[#This Row],[Total Specifed in RFO - N/A]]=Table66[[#This Row],[Total Proposed]]</f>
        <v>1</v>
      </c>
      <c r="U573" s="439"/>
      <c r="V573" s="441">
        <f ca="1">Table66[[#This Row],[Year 6 (Specified in RFO) - N/A]]-Table66[[#This Row],[Column1]]</f>
        <v>0</v>
      </c>
    </row>
    <row r="574" spans="1:22" ht="16.5" thickBot="1">
      <c r="A574" s="319"/>
      <c r="B574" s="319"/>
      <c r="C574" s="319"/>
      <c r="D574" s="320"/>
      <c r="E574" s="320"/>
      <c r="F574" s="190"/>
      <c r="G5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4" s="190"/>
      <c r="I5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4" s="190"/>
      <c r="K5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4" s="190"/>
      <c r="M574"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4" s="190"/>
      <c r="O574"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4" s="190"/>
      <c r="Q5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4" s="192">
        <f ca="1">Table66[[#This Row],[Year 1 (Specified in RFO) - N/A]]+Table66[[#This Row],[Year 2 (Specified in RFO) - N/A]]+Table66[[#This Row],[Year 3 (Specified in RFO) - N/A]]+Table66[[#This Row],[Year 4 (Specified in RFO) - N/A]]+Table66[[#This Row],[Year 5 (Specified in RFO) - N/A]]+Table66[[#This Row],[Year 6 (Specified in RFO) - N/A]]</f>
        <v>0</v>
      </c>
      <c r="S574" s="402">
        <f ca="1">Table66[[#This Row],[Year 1  (Proposed)]]+Table66[[#This Row],[Year 2 (Proposed)]]+Table66[[#This Row],[Year 3 (Proposed)]]+Table66[[#This Row],[Year 4 (Proposed)]]+Table66[[#This Row],[Year 5 (Proposed)]]+Table66[[#This Row],[Year 6 (Proposed)]]</f>
        <v>0</v>
      </c>
      <c r="T574" s="403" t="b">
        <f ca="1">Table66[[#This Row],[Total Specifed in RFO - N/A]]=Table66[[#This Row],[Total Proposed]]</f>
        <v>1</v>
      </c>
      <c r="U574" s="439"/>
      <c r="V574" s="441">
        <f ca="1">Table66[[#This Row],[Year 6 (Specified in RFO) - N/A]]-Table66[[#This Row],[Column1]]</f>
        <v>0</v>
      </c>
    </row>
    <row r="575" spans="1:22" ht="16.5" thickBot="1">
      <c r="A575" s="227"/>
      <c r="B575" s="227"/>
      <c r="C575" s="227"/>
      <c r="D575" s="231"/>
      <c r="E575" s="231"/>
      <c r="F575" s="190"/>
      <c r="G5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5" s="190"/>
      <c r="I5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5" s="190"/>
      <c r="K5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5" s="190"/>
      <c r="M575"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5" s="190"/>
      <c r="O575"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5" s="190"/>
      <c r="Q5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5" s="192">
        <f ca="1">Table66[[#This Row],[Year 1 (Specified in RFO) - N/A]]+Table66[[#This Row],[Year 2 (Specified in RFO) - N/A]]+Table66[[#This Row],[Year 3 (Specified in RFO) - N/A]]+Table66[[#This Row],[Year 4 (Specified in RFO) - N/A]]+Table66[[#This Row],[Year 5 (Specified in RFO) - N/A]]+Table66[[#This Row],[Year 6 (Specified in RFO) - N/A]]</f>
        <v>0</v>
      </c>
      <c r="S575" s="402">
        <f ca="1">Table66[[#This Row],[Year 1  (Proposed)]]+Table66[[#This Row],[Year 2 (Proposed)]]+Table66[[#This Row],[Year 3 (Proposed)]]+Table66[[#This Row],[Year 4 (Proposed)]]+Table66[[#This Row],[Year 5 (Proposed)]]+Table66[[#This Row],[Year 6 (Proposed)]]</f>
        <v>0</v>
      </c>
      <c r="T575" s="403" t="b">
        <f ca="1">Table66[[#This Row],[Total Specifed in RFO - N/A]]=Table66[[#This Row],[Total Proposed]]</f>
        <v>1</v>
      </c>
      <c r="U575" s="439"/>
      <c r="V575" s="441">
        <f ca="1">Table66[[#This Row],[Year 6 (Specified in RFO) - N/A]]-Table66[[#This Row],[Column1]]</f>
        <v>0</v>
      </c>
    </row>
    <row r="576" spans="1:22" ht="16.5" thickBot="1">
      <c r="A576" s="227"/>
      <c r="B576" s="319"/>
      <c r="C576" s="319"/>
      <c r="D576" s="320"/>
      <c r="E576" s="320"/>
      <c r="F576" s="190"/>
      <c r="G5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6" s="190"/>
      <c r="I5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6" s="190"/>
      <c r="K5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6" s="190"/>
      <c r="M5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6" s="190"/>
      <c r="O5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6" s="190"/>
      <c r="Q5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6" s="192">
        <f ca="1">Table66[[#This Row],[Year 1 (Specified in RFO) - N/A]]+Table66[[#This Row],[Year 2 (Specified in RFO) - N/A]]+Table66[[#This Row],[Year 3 (Specified in RFO) - N/A]]+Table66[[#This Row],[Year 4 (Specified in RFO) - N/A]]+Table66[[#This Row],[Year 5 (Specified in RFO) - N/A]]+Table66[[#This Row],[Year 6 (Specified in RFO) - N/A]]</f>
        <v>0</v>
      </c>
      <c r="S576" s="402">
        <f ca="1">Table66[[#This Row],[Year 1  (Proposed)]]+Table66[[#This Row],[Year 2 (Proposed)]]+Table66[[#This Row],[Year 3 (Proposed)]]+Table66[[#This Row],[Year 4 (Proposed)]]+Table66[[#This Row],[Year 5 (Proposed)]]+Table66[[#This Row],[Year 6 (Proposed)]]</f>
        <v>0</v>
      </c>
      <c r="T576" s="403" t="b">
        <f ca="1">Table66[[#This Row],[Total Specifed in RFO - N/A]]=Table66[[#This Row],[Total Proposed]]</f>
        <v>1</v>
      </c>
      <c r="U576" s="439"/>
      <c r="V576" s="441">
        <f ca="1">Table66[[#This Row],[Year 6 (Specified in RFO) - N/A]]-Table66[[#This Row],[Column1]]</f>
        <v>0</v>
      </c>
    </row>
    <row r="577" spans="1:22" ht="16.5" thickBot="1">
      <c r="A577" s="319"/>
      <c r="B577" s="319"/>
      <c r="C577" s="319"/>
      <c r="D577" s="320"/>
      <c r="E577" s="320"/>
      <c r="F577" s="190"/>
      <c r="G5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7" s="190"/>
      <c r="I5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7" s="190"/>
      <c r="K5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7" s="190"/>
      <c r="M5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7" s="190"/>
      <c r="O5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7" s="190"/>
      <c r="Q5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7" s="192">
        <f ca="1">Table66[[#This Row],[Year 1 (Specified in RFO) - N/A]]+Table66[[#This Row],[Year 2 (Specified in RFO) - N/A]]+Table66[[#This Row],[Year 3 (Specified in RFO) - N/A]]+Table66[[#This Row],[Year 4 (Specified in RFO) - N/A]]+Table66[[#This Row],[Year 5 (Specified in RFO) - N/A]]+Table66[[#This Row],[Year 6 (Specified in RFO) - N/A]]</f>
        <v>0</v>
      </c>
      <c r="S577" s="402">
        <f ca="1">Table66[[#This Row],[Year 1  (Proposed)]]+Table66[[#This Row],[Year 2 (Proposed)]]+Table66[[#This Row],[Year 3 (Proposed)]]+Table66[[#This Row],[Year 4 (Proposed)]]+Table66[[#This Row],[Year 5 (Proposed)]]+Table66[[#This Row],[Year 6 (Proposed)]]</f>
        <v>0</v>
      </c>
      <c r="T577" s="403" t="b">
        <f ca="1">Table66[[#This Row],[Total Specifed in RFO - N/A]]=Table66[[#This Row],[Total Proposed]]</f>
        <v>1</v>
      </c>
      <c r="U577" s="439"/>
      <c r="V577" s="441">
        <f ca="1">Table66[[#This Row],[Year 6 (Specified in RFO) - N/A]]-Table66[[#This Row],[Column1]]</f>
        <v>0</v>
      </c>
    </row>
    <row r="578" spans="1:22" ht="16.5" thickBot="1">
      <c r="A578" s="227"/>
      <c r="B578" s="227"/>
      <c r="C578" s="227"/>
      <c r="D578" s="320"/>
      <c r="E578" s="231"/>
      <c r="F578" s="190"/>
      <c r="G5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8" s="190"/>
      <c r="I5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8" s="190"/>
      <c r="K5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8" s="190"/>
      <c r="M5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8" s="190"/>
      <c r="O5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8" s="190"/>
      <c r="Q5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8" s="192">
        <f ca="1">Table66[[#This Row],[Year 1 (Specified in RFO) - N/A]]+Table66[[#This Row],[Year 2 (Specified in RFO) - N/A]]+Table66[[#This Row],[Year 3 (Specified in RFO) - N/A]]+Table66[[#This Row],[Year 4 (Specified in RFO) - N/A]]+Table66[[#This Row],[Year 5 (Specified in RFO) - N/A]]+Table66[[#This Row],[Year 6 (Specified in RFO) - N/A]]</f>
        <v>0</v>
      </c>
      <c r="S578" s="402">
        <f ca="1">Table66[[#This Row],[Year 1  (Proposed)]]+Table66[[#This Row],[Year 2 (Proposed)]]+Table66[[#This Row],[Year 3 (Proposed)]]+Table66[[#This Row],[Year 4 (Proposed)]]+Table66[[#This Row],[Year 5 (Proposed)]]+Table66[[#This Row],[Year 6 (Proposed)]]</f>
        <v>0</v>
      </c>
      <c r="T578" s="403" t="b">
        <f ca="1">Table66[[#This Row],[Total Specifed in RFO - N/A]]=Table66[[#This Row],[Total Proposed]]</f>
        <v>1</v>
      </c>
      <c r="U578" s="439"/>
      <c r="V578" s="441">
        <f ca="1">Table66[[#This Row],[Year 6 (Specified in RFO) - N/A]]-Table66[[#This Row],[Column1]]</f>
        <v>0</v>
      </c>
    </row>
    <row r="579" spans="1:22" ht="16.5" thickBot="1">
      <c r="A579" s="227"/>
      <c r="B579" s="319"/>
      <c r="C579" s="319"/>
      <c r="D579" s="320"/>
      <c r="E579" s="320"/>
      <c r="F579" s="190"/>
      <c r="G5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9" s="190"/>
      <c r="I5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9" s="190"/>
      <c r="K5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9" s="190"/>
      <c r="M5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9" s="190"/>
      <c r="O5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9" s="190"/>
      <c r="Q5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9" s="192">
        <f ca="1">Table66[[#This Row],[Year 1 (Specified in RFO) - N/A]]+Table66[[#This Row],[Year 2 (Specified in RFO) - N/A]]+Table66[[#This Row],[Year 3 (Specified in RFO) - N/A]]+Table66[[#This Row],[Year 4 (Specified in RFO) - N/A]]+Table66[[#This Row],[Year 5 (Specified in RFO) - N/A]]+Table66[[#This Row],[Year 6 (Specified in RFO) - N/A]]</f>
        <v>0</v>
      </c>
      <c r="S579" s="402">
        <f ca="1">Table66[[#This Row],[Year 1  (Proposed)]]+Table66[[#This Row],[Year 2 (Proposed)]]+Table66[[#This Row],[Year 3 (Proposed)]]+Table66[[#This Row],[Year 4 (Proposed)]]+Table66[[#This Row],[Year 5 (Proposed)]]+Table66[[#This Row],[Year 6 (Proposed)]]</f>
        <v>0</v>
      </c>
      <c r="T579" s="403" t="b">
        <f ca="1">Table66[[#This Row],[Total Specifed in RFO - N/A]]=Table66[[#This Row],[Total Proposed]]</f>
        <v>1</v>
      </c>
      <c r="U579" s="439"/>
      <c r="V579" s="441">
        <f ca="1">Table66[[#This Row],[Year 6 (Specified in RFO) - N/A]]-Table66[[#This Row],[Column1]]</f>
        <v>0</v>
      </c>
    </row>
    <row r="580" spans="1:22" ht="16.5" thickBot="1">
      <c r="A580" s="319"/>
      <c r="B580" s="319"/>
      <c r="C580" s="319"/>
      <c r="D580" s="320"/>
      <c r="E580" s="320"/>
      <c r="F580" s="190"/>
      <c r="G5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0" s="190"/>
      <c r="I5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0" s="190"/>
      <c r="K5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0" s="190"/>
      <c r="M5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0" s="190"/>
      <c r="O5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0" s="190"/>
      <c r="Q5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0" s="192">
        <f ca="1">Table66[[#This Row],[Year 1 (Specified in RFO) - N/A]]+Table66[[#This Row],[Year 2 (Specified in RFO) - N/A]]+Table66[[#This Row],[Year 3 (Specified in RFO) - N/A]]+Table66[[#This Row],[Year 4 (Specified in RFO) - N/A]]+Table66[[#This Row],[Year 5 (Specified in RFO) - N/A]]+Table66[[#This Row],[Year 6 (Specified in RFO) - N/A]]</f>
        <v>0</v>
      </c>
      <c r="S580" s="402">
        <f ca="1">Table66[[#This Row],[Year 1  (Proposed)]]+Table66[[#This Row],[Year 2 (Proposed)]]+Table66[[#This Row],[Year 3 (Proposed)]]+Table66[[#This Row],[Year 4 (Proposed)]]+Table66[[#This Row],[Year 5 (Proposed)]]+Table66[[#This Row],[Year 6 (Proposed)]]</f>
        <v>0</v>
      </c>
      <c r="T580" s="403" t="b">
        <f ca="1">Table66[[#This Row],[Total Specifed in RFO - N/A]]=Table66[[#This Row],[Total Proposed]]</f>
        <v>1</v>
      </c>
      <c r="U580" s="439"/>
      <c r="V580" s="441">
        <f ca="1">Table66[[#This Row],[Year 6 (Specified in RFO) - N/A]]-Table66[[#This Row],[Column1]]</f>
        <v>0</v>
      </c>
    </row>
    <row r="581" spans="1:22" ht="16.5" thickBot="1">
      <c r="A581" s="227"/>
      <c r="B581" s="227"/>
      <c r="C581" s="227"/>
      <c r="D581" s="231"/>
      <c r="E581" s="231"/>
      <c r="F581" s="190"/>
      <c r="G5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1" s="190"/>
      <c r="I5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1" s="190"/>
      <c r="K5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1" s="190"/>
      <c r="M5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1" s="190"/>
      <c r="O5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1" s="190"/>
      <c r="Q5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1" s="192">
        <f ca="1">Table66[[#This Row],[Year 1 (Specified in RFO) - N/A]]+Table66[[#This Row],[Year 2 (Specified in RFO) - N/A]]+Table66[[#This Row],[Year 3 (Specified in RFO) - N/A]]+Table66[[#This Row],[Year 4 (Specified in RFO) - N/A]]+Table66[[#This Row],[Year 5 (Specified in RFO) - N/A]]+Table66[[#This Row],[Year 6 (Specified in RFO) - N/A]]</f>
        <v>0</v>
      </c>
      <c r="S581" s="402">
        <f ca="1">Table66[[#This Row],[Year 1  (Proposed)]]+Table66[[#This Row],[Year 2 (Proposed)]]+Table66[[#This Row],[Year 3 (Proposed)]]+Table66[[#This Row],[Year 4 (Proposed)]]+Table66[[#This Row],[Year 5 (Proposed)]]+Table66[[#This Row],[Year 6 (Proposed)]]</f>
        <v>0</v>
      </c>
      <c r="T581" s="403" t="b">
        <f ca="1">Table66[[#This Row],[Total Specifed in RFO - N/A]]=Table66[[#This Row],[Total Proposed]]</f>
        <v>1</v>
      </c>
      <c r="U581" s="439"/>
      <c r="V581" s="441">
        <f ca="1">Table66[[#This Row],[Year 6 (Specified in RFO) - N/A]]-Table66[[#This Row],[Column1]]</f>
        <v>0</v>
      </c>
    </row>
    <row r="582" spans="1:22" ht="16.5" thickBot="1">
      <c r="A582" s="227"/>
      <c r="B582" s="319"/>
      <c r="C582" s="319"/>
      <c r="D582" s="320"/>
      <c r="E582" s="320"/>
      <c r="F582" s="190"/>
      <c r="G5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2" s="190"/>
      <c r="I5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2" s="190"/>
      <c r="K5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2" s="190"/>
      <c r="M5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2" s="190"/>
      <c r="O5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2" s="190"/>
      <c r="Q5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2" s="192">
        <f ca="1">Table66[[#This Row],[Year 1 (Specified in RFO) - N/A]]+Table66[[#This Row],[Year 2 (Specified in RFO) - N/A]]+Table66[[#This Row],[Year 3 (Specified in RFO) - N/A]]+Table66[[#This Row],[Year 4 (Specified in RFO) - N/A]]+Table66[[#This Row],[Year 5 (Specified in RFO) - N/A]]+Table66[[#This Row],[Year 6 (Specified in RFO) - N/A]]</f>
        <v>0</v>
      </c>
      <c r="S582" s="402">
        <f ca="1">Table66[[#This Row],[Year 1  (Proposed)]]+Table66[[#This Row],[Year 2 (Proposed)]]+Table66[[#This Row],[Year 3 (Proposed)]]+Table66[[#This Row],[Year 4 (Proposed)]]+Table66[[#This Row],[Year 5 (Proposed)]]+Table66[[#This Row],[Year 6 (Proposed)]]</f>
        <v>0</v>
      </c>
      <c r="T582" s="403" t="b">
        <f ca="1">Table66[[#This Row],[Total Specifed in RFO - N/A]]=Table66[[#This Row],[Total Proposed]]</f>
        <v>1</v>
      </c>
      <c r="U582" s="439"/>
      <c r="V582" s="441">
        <f ca="1">Table66[[#This Row],[Year 6 (Specified in RFO) - N/A]]-Table66[[#This Row],[Column1]]</f>
        <v>0</v>
      </c>
    </row>
    <row r="583" spans="1:22" ht="16.5" thickBot="1">
      <c r="A583" s="319"/>
      <c r="B583" s="319"/>
      <c r="C583" s="319"/>
      <c r="D583" s="320"/>
      <c r="E583" s="320"/>
      <c r="F583" s="190"/>
      <c r="G5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3" s="190"/>
      <c r="I5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3" s="190"/>
      <c r="K5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3" s="190"/>
      <c r="M5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3" s="190"/>
      <c r="O5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3" s="190"/>
      <c r="Q5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3" s="192">
        <f ca="1">Table66[[#This Row],[Year 1 (Specified in RFO) - N/A]]+Table66[[#This Row],[Year 2 (Specified in RFO) - N/A]]+Table66[[#This Row],[Year 3 (Specified in RFO) - N/A]]+Table66[[#This Row],[Year 4 (Specified in RFO) - N/A]]+Table66[[#This Row],[Year 5 (Specified in RFO) - N/A]]+Table66[[#This Row],[Year 6 (Specified in RFO) - N/A]]</f>
        <v>0</v>
      </c>
      <c r="S583" s="402">
        <f ca="1">Table66[[#This Row],[Year 1  (Proposed)]]+Table66[[#This Row],[Year 2 (Proposed)]]+Table66[[#This Row],[Year 3 (Proposed)]]+Table66[[#This Row],[Year 4 (Proposed)]]+Table66[[#This Row],[Year 5 (Proposed)]]+Table66[[#This Row],[Year 6 (Proposed)]]</f>
        <v>0</v>
      </c>
      <c r="T583" s="403" t="b">
        <f ca="1">Table66[[#This Row],[Total Specifed in RFO - N/A]]=Table66[[#This Row],[Total Proposed]]</f>
        <v>1</v>
      </c>
      <c r="U583" s="439"/>
      <c r="V583" s="441">
        <f ca="1">Table66[[#This Row],[Year 6 (Specified in RFO) - N/A]]-Table66[[#This Row],[Column1]]</f>
        <v>0</v>
      </c>
    </row>
    <row r="584" spans="1:22" ht="16.5" thickBot="1">
      <c r="A584" s="227"/>
      <c r="B584" s="227"/>
      <c r="C584" s="227"/>
      <c r="D584" s="231"/>
      <c r="E584" s="231"/>
      <c r="F584" s="190"/>
      <c r="G5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4" s="190"/>
      <c r="I5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4" s="190"/>
      <c r="K5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4" s="190"/>
      <c r="M5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4" s="190"/>
      <c r="O5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4" s="190"/>
      <c r="Q5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4" s="192">
        <f ca="1">Table66[[#This Row],[Year 1 (Specified in RFO) - N/A]]+Table66[[#This Row],[Year 2 (Specified in RFO) - N/A]]+Table66[[#This Row],[Year 3 (Specified in RFO) - N/A]]+Table66[[#This Row],[Year 4 (Specified in RFO) - N/A]]+Table66[[#This Row],[Year 5 (Specified in RFO) - N/A]]+Table66[[#This Row],[Year 6 (Specified in RFO) - N/A]]</f>
        <v>0</v>
      </c>
      <c r="S584" s="402">
        <f ca="1">Table66[[#This Row],[Year 1  (Proposed)]]+Table66[[#This Row],[Year 2 (Proposed)]]+Table66[[#This Row],[Year 3 (Proposed)]]+Table66[[#This Row],[Year 4 (Proposed)]]+Table66[[#This Row],[Year 5 (Proposed)]]+Table66[[#This Row],[Year 6 (Proposed)]]</f>
        <v>0</v>
      </c>
      <c r="T584" s="403" t="b">
        <f ca="1">Table66[[#This Row],[Total Specifed in RFO - N/A]]=Table66[[#This Row],[Total Proposed]]</f>
        <v>1</v>
      </c>
      <c r="U584" s="439"/>
      <c r="V584" s="441">
        <f ca="1">Table66[[#This Row],[Year 6 (Specified in RFO) - N/A]]-Table66[[#This Row],[Column1]]</f>
        <v>0</v>
      </c>
    </row>
    <row r="585" spans="1:22" ht="16.5" thickBot="1">
      <c r="A585" s="227"/>
      <c r="B585" s="319"/>
      <c r="C585" s="319"/>
      <c r="D585" s="320"/>
      <c r="E585" s="320"/>
      <c r="F585" s="190"/>
      <c r="G5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5" s="190"/>
      <c r="I5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5" s="190"/>
      <c r="K5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5" s="190"/>
      <c r="M5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5" s="190"/>
      <c r="O5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5" s="190"/>
      <c r="Q5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5" s="192">
        <f ca="1">Table66[[#This Row],[Year 1 (Specified in RFO) - N/A]]+Table66[[#This Row],[Year 2 (Specified in RFO) - N/A]]+Table66[[#This Row],[Year 3 (Specified in RFO) - N/A]]+Table66[[#This Row],[Year 4 (Specified in RFO) - N/A]]+Table66[[#This Row],[Year 5 (Specified in RFO) - N/A]]+Table66[[#This Row],[Year 6 (Specified in RFO) - N/A]]</f>
        <v>0</v>
      </c>
      <c r="S585" s="402">
        <f ca="1">Table66[[#This Row],[Year 1  (Proposed)]]+Table66[[#This Row],[Year 2 (Proposed)]]+Table66[[#This Row],[Year 3 (Proposed)]]+Table66[[#This Row],[Year 4 (Proposed)]]+Table66[[#This Row],[Year 5 (Proposed)]]+Table66[[#This Row],[Year 6 (Proposed)]]</f>
        <v>0</v>
      </c>
      <c r="T585" s="403" t="b">
        <f ca="1">Table66[[#This Row],[Total Specifed in RFO - N/A]]=Table66[[#This Row],[Total Proposed]]</f>
        <v>1</v>
      </c>
      <c r="U585" s="439"/>
      <c r="V585" s="441">
        <f ca="1">Table66[[#This Row],[Year 6 (Specified in RFO) - N/A]]-Table66[[#This Row],[Column1]]</f>
        <v>0</v>
      </c>
    </row>
    <row r="586" spans="1:22" ht="16.5" thickBot="1">
      <c r="A586" s="319"/>
      <c r="B586" s="319"/>
      <c r="C586" s="319"/>
      <c r="D586" s="320"/>
      <c r="E586" s="320"/>
      <c r="F586" s="190"/>
      <c r="G5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6" s="190"/>
      <c r="I5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6" s="190"/>
      <c r="K5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6" s="190"/>
      <c r="M5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6" s="190"/>
      <c r="O5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6" s="190"/>
      <c r="Q5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6" s="192">
        <f ca="1">Table66[[#This Row],[Year 1 (Specified in RFO) - N/A]]+Table66[[#This Row],[Year 2 (Specified in RFO) - N/A]]+Table66[[#This Row],[Year 3 (Specified in RFO) - N/A]]+Table66[[#This Row],[Year 4 (Specified in RFO) - N/A]]+Table66[[#This Row],[Year 5 (Specified in RFO) - N/A]]+Table66[[#This Row],[Year 6 (Specified in RFO) - N/A]]</f>
        <v>0</v>
      </c>
      <c r="S586" s="402">
        <f ca="1">Table66[[#This Row],[Year 1  (Proposed)]]+Table66[[#This Row],[Year 2 (Proposed)]]+Table66[[#This Row],[Year 3 (Proposed)]]+Table66[[#This Row],[Year 4 (Proposed)]]+Table66[[#This Row],[Year 5 (Proposed)]]+Table66[[#This Row],[Year 6 (Proposed)]]</f>
        <v>0</v>
      </c>
      <c r="T586" s="403" t="b">
        <f ca="1">Table66[[#This Row],[Total Specifed in RFO - N/A]]=Table66[[#This Row],[Total Proposed]]</f>
        <v>1</v>
      </c>
      <c r="U586" s="439"/>
      <c r="V586" s="441">
        <f ca="1">Table66[[#This Row],[Year 6 (Specified in RFO) - N/A]]-Table66[[#This Row],[Column1]]</f>
        <v>0</v>
      </c>
    </row>
    <row r="587" spans="1:22" ht="16.5" thickBot="1">
      <c r="A587" s="227"/>
      <c r="B587" s="227"/>
      <c r="C587" s="227"/>
      <c r="D587" s="320"/>
      <c r="E587" s="231"/>
      <c r="F587" s="190"/>
      <c r="G5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7" s="190"/>
      <c r="I5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7" s="190"/>
      <c r="K5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7" s="190"/>
      <c r="M5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7" s="190"/>
      <c r="O5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7" s="190"/>
      <c r="Q5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7" s="192">
        <f ca="1">Table66[[#This Row],[Year 1 (Specified in RFO) - N/A]]+Table66[[#This Row],[Year 2 (Specified in RFO) - N/A]]+Table66[[#This Row],[Year 3 (Specified in RFO) - N/A]]+Table66[[#This Row],[Year 4 (Specified in RFO) - N/A]]+Table66[[#This Row],[Year 5 (Specified in RFO) - N/A]]+Table66[[#This Row],[Year 6 (Specified in RFO) - N/A]]</f>
        <v>0</v>
      </c>
      <c r="S587" s="402">
        <f ca="1">Table66[[#This Row],[Year 1  (Proposed)]]+Table66[[#This Row],[Year 2 (Proposed)]]+Table66[[#This Row],[Year 3 (Proposed)]]+Table66[[#This Row],[Year 4 (Proposed)]]+Table66[[#This Row],[Year 5 (Proposed)]]+Table66[[#This Row],[Year 6 (Proposed)]]</f>
        <v>0</v>
      </c>
      <c r="T587" s="403" t="b">
        <f ca="1">Table66[[#This Row],[Total Specifed in RFO - N/A]]=Table66[[#This Row],[Total Proposed]]</f>
        <v>1</v>
      </c>
      <c r="U587" s="439"/>
      <c r="V587" s="441">
        <f ca="1">Table66[[#This Row],[Year 6 (Specified in RFO) - N/A]]-Table66[[#This Row],[Column1]]</f>
        <v>0</v>
      </c>
    </row>
    <row r="588" spans="1:22" ht="16.5" thickBot="1">
      <c r="A588" s="227"/>
      <c r="B588" s="319"/>
      <c r="C588" s="319"/>
      <c r="D588" s="320"/>
      <c r="E588" s="320"/>
      <c r="F588" s="190"/>
      <c r="G5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8" s="190"/>
      <c r="I5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8" s="190"/>
      <c r="K5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8" s="190"/>
      <c r="M5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8" s="190"/>
      <c r="O5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8" s="190"/>
      <c r="Q5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8" s="192">
        <f ca="1">Table66[[#This Row],[Year 1 (Specified in RFO) - N/A]]+Table66[[#This Row],[Year 2 (Specified in RFO) - N/A]]+Table66[[#This Row],[Year 3 (Specified in RFO) - N/A]]+Table66[[#This Row],[Year 4 (Specified in RFO) - N/A]]+Table66[[#This Row],[Year 5 (Specified in RFO) - N/A]]+Table66[[#This Row],[Year 6 (Specified in RFO) - N/A]]</f>
        <v>0</v>
      </c>
      <c r="S588" s="402">
        <f ca="1">Table66[[#This Row],[Year 1  (Proposed)]]+Table66[[#This Row],[Year 2 (Proposed)]]+Table66[[#This Row],[Year 3 (Proposed)]]+Table66[[#This Row],[Year 4 (Proposed)]]+Table66[[#This Row],[Year 5 (Proposed)]]+Table66[[#This Row],[Year 6 (Proposed)]]</f>
        <v>0</v>
      </c>
      <c r="T588" s="403" t="b">
        <f ca="1">Table66[[#This Row],[Total Specifed in RFO - N/A]]=Table66[[#This Row],[Total Proposed]]</f>
        <v>1</v>
      </c>
      <c r="U588" s="439"/>
      <c r="V588" s="441">
        <f ca="1">Table66[[#This Row],[Year 6 (Specified in RFO) - N/A]]-Table66[[#This Row],[Column1]]</f>
        <v>0</v>
      </c>
    </row>
    <row r="589" spans="1:22" ht="16.5" thickBot="1">
      <c r="A589" s="319"/>
      <c r="B589" s="319"/>
      <c r="C589" s="319"/>
      <c r="D589" s="320"/>
      <c r="E589" s="320"/>
      <c r="F589" s="190"/>
      <c r="G5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9" s="190"/>
      <c r="I5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9" s="190"/>
      <c r="K5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9" s="190"/>
      <c r="M5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9" s="190"/>
      <c r="O5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9" s="190"/>
      <c r="Q5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9" s="192">
        <f ca="1">Table66[[#This Row],[Year 1 (Specified in RFO) - N/A]]+Table66[[#This Row],[Year 2 (Specified in RFO) - N/A]]+Table66[[#This Row],[Year 3 (Specified in RFO) - N/A]]+Table66[[#This Row],[Year 4 (Specified in RFO) - N/A]]+Table66[[#This Row],[Year 5 (Specified in RFO) - N/A]]+Table66[[#This Row],[Year 6 (Specified in RFO) - N/A]]</f>
        <v>0</v>
      </c>
      <c r="S589" s="402">
        <f ca="1">Table66[[#This Row],[Year 1  (Proposed)]]+Table66[[#This Row],[Year 2 (Proposed)]]+Table66[[#This Row],[Year 3 (Proposed)]]+Table66[[#This Row],[Year 4 (Proposed)]]+Table66[[#This Row],[Year 5 (Proposed)]]+Table66[[#This Row],[Year 6 (Proposed)]]</f>
        <v>0</v>
      </c>
      <c r="T589" s="403" t="b">
        <f ca="1">Table66[[#This Row],[Total Specifed in RFO - N/A]]=Table66[[#This Row],[Total Proposed]]</f>
        <v>1</v>
      </c>
      <c r="U589" s="439"/>
      <c r="V589" s="441">
        <f ca="1">Table66[[#This Row],[Year 6 (Specified in RFO) - N/A]]-Table66[[#This Row],[Column1]]</f>
        <v>0</v>
      </c>
    </row>
    <row r="590" spans="1:22" ht="16.5" thickBot="1">
      <c r="A590" s="227"/>
      <c r="B590" s="227"/>
      <c r="C590" s="227"/>
      <c r="D590" s="320"/>
      <c r="E590" s="231"/>
      <c r="F590" s="190"/>
      <c r="G5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0" s="190"/>
      <c r="I5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0" s="190"/>
      <c r="K5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0" s="190"/>
      <c r="M5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0" s="190"/>
      <c r="O5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0" s="190"/>
      <c r="Q5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0" s="192">
        <f ca="1">Table66[[#This Row],[Year 1 (Specified in RFO) - N/A]]+Table66[[#This Row],[Year 2 (Specified in RFO) - N/A]]+Table66[[#This Row],[Year 3 (Specified in RFO) - N/A]]+Table66[[#This Row],[Year 4 (Specified in RFO) - N/A]]+Table66[[#This Row],[Year 5 (Specified in RFO) - N/A]]+Table66[[#This Row],[Year 6 (Specified in RFO) - N/A]]</f>
        <v>0</v>
      </c>
      <c r="S590" s="402">
        <f ca="1">Table66[[#This Row],[Year 1  (Proposed)]]+Table66[[#This Row],[Year 2 (Proposed)]]+Table66[[#This Row],[Year 3 (Proposed)]]+Table66[[#This Row],[Year 4 (Proposed)]]+Table66[[#This Row],[Year 5 (Proposed)]]+Table66[[#This Row],[Year 6 (Proposed)]]</f>
        <v>0</v>
      </c>
      <c r="T590" s="403" t="b">
        <f ca="1">Table66[[#This Row],[Total Specifed in RFO - N/A]]=Table66[[#This Row],[Total Proposed]]</f>
        <v>1</v>
      </c>
      <c r="U590" s="439"/>
      <c r="V590" s="441">
        <f ca="1">Table66[[#This Row],[Year 6 (Specified in RFO) - N/A]]-Table66[[#This Row],[Column1]]</f>
        <v>0</v>
      </c>
    </row>
    <row r="591" spans="1:22" ht="16.5" thickBot="1">
      <c r="A591" s="227"/>
      <c r="B591" s="319"/>
      <c r="C591" s="319"/>
      <c r="D591" s="320"/>
      <c r="E591" s="320"/>
      <c r="F591" s="190"/>
      <c r="G5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1" s="190"/>
      <c r="I5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1" s="190"/>
      <c r="K5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1" s="190"/>
      <c r="M5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1" s="190"/>
      <c r="O5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1" s="190"/>
      <c r="Q5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1" s="192">
        <f ca="1">Table66[[#This Row],[Year 1 (Specified in RFO) - N/A]]+Table66[[#This Row],[Year 2 (Specified in RFO) - N/A]]+Table66[[#This Row],[Year 3 (Specified in RFO) - N/A]]+Table66[[#This Row],[Year 4 (Specified in RFO) - N/A]]+Table66[[#This Row],[Year 5 (Specified in RFO) - N/A]]+Table66[[#This Row],[Year 6 (Specified in RFO) - N/A]]</f>
        <v>0</v>
      </c>
      <c r="S591" s="402">
        <f ca="1">Table66[[#This Row],[Year 1  (Proposed)]]+Table66[[#This Row],[Year 2 (Proposed)]]+Table66[[#This Row],[Year 3 (Proposed)]]+Table66[[#This Row],[Year 4 (Proposed)]]+Table66[[#This Row],[Year 5 (Proposed)]]+Table66[[#This Row],[Year 6 (Proposed)]]</f>
        <v>0</v>
      </c>
      <c r="T591" s="403" t="b">
        <f ca="1">Table66[[#This Row],[Total Specifed in RFO - N/A]]=Table66[[#This Row],[Total Proposed]]</f>
        <v>1</v>
      </c>
      <c r="U591" s="439"/>
      <c r="V591" s="441">
        <f ca="1">Table66[[#This Row],[Year 6 (Specified in RFO) - N/A]]-Table66[[#This Row],[Column1]]</f>
        <v>0</v>
      </c>
    </row>
    <row r="592" spans="1:22" ht="16.5" thickBot="1">
      <c r="A592" s="319"/>
      <c r="B592" s="319"/>
      <c r="C592" s="319"/>
      <c r="D592" s="320"/>
      <c r="E592" s="320"/>
      <c r="F592" s="190"/>
      <c r="G5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2" s="190"/>
      <c r="I5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2" s="190"/>
      <c r="K5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2" s="190"/>
      <c r="M5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2" s="190"/>
      <c r="O5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2" s="190"/>
      <c r="Q5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2" s="192">
        <f ca="1">Table66[[#This Row],[Year 1 (Specified in RFO) - N/A]]+Table66[[#This Row],[Year 2 (Specified in RFO) - N/A]]+Table66[[#This Row],[Year 3 (Specified in RFO) - N/A]]+Table66[[#This Row],[Year 4 (Specified in RFO) - N/A]]+Table66[[#This Row],[Year 5 (Specified in RFO) - N/A]]+Table66[[#This Row],[Year 6 (Specified in RFO) - N/A]]</f>
        <v>0</v>
      </c>
      <c r="S592" s="402">
        <f ca="1">Table66[[#This Row],[Year 1  (Proposed)]]+Table66[[#This Row],[Year 2 (Proposed)]]+Table66[[#This Row],[Year 3 (Proposed)]]+Table66[[#This Row],[Year 4 (Proposed)]]+Table66[[#This Row],[Year 5 (Proposed)]]+Table66[[#This Row],[Year 6 (Proposed)]]</f>
        <v>0</v>
      </c>
      <c r="T592" s="403" t="b">
        <f ca="1">Table66[[#This Row],[Total Specifed in RFO - N/A]]=Table66[[#This Row],[Total Proposed]]</f>
        <v>1</v>
      </c>
      <c r="U592" s="439"/>
      <c r="V592" s="441">
        <f ca="1">Table66[[#This Row],[Year 6 (Specified in RFO) - N/A]]-Table66[[#This Row],[Column1]]</f>
        <v>0</v>
      </c>
    </row>
    <row r="593" spans="1:22" ht="16.5" thickBot="1">
      <c r="A593" s="227"/>
      <c r="B593" s="227"/>
      <c r="C593" s="227"/>
      <c r="D593" s="320"/>
      <c r="E593" s="231"/>
      <c r="F593" s="190"/>
      <c r="G5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3" s="190"/>
      <c r="I5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3" s="190"/>
      <c r="K5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3" s="190"/>
      <c r="M5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3" s="190"/>
      <c r="O5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3" s="190"/>
      <c r="Q5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3" s="192">
        <f ca="1">Table66[[#This Row],[Year 1 (Specified in RFO) - N/A]]+Table66[[#This Row],[Year 2 (Specified in RFO) - N/A]]+Table66[[#This Row],[Year 3 (Specified in RFO) - N/A]]+Table66[[#This Row],[Year 4 (Specified in RFO) - N/A]]+Table66[[#This Row],[Year 5 (Specified in RFO) - N/A]]+Table66[[#This Row],[Year 6 (Specified in RFO) - N/A]]</f>
        <v>0</v>
      </c>
      <c r="S593" s="402">
        <f ca="1">Table66[[#This Row],[Year 1  (Proposed)]]+Table66[[#This Row],[Year 2 (Proposed)]]+Table66[[#This Row],[Year 3 (Proposed)]]+Table66[[#This Row],[Year 4 (Proposed)]]+Table66[[#This Row],[Year 5 (Proposed)]]+Table66[[#This Row],[Year 6 (Proposed)]]</f>
        <v>0</v>
      </c>
      <c r="T593" s="403" t="b">
        <f ca="1">Table66[[#This Row],[Total Specifed in RFO - N/A]]=Table66[[#This Row],[Total Proposed]]</f>
        <v>1</v>
      </c>
      <c r="U593" s="439"/>
      <c r="V593" s="441">
        <f ca="1">Table66[[#This Row],[Year 6 (Specified in RFO) - N/A]]-Table66[[#This Row],[Column1]]</f>
        <v>0</v>
      </c>
    </row>
    <row r="594" spans="1:22" ht="16.5" thickBot="1">
      <c r="A594" s="227"/>
      <c r="B594" s="319"/>
      <c r="C594" s="319"/>
      <c r="D594" s="320"/>
      <c r="E594" s="320"/>
      <c r="F594" s="190"/>
      <c r="G5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4" s="190"/>
      <c r="I5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4" s="190"/>
      <c r="K5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4" s="190"/>
      <c r="M5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4" s="190"/>
      <c r="O5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4" s="190"/>
      <c r="Q5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4" s="192">
        <f ca="1">Table66[[#This Row],[Year 1 (Specified in RFO) - N/A]]+Table66[[#This Row],[Year 2 (Specified in RFO) - N/A]]+Table66[[#This Row],[Year 3 (Specified in RFO) - N/A]]+Table66[[#This Row],[Year 4 (Specified in RFO) - N/A]]+Table66[[#This Row],[Year 5 (Specified in RFO) - N/A]]+Table66[[#This Row],[Year 6 (Specified in RFO) - N/A]]</f>
        <v>0</v>
      </c>
      <c r="S594" s="402">
        <f ca="1">Table66[[#This Row],[Year 1  (Proposed)]]+Table66[[#This Row],[Year 2 (Proposed)]]+Table66[[#This Row],[Year 3 (Proposed)]]+Table66[[#This Row],[Year 4 (Proposed)]]+Table66[[#This Row],[Year 5 (Proposed)]]+Table66[[#This Row],[Year 6 (Proposed)]]</f>
        <v>0</v>
      </c>
      <c r="T594" s="403" t="b">
        <f ca="1">Table66[[#This Row],[Total Specifed in RFO - N/A]]=Table66[[#This Row],[Total Proposed]]</f>
        <v>1</v>
      </c>
      <c r="U594" s="439"/>
      <c r="V594" s="441">
        <f ca="1">Table66[[#This Row],[Year 6 (Specified in RFO) - N/A]]-Table66[[#This Row],[Column1]]</f>
        <v>0</v>
      </c>
    </row>
    <row r="595" spans="1:22" ht="16.5" thickBot="1">
      <c r="A595" s="319"/>
      <c r="B595" s="319"/>
      <c r="C595" s="319"/>
      <c r="D595" s="320"/>
      <c r="E595" s="320"/>
      <c r="F595" s="190"/>
      <c r="G5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5" s="190"/>
      <c r="I5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5" s="190"/>
      <c r="K5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5" s="190"/>
      <c r="M5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5" s="190"/>
      <c r="O5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5" s="190"/>
      <c r="Q5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5" s="192">
        <f ca="1">Table66[[#This Row],[Year 1 (Specified in RFO) - N/A]]+Table66[[#This Row],[Year 2 (Specified in RFO) - N/A]]+Table66[[#This Row],[Year 3 (Specified in RFO) - N/A]]+Table66[[#This Row],[Year 4 (Specified in RFO) - N/A]]+Table66[[#This Row],[Year 5 (Specified in RFO) - N/A]]+Table66[[#This Row],[Year 6 (Specified in RFO) - N/A]]</f>
        <v>0</v>
      </c>
      <c r="S595" s="402">
        <f ca="1">Table66[[#This Row],[Year 1  (Proposed)]]+Table66[[#This Row],[Year 2 (Proposed)]]+Table66[[#This Row],[Year 3 (Proposed)]]+Table66[[#This Row],[Year 4 (Proposed)]]+Table66[[#This Row],[Year 5 (Proposed)]]+Table66[[#This Row],[Year 6 (Proposed)]]</f>
        <v>0</v>
      </c>
      <c r="T595" s="403" t="b">
        <f ca="1">Table66[[#This Row],[Total Specifed in RFO - N/A]]=Table66[[#This Row],[Total Proposed]]</f>
        <v>1</v>
      </c>
      <c r="U595" s="439"/>
      <c r="V595" s="441">
        <f ca="1">Table66[[#This Row],[Year 6 (Specified in RFO) - N/A]]-Table66[[#This Row],[Column1]]</f>
        <v>0</v>
      </c>
    </row>
    <row r="596" spans="1:22" ht="16.5" thickBot="1">
      <c r="A596" s="227"/>
      <c r="B596" s="227"/>
      <c r="C596" s="227"/>
      <c r="D596" s="320"/>
      <c r="E596" s="231"/>
      <c r="F596" s="190"/>
      <c r="G5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6" s="190"/>
      <c r="I5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6" s="190"/>
      <c r="K5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6" s="190"/>
      <c r="M5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6" s="190"/>
      <c r="O5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6" s="190"/>
      <c r="Q5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6" s="192">
        <f ca="1">Table66[[#This Row],[Year 1 (Specified in RFO) - N/A]]+Table66[[#This Row],[Year 2 (Specified in RFO) - N/A]]+Table66[[#This Row],[Year 3 (Specified in RFO) - N/A]]+Table66[[#This Row],[Year 4 (Specified in RFO) - N/A]]+Table66[[#This Row],[Year 5 (Specified in RFO) - N/A]]+Table66[[#This Row],[Year 6 (Specified in RFO) - N/A]]</f>
        <v>0</v>
      </c>
      <c r="S596" s="402">
        <f ca="1">Table66[[#This Row],[Year 1  (Proposed)]]+Table66[[#This Row],[Year 2 (Proposed)]]+Table66[[#This Row],[Year 3 (Proposed)]]+Table66[[#This Row],[Year 4 (Proposed)]]+Table66[[#This Row],[Year 5 (Proposed)]]+Table66[[#This Row],[Year 6 (Proposed)]]</f>
        <v>0</v>
      </c>
      <c r="T596" s="403" t="b">
        <f ca="1">Table66[[#This Row],[Total Specifed in RFO - N/A]]=Table66[[#This Row],[Total Proposed]]</f>
        <v>1</v>
      </c>
      <c r="U596" s="439"/>
      <c r="V596" s="441">
        <f ca="1">Table66[[#This Row],[Year 6 (Specified in RFO) - N/A]]-Table66[[#This Row],[Column1]]</f>
        <v>0</v>
      </c>
    </row>
    <row r="597" spans="1:22" ht="16.5" thickBot="1">
      <c r="A597" s="227"/>
      <c r="B597" s="319"/>
      <c r="C597" s="319"/>
      <c r="D597" s="320"/>
      <c r="E597" s="320"/>
      <c r="F597" s="190"/>
      <c r="G5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7" s="190"/>
      <c r="I5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7" s="190"/>
      <c r="K5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7" s="190"/>
      <c r="M5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7" s="190"/>
      <c r="O5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7" s="190"/>
      <c r="Q5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7" s="192">
        <f ca="1">Table66[[#This Row],[Year 1 (Specified in RFO) - N/A]]+Table66[[#This Row],[Year 2 (Specified in RFO) - N/A]]+Table66[[#This Row],[Year 3 (Specified in RFO) - N/A]]+Table66[[#This Row],[Year 4 (Specified in RFO) - N/A]]+Table66[[#This Row],[Year 5 (Specified in RFO) - N/A]]+Table66[[#This Row],[Year 6 (Specified in RFO) - N/A]]</f>
        <v>0</v>
      </c>
      <c r="S597" s="402">
        <f ca="1">Table66[[#This Row],[Year 1  (Proposed)]]+Table66[[#This Row],[Year 2 (Proposed)]]+Table66[[#This Row],[Year 3 (Proposed)]]+Table66[[#This Row],[Year 4 (Proposed)]]+Table66[[#This Row],[Year 5 (Proposed)]]+Table66[[#This Row],[Year 6 (Proposed)]]</f>
        <v>0</v>
      </c>
      <c r="T597" s="403" t="b">
        <f ca="1">Table66[[#This Row],[Total Specifed in RFO - N/A]]=Table66[[#This Row],[Total Proposed]]</f>
        <v>1</v>
      </c>
      <c r="U597" s="439"/>
      <c r="V597" s="441">
        <f ca="1">Table66[[#This Row],[Year 6 (Specified in RFO) - N/A]]-Table66[[#This Row],[Column1]]</f>
        <v>0</v>
      </c>
    </row>
    <row r="598" spans="1:22" ht="16.5" thickBot="1">
      <c r="A598" s="319"/>
      <c r="B598" s="319"/>
      <c r="C598" s="319"/>
      <c r="D598" s="320"/>
      <c r="E598" s="320"/>
      <c r="F598" s="190"/>
      <c r="G5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8" s="190"/>
      <c r="I5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8" s="190"/>
      <c r="K5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8" s="190"/>
      <c r="M5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8" s="190"/>
      <c r="O5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8" s="190"/>
      <c r="Q5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8" s="192">
        <f ca="1">Table66[[#This Row],[Year 1 (Specified in RFO) - N/A]]+Table66[[#This Row],[Year 2 (Specified in RFO) - N/A]]+Table66[[#This Row],[Year 3 (Specified in RFO) - N/A]]+Table66[[#This Row],[Year 4 (Specified in RFO) - N/A]]+Table66[[#This Row],[Year 5 (Specified in RFO) - N/A]]+Table66[[#This Row],[Year 6 (Specified in RFO) - N/A]]</f>
        <v>0</v>
      </c>
      <c r="S598" s="402">
        <f ca="1">Table66[[#This Row],[Year 1  (Proposed)]]+Table66[[#This Row],[Year 2 (Proposed)]]+Table66[[#This Row],[Year 3 (Proposed)]]+Table66[[#This Row],[Year 4 (Proposed)]]+Table66[[#This Row],[Year 5 (Proposed)]]+Table66[[#This Row],[Year 6 (Proposed)]]</f>
        <v>0</v>
      </c>
      <c r="T598" s="403" t="b">
        <f ca="1">Table66[[#This Row],[Total Specifed in RFO - N/A]]=Table66[[#This Row],[Total Proposed]]</f>
        <v>1</v>
      </c>
      <c r="U598" s="439"/>
      <c r="V598" s="441">
        <f ca="1">Table66[[#This Row],[Year 6 (Specified in RFO) - N/A]]-Table66[[#This Row],[Column1]]</f>
        <v>0</v>
      </c>
    </row>
    <row r="599" spans="1:22" ht="16.5" thickBot="1">
      <c r="A599" s="227"/>
      <c r="B599" s="227"/>
      <c r="C599" s="227"/>
      <c r="D599" s="320"/>
      <c r="E599" s="231"/>
      <c r="F599" s="190"/>
      <c r="G5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9" s="190"/>
      <c r="I5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9" s="190"/>
      <c r="K5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9" s="190"/>
      <c r="M5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9" s="190"/>
      <c r="O5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9" s="190"/>
      <c r="Q5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9" s="192">
        <f ca="1">Table66[[#This Row],[Year 1 (Specified in RFO) - N/A]]+Table66[[#This Row],[Year 2 (Specified in RFO) - N/A]]+Table66[[#This Row],[Year 3 (Specified in RFO) - N/A]]+Table66[[#This Row],[Year 4 (Specified in RFO) - N/A]]+Table66[[#This Row],[Year 5 (Specified in RFO) - N/A]]+Table66[[#This Row],[Year 6 (Specified in RFO) - N/A]]</f>
        <v>0</v>
      </c>
      <c r="S599" s="402">
        <f ca="1">Table66[[#This Row],[Year 1  (Proposed)]]+Table66[[#This Row],[Year 2 (Proposed)]]+Table66[[#This Row],[Year 3 (Proposed)]]+Table66[[#This Row],[Year 4 (Proposed)]]+Table66[[#This Row],[Year 5 (Proposed)]]+Table66[[#This Row],[Year 6 (Proposed)]]</f>
        <v>0</v>
      </c>
      <c r="T599" s="403" t="b">
        <f ca="1">Table66[[#This Row],[Total Specifed in RFO - N/A]]=Table66[[#This Row],[Total Proposed]]</f>
        <v>1</v>
      </c>
      <c r="U599" s="439"/>
      <c r="V599" s="441">
        <f ca="1">Table66[[#This Row],[Year 6 (Specified in RFO) - N/A]]-Table66[[#This Row],[Column1]]</f>
        <v>0</v>
      </c>
    </row>
    <row r="600" spans="1:22" ht="16.5" thickBot="1">
      <c r="A600" s="227"/>
      <c r="B600" s="319"/>
      <c r="C600" s="319"/>
      <c r="D600" s="320"/>
      <c r="E600" s="320"/>
      <c r="F600" s="190"/>
      <c r="G6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0" s="190"/>
      <c r="I6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0" s="190"/>
      <c r="K6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0" s="190"/>
      <c r="M6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0" s="190"/>
      <c r="O6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0" s="190"/>
      <c r="Q6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0" s="192">
        <f ca="1">Table66[[#This Row],[Year 1 (Specified in RFO) - N/A]]+Table66[[#This Row],[Year 2 (Specified in RFO) - N/A]]+Table66[[#This Row],[Year 3 (Specified in RFO) - N/A]]+Table66[[#This Row],[Year 4 (Specified in RFO) - N/A]]+Table66[[#This Row],[Year 5 (Specified in RFO) - N/A]]+Table66[[#This Row],[Year 6 (Specified in RFO) - N/A]]</f>
        <v>0</v>
      </c>
      <c r="S600" s="402">
        <f ca="1">Table66[[#This Row],[Year 1  (Proposed)]]+Table66[[#This Row],[Year 2 (Proposed)]]+Table66[[#This Row],[Year 3 (Proposed)]]+Table66[[#This Row],[Year 4 (Proposed)]]+Table66[[#This Row],[Year 5 (Proposed)]]+Table66[[#This Row],[Year 6 (Proposed)]]</f>
        <v>0</v>
      </c>
      <c r="T600" s="403" t="b">
        <f ca="1">Table66[[#This Row],[Total Specifed in RFO - N/A]]=Table66[[#This Row],[Total Proposed]]</f>
        <v>1</v>
      </c>
      <c r="U600" s="439"/>
      <c r="V600" s="441">
        <f ca="1">Table66[[#This Row],[Year 6 (Specified in RFO) - N/A]]-Table66[[#This Row],[Column1]]</f>
        <v>0</v>
      </c>
    </row>
    <row r="601" spans="1:22" ht="16.5" thickBot="1">
      <c r="A601" s="319"/>
      <c r="B601" s="319"/>
      <c r="C601" s="319"/>
      <c r="D601" s="320"/>
      <c r="E601" s="320"/>
      <c r="F601" s="190"/>
      <c r="G6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1" s="190"/>
      <c r="I6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1" s="190"/>
      <c r="K6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1" s="190"/>
      <c r="M6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1" s="190"/>
      <c r="O6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1" s="190"/>
      <c r="Q6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1" s="192">
        <f ca="1">Table66[[#This Row],[Year 1 (Specified in RFO) - N/A]]+Table66[[#This Row],[Year 2 (Specified in RFO) - N/A]]+Table66[[#This Row],[Year 3 (Specified in RFO) - N/A]]+Table66[[#This Row],[Year 4 (Specified in RFO) - N/A]]+Table66[[#This Row],[Year 5 (Specified in RFO) - N/A]]+Table66[[#This Row],[Year 6 (Specified in RFO) - N/A]]</f>
        <v>0</v>
      </c>
      <c r="S601" s="402">
        <f ca="1">Table66[[#This Row],[Year 1  (Proposed)]]+Table66[[#This Row],[Year 2 (Proposed)]]+Table66[[#This Row],[Year 3 (Proposed)]]+Table66[[#This Row],[Year 4 (Proposed)]]+Table66[[#This Row],[Year 5 (Proposed)]]+Table66[[#This Row],[Year 6 (Proposed)]]</f>
        <v>0</v>
      </c>
      <c r="T601" s="403" t="b">
        <f ca="1">Table66[[#This Row],[Total Specifed in RFO - N/A]]=Table66[[#This Row],[Total Proposed]]</f>
        <v>1</v>
      </c>
      <c r="U601" s="439"/>
      <c r="V601" s="441">
        <f ca="1">Table66[[#This Row],[Year 6 (Specified in RFO) - N/A]]-Table66[[#This Row],[Column1]]</f>
        <v>0</v>
      </c>
    </row>
    <row r="602" spans="1:22" ht="16.5" thickBot="1">
      <c r="A602" s="227"/>
      <c r="B602" s="227"/>
      <c r="C602" s="227"/>
      <c r="D602" s="320"/>
      <c r="E602" s="231"/>
      <c r="F602" s="190"/>
      <c r="G6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2" s="190"/>
      <c r="I6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2" s="190"/>
      <c r="K6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2" s="190"/>
      <c r="M6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2" s="190"/>
      <c r="O6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2" s="190"/>
      <c r="Q6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2" s="192">
        <f ca="1">Table66[[#This Row],[Year 1 (Specified in RFO) - N/A]]+Table66[[#This Row],[Year 2 (Specified in RFO) - N/A]]+Table66[[#This Row],[Year 3 (Specified in RFO) - N/A]]+Table66[[#This Row],[Year 4 (Specified in RFO) - N/A]]+Table66[[#This Row],[Year 5 (Specified in RFO) - N/A]]+Table66[[#This Row],[Year 6 (Specified in RFO) - N/A]]</f>
        <v>0</v>
      </c>
      <c r="S602" s="402">
        <f ca="1">Table66[[#This Row],[Year 1  (Proposed)]]+Table66[[#This Row],[Year 2 (Proposed)]]+Table66[[#This Row],[Year 3 (Proposed)]]+Table66[[#This Row],[Year 4 (Proposed)]]+Table66[[#This Row],[Year 5 (Proposed)]]+Table66[[#This Row],[Year 6 (Proposed)]]</f>
        <v>0</v>
      </c>
      <c r="T602" s="403" t="b">
        <f ca="1">Table66[[#This Row],[Total Specifed in RFO - N/A]]=Table66[[#This Row],[Total Proposed]]</f>
        <v>1</v>
      </c>
      <c r="U602" s="439"/>
      <c r="V602" s="441">
        <f ca="1">Table66[[#This Row],[Year 6 (Specified in RFO) - N/A]]-Table66[[#This Row],[Column1]]</f>
        <v>0</v>
      </c>
    </row>
    <row r="603" spans="1:22" ht="16.5" thickBot="1">
      <c r="A603" s="227"/>
      <c r="B603" s="319"/>
      <c r="C603" s="319"/>
      <c r="D603" s="320"/>
      <c r="E603" s="320"/>
      <c r="F603" s="190"/>
      <c r="G6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3" s="190"/>
      <c r="I6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3" s="190"/>
      <c r="K6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3" s="190"/>
      <c r="M6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3" s="190"/>
      <c r="O6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3" s="190"/>
      <c r="Q6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3" s="192">
        <f ca="1">Table66[[#This Row],[Year 1 (Specified in RFO) - N/A]]+Table66[[#This Row],[Year 2 (Specified in RFO) - N/A]]+Table66[[#This Row],[Year 3 (Specified in RFO) - N/A]]+Table66[[#This Row],[Year 4 (Specified in RFO) - N/A]]+Table66[[#This Row],[Year 5 (Specified in RFO) - N/A]]+Table66[[#This Row],[Year 6 (Specified in RFO) - N/A]]</f>
        <v>0</v>
      </c>
      <c r="S603" s="402">
        <f ca="1">Table66[[#This Row],[Year 1  (Proposed)]]+Table66[[#This Row],[Year 2 (Proposed)]]+Table66[[#This Row],[Year 3 (Proposed)]]+Table66[[#This Row],[Year 4 (Proposed)]]+Table66[[#This Row],[Year 5 (Proposed)]]+Table66[[#This Row],[Year 6 (Proposed)]]</f>
        <v>0</v>
      </c>
      <c r="T603" s="403" t="b">
        <f ca="1">Table66[[#This Row],[Total Specifed in RFO - N/A]]=Table66[[#This Row],[Total Proposed]]</f>
        <v>1</v>
      </c>
      <c r="U603" s="439"/>
      <c r="V603" s="441">
        <f ca="1">Table66[[#This Row],[Year 6 (Specified in RFO) - N/A]]-Table66[[#This Row],[Column1]]</f>
        <v>0</v>
      </c>
    </row>
    <row r="604" spans="1:22" ht="16.5" thickBot="1">
      <c r="A604" s="319"/>
      <c r="B604" s="319"/>
      <c r="C604" s="319"/>
      <c r="D604" s="320"/>
      <c r="E604" s="320"/>
      <c r="F604" s="190"/>
      <c r="G6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4" s="190"/>
      <c r="I6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4" s="190"/>
      <c r="K6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4" s="190"/>
      <c r="M6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4" s="190"/>
      <c r="O6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4" s="190"/>
      <c r="Q6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4" s="192">
        <f ca="1">Table66[[#This Row],[Year 1 (Specified in RFO) - N/A]]+Table66[[#This Row],[Year 2 (Specified in RFO) - N/A]]+Table66[[#This Row],[Year 3 (Specified in RFO) - N/A]]+Table66[[#This Row],[Year 4 (Specified in RFO) - N/A]]+Table66[[#This Row],[Year 5 (Specified in RFO) - N/A]]+Table66[[#This Row],[Year 6 (Specified in RFO) - N/A]]</f>
        <v>0</v>
      </c>
      <c r="S604" s="402">
        <f ca="1">Table66[[#This Row],[Year 1  (Proposed)]]+Table66[[#This Row],[Year 2 (Proposed)]]+Table66[[#This Row],[Year 3 (Proposed)]]+Table66[[#This Row],[Year 4 (Proposed)]]+Table66[[#This Row],[Year 5 (Proposed)]]+Table66[[#This Row],[Year 6 (Proposed)]]</f>
        <v>0</v>
      </c>
      <c r="T604" s="403" t="b">
        <f ca="1">Table66[[#This Row],[Total Specifed in RFO - N/A]]=Table66[[#This Row],[Total Proposed]]</f>
        <v>1</v>
      </c>
      <c r="U604" s="439"/>
      <c r="V604" s="441">
        <f ca="1">Table66[[#This Row],[Year 6 (Specified in RFO) - N/A]]-Table66[[#This Row],[Column1]]</f>
        <v>0</v>
      </c>
    </row>
    <row r="605" spans="1:22" ht="16.5" thickBot="1">
      <c r="A605" s="227"/>
      <c r="B605" s="227"/>
      <c r="C605" s="227"/>
      <c r="D605" s="320"/>
      <c r="E605" s="231"/>
      <c r="F605" s="190"/>
      <c r="G6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5" s="190"/>
      <c r="I6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5" s="190"/>
      <c r="K6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5" s="190"/>
      <c r="M6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5" s="190"/>
      <c r="O6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5" s="190"/>
      <c r="Q6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5" s="192">
        <f ca="1">Table66[[#This Row],[Year 1 (Specified in RFO) - N/A]]+Table66[[#This Row],[Year 2 (Specified in RFO) - N/A]]+Table66[[#This Row],[Year 3 (Specified in RFO) - N/A]]+Table66[[#This Row],[Year 4 (Specified in RFO) - N/A]]+Table66[[#This Row],[Year 5 (Specified in RFO) - N/A]]+Table66[[#This Row],[Year 6 (Specified in RFO) - N/A]]</f>
        <v>0</v>
      </c>
      <c r="S605" s="402">
        <f ca="1">Table66[[#This Row],[Year 1  (Proposed)]]+Table66[[#This Row],[Year 2 (Proposed)]]+Table66[[#This Row],[Year 3 (Proposed)]]+Table66[[#This Row],[Year 4 (Proposed)]]+Table66[[#This Row],[Year 5 (Proposed)]]+Table66[[#This Row],[Year 6 (Proposed)]]</f>
        <v>0</v>
      </c>
      <c r="T605" s="403" t="b">
        <f ca="1">Table66[[#This Row],[Total Specifed in RFO - N/A]]=Table66[[#This Row],[Total Proposed]]</f>
        <v>1</v>
      </c>
      <c r="U605" s="439"/>
      <c r="V605" s="441">
        <f ca="1">Table66[[#This Row],[Year 6 (Specified in RFO) - N/A]]-Table66[[#This Row],[Column1]]</f>
        <v>0</v>
      </c>
    </row>
    <row r="606" spans="1:22" ht="16.5" thickBot="1">
      <c r="A606" s="227"/>
      <c r="B606" s="319"/>
      <c r="C606" s="319"/>
      <c r="D606" s="320"/>
      <c r="E606" s="320"/>
      <c r="F606" s="190"/>
      <c r="G6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6" s="190"/>
      <c r="I6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6" s="190"/>
      <c r="K6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6" s="190"/>
      <c r="M6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6" s="190"/>
      <c r="O6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6" s="190"/>
      <c r="Q6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6" s="192">
        <f ca="1">Table66[[#This Row],[Year 1 (Specified in RFO) - N/A]]+Table66[[#This Row],[Year 2 (Specified in RFO) - N/A]]+Table66[[#This Row],[Year 3 (Specified in RFO) - N/A]]+Table66[[#This Row],[Year 4 (Specified in RFO) - N/A]]+Table66[[#This Row],[Year 5 (Specified in RFO) - N/A]]+Table66[[#This Row],[Year 6 (Specified in RFO) - N/A]]</f>
        <v>0</v>
      </c>
      <c r="S606" s="402">
        <f ca="1">Table66[[#This Row],[Year 1  (Proposed)]]+Table66[[#This Row],[Year 2 (Proposed)]]+Table66[[#This Row],[Year 3 (Proposed)]]+Table66[[#This Row],[Year 4 (Proposed)]]+Table66[[#This Row],[Year 5 (Proposed)]]+Table66[[#This Row],[Year 6 (Proposed)]]</f>
        <v>0</v>
      </c>
      <c r="T606" s="403" t="b">
        <f ca="1">Table66[[#This Row],[Total Specifed in RFO - N/A]]=Table66[[#This Row],[Total Proposed]]</f>
        <v>1</v>
      </c>
      <c r="U606" s="439"/>
      <c r="V606" s="441">
        <f ca="1">Table66[[#This Row],[Year 6 (Specified in RFO) - N/A]]-Table66[[#This Row],[Column1]]</f>
        <v>0</v>
      </c>
    </row>
    <row r="607" spans="1:22" ht="16.5" thickBot="1">
      <c r="A607" s="319"/>
      <c r="B607" s="319"/>
      <c r="C607" s="319"/>
      <c r="D607" s="320"/>
      <c r="E607" s="320"/>
      <c r="F607" s="190"/>
      <c r="G6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7" s="190"/>
      <c r="I6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7" s="190"/>
      <c r="K6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7" s="190"/>
      <c r="M6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7" s="190"/>
      <c r="O6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7" s="190"/>
      <c r="Q6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7" s="192">
        <f ca="1">Table66[[#This Row],[Year 1 (Specified in RFO) - N/A]]+Table66[[#This Row],[Year 2 (Specified in RFO) - N/A]]+Table66[[#This Row],[Year 3 (Specified in RFO) - N/A]]+Table66[[#This Row],[Year 4 (Specified in RFO) - N/A]]+Table66[[#This Row],[Year 5 (Specified in RFO) - N/A]]+Table66[[#This Row],[Year 6 (Specified in RFO) - N/A]]</f>
        <v>0</v>
      </c>
      <c r="S607" s="402">
        <f ca="1">Table66[[#This Row],[Year 1  (Proposed)]]+Table66[[#This Row],[Year 2 (Proposed)]]+Table66[[#This Row],[Year 3 (Proposed)]]+Table66[[#This Row],[Year 4 (Proposed)]]+Table66[[#This Row],[Year 5 (Proposed)]]+Table66[[#This Row],[Year 6 (Proposed)]]</f>
        <v>0</v>
      </c>
      <c r="T607" s="403" t="b">
        <f ca="1">Table66[[#This Row],[Total Specifed in RFO - N/A]]=Table66[[#This Row],[Total Proposed]]</f>
        <v>1</v>
      </c>
      <c r="U607" s="439"/>
      <c r="V607" s="441">
        <f ca="1">Table66[[#This Row],[Year 6 (Specified in RFO) - N/A]]-Table66[[#This Row],[Column1]]</f>
        <v>0</v>
      </c>
    </row>
    <row r="608" spans="1:22" ht="16.5" thickBot="1">
      <c r="A608" s="227"/>
      <c r="B608" s="227"/>
      <c r="C608" s="227"/>
      <c r="D608" s="320"/>
      <c r="E608" s="231"/>
      <c r="F608" s="190"/>
      <c r="G6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8" s="190"/>
      <c r="I6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8" s="190"/>
      <c r="K6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8" s="190"/>
      <c r="M6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8" s="190"/>
      <c r="O6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8" s="190"/>
      <c r="Q6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8" s="192">
        <f ca="1">Table66[[#This Row],[Year 1 (Specified in RFO) - N/A]]+Table66[[#This Row],[Year 2 (Specified in RFO) - N/A]]+Table66[[#This Row],[Year 3 (Specified in RFO) - N/A]]+Table66[[#This Row],[Year 4 (Specified in RFO) - N/A]]+Table66[[#This Row],[Year 5 (Specified in RFO) - N/A]]+Table66[[#This Row],[Year 6 (Specified in RFO) - N/A]]</f>
        <v>0</v>
      </c>
      <c r="S608" s="402">
        <f ca="1">Table66[[#This Row],[Year 1  (Proposed)]]+Table66[[#This Row],[Year 2 (Proposed)]]+Table66[[#This Row],[Year 3 (Proposed)]]+Table66[[#This Row],[Year 4 (Proposed)]]+Table66[[#This Row],[Year 5 (Proposed)]]+Table66[[#This Row],[Year 6 (Proposed)]]</f>
        <v>0</v>
      </c>
      <c r="T608" s="403" t="b">
        <f ca="1">Table66[[#This Row],[Total Specifed in RFO - N/A]]=Table66[[#This Row],[Total Proposed]]</f>
        <v>1</v>
      </c>
      <c r="U608" s="439"/>
      <c r="V608" s="441">
        <f ca="1">Table66[[#This Row],[Year 6 (Specified in RFO) - N/A]]-Table66[[#This Row],[Column1]]</f>
        <v>0</v>
      </c>
    </row>
    <row r="609" spans="1:22" ht="16.5" thickBot="1">
      <c r="A609" s="227"/>
      <c r="B609" s="319"/>
      <c r="C609" s="319"/>
      <c r="D609" s="320"/>
      <c r="E609" s="320"/>
      <c r="F609" s="190"/>
      <c r="G6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9" s="190"/>
      <c r="I6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9" s="190"/>
      <c r="K6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9" s="190"/>
      <c r="M6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9" s="190"/>
      <c r="O6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9" s="190"/>
      <c r="Q6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9" s="192">
        <f ca="1">Table66[[#This Row],[Year 1 (Specified in RFO) - N/A]]+Table66[[#This Row],[Year 2 (Specified in RFO) - N/A]]+Table66[[#This Row],[Year 3 (Specified in RFO) - N/A]]+Table66[[#This Row],[Year 4 (Specified in RFO) - N/A]]+Table66[[#This Row],[Year 5 (Specified in RFO) - N/A]]+Table66[[#This Row],[Year 6 (Specified in RFO) - N/A]]</f>
        <v>0</v>
      </c>
      <c r="S609" s="402">
        <f ca="1">Table66[[#This Row],[Year 1  (Proposed)]]+Table66[[#This Row],[Year 2 (Proposed)]]+Table66[[#This Row],[Year 3 (Proposed)]]+Table66[[#This Row],[Year 4 (Proposed)]]+Table66[[#This Row],[Year 5 (Proposed)]]+Table66[[#This Row],[Year 6 (Proposed)]]</f>
        <v>0</v>
      </c>
      <c r="T609" s="403" t="b">
        <f ca="1">Table66[[#This Row],[Total Specifed in RFO - N/A]]=Table66[[#This Row],[Total Proposed]]</f>
        <v>1</v>
      </c>
      <c r="U609" s="439"/>
      <c r="V609" s="441">
        <f ca="1">Table66[[#This Row],[Year 6 (Specified in RFO) - N/A]]-Table66[[#This Row],[Column1]]</f>
        <v>0</v>
      </c>
    </row>
    <row r="610" spans="1:22" ht="16.5" thickBot="1">
      <c r="A610" s="319"/>
      <c r="B610" s="319"/>
      <c r="C610" s="319"/>
      <c r="D610" s="320"/>
      <c r="E610" s="320"/>
      <c r="F610" s="190"/>
      <c r="G6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0" s="190"/>
      <c r="I6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0" s="190"/>
      <c r="K6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0" s="190"/>
      <c r="M6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0" s="190"/>
      <c r="O6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0" s="190"/>
      <c r="Q6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0" s="192">
        <f ca="1">Table66[[#This Row],[Year 1 (Specified in RFO) - N/A]]+Table66[[#This Row],[Year 2 (Specified in RFO) - N/A]]+Table66[[#This Row],[Year 3 (Specified in RFO) - N/A]]+Table66[[#This Row],[Year 4 (Specified in RFO) - N/A]]+Table66[[#This Row],[Year 5 (Specified in RFO) - N/A]]+Table66[[#This Row],[Year 6 (Specified in RFO) - N/A]]</f>
        <v>0</v>
      </c>
      <c r="S610" s="402">
        <f ca="1">Table66[[#This Row],[Year 1  (Proposed)]]+Table66[[#This Row],[Year 2 (Proposed)]]+Table66[[#This Row],[Year 3 (Proposed)]]+Table66[[#This Row],[Year 4 (Proposed)]]+Table66[[#This Row],[Year 5 (Proposed)]]+Table66[[#This Row],[Year 6 (Proposed)]]</f>
        <v>0</v>
      </c>
      <c r="T610" s="403" t="b">
        <f ca="1">Table66[[#This Row],[Total Specifed in RFO - N/A]]=Table66[[#This Row],[Total Proposed]]</f>
        <v>1</v>
      </c>
      <c r="U610" s="439"/>
      <c r="V610" s="441">
        <f ca="1">Table66[[#This Row],[Year 6 (Specified in RFO) - N/A]]-Table66[[#This Row],[Column1]]</f>
        <v>0</v>
      </c>
    </row>
    <row r="611" spans="1:22" ht="16.5" thickBot="1">
      <c r="A611" s="227"/>
      <c r="B611" s="227"/>
      <c r="C611" s="227"/>
      <c r="D611" s="320"/>
      <c r="E611" s="231"/>
      <c r="F611" s="190"/>
      <c r="G6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1" s="190"/>
      <c r="I6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1" s="190"/>
      <c r="K6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1" s="190"/>
      <c r="M6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1" s="190"/>
      <c r="O6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1" s="190"/>
      <c r="Q6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1" s="192">
        <f ca="1">Table66[[#This Row],[Year 1 (Specified in RFO) - N/A]]+Table66[[#This Row],[Year 2 (Specified in RFO) - N/A]]+Table66[[#This Row],[Year 3 (Specified in RFO) - N/A]]+Table66[[#This Row],[Year 4 (Specified in RFO) - N/A]]+Table66[[#This Row],[Year 5 (Specified in RFO) - N/A]]+Table66[[#This Row],[Year 6 (Specified in RFO) - N/A]]</f>
        <v>0</v>
      </c>
      <c r="S611" s="402">
        <f ca="1">Table66[[#This Row],[Year 1  (Proposed)]]+Table66[[#This Row],[Year 2 (Proposed)]]+Table66[[#This Row],[Year 3 (Proposed)]]+Table66[[#This Row],[Year 4 (Proposed)]]+Table66[[#This Row],[Year 5 (Proposed)]]+Table66[[#This Row],[Year 6 (Proposed)]]</f>
        <v>0</v>
      </c>
      <c r="T611" s="403" t="b">
        <f ca="1">Table66[[#This Row],[Total Specifed in RFO - N/A]]=Table66[[#This Row],[Total Proposed]]</f>
        <v>1</v>
      </c>
      <c r="U611" s="439"/>
      <c r="V611" s="441">
        <f ca="1">Table66[[#This Row],[Year 6 (Specified in RFO) - N/A]]-Table66[[#This Row],[Column1]]</f>
        <v>0</v>
      </c>
    </row>
    <row r="612" spans="1:22" ht="16.5" thickBot="1">
      <c r="A612" s="227"/>
      <c r="B612" s="319"/>
      <c r="C612" s="319"/>
      <c r="D612" s="320"/>
      <c r="E612" s="320"/>
      <c r="F612" s="190"/>
      <c r="G6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2" s="190"/>
      <c r="I6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2" s="190"/>
      <c r="K6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2" s="190"/>
      <c r="M6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2" s="190"/>
      <c r="O6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2" s="190"/>
      <c r="Q6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2" s="192">
        <f ca="1">Table66[[#This Row],[Year 1 (Specified in RFO) - N/A]]+Table66[[#This Row],[Year 2 (Specified in RFO) - N/A]]+Table66[[#This Row],[Year 3 (Specified in RFO) - N/A]]+Table66[[#This Row],[Year 4 (Specified in RFO) - N/A]]+Table66[[#This Row],[Year 5 (Specified in RFO) - N/A]]+Table66[[#This Row],[Year 6 (Specified in RFO) - N/A]]</f>
        <v>0</v>
      </c>
      <c r="S612" s="402">
        <f ca="1">Table66[[#This Row],[Year 1  (Proposed)]]+Table66[[#This Row],[Year 2 (Proposed)]]+Table66[[#This Row],[Year 3 (Proposed)]]+Table66[[#This Row],[Year 4 (Proposed)]]+Table66[[#This Row],[Year 5 (Proposed)]]+Table66[[#This Row],[Year 6 (Proposed)]]</f>
        <v>0</v>
      </c>
      <c r="T612" s="403" t="b">
        <f ca="1">Table66[[#This Row],[Total Specifed in RFO - N/A]]=Table66[[#This Row],[Total Proposed]]</f>
        <v>1</v>
      </c>
      <c r="U612" s="439"/>
      <c r="V612" s="441">
        <f ca="1">Table66[[#This Row],[Year 6 (Specified in RFO) - N/A]]-Table66[[#This Row],[Column1]]</f>
        <v>0</v>
      </c>
    </row>
    <row r="613" spans="1:22" ht="16.5" thickBot="1">
      <c r="A613" s="319"/>
      <c r="B613" s="319"/>
      <c r="C613" s="319"/>
      <c r="D613" s="320"/>
      <c r="E613" s="320"/>
      <c r="F613" s="190"/>
      <c r="G6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3" s="190"/>
      <c r="I6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3" s="190"/>
      <c r="K6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3" s="190"/>
      <c r="M6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3" s="190"/>
      <c r="O6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3" s="190"/>
      <c r="Q6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3" s="192">
        <f ca="1">Table66[[#This Row],[Year 1 (Specified in RFO) - N/A]]+Table66[[#This Row],[Year 2 (Specified in RFO) - N/A]]+Table66[[#This Row],[Year 3 (Specified in RFO) - N/A]]+Table66[[#This Row],[Year 4 (Specified in RFO) - N/A]]+Table66[[#This Row],[Year 5 (Specified in RFO) - N/A]]+Table66[[#This Row],[Year 6 (Specified in RFO) - N/A]]</f>
        <v>0</v>
      </c>
      <c r="S613" s="402">
        <f ca="1">Table66[[#This Row],[Year 1  (Proposed)]]+Table66[[#This Row],[Year 2 (Proposed)]]+Table66[[#This Row],[Year 3 (Proposed)]]+Table66[[#This Row],[Year 4 (Proposed)]]+Table66[[#This Row],[Year 5 (Proposed)]]+Table66[[#This Row],[Year 6 (Proposed)]]</f>
        <v>0</v>
      </c>
      <c r="T613" s="403" t="b">
        <f ca="1">Table66[[#This Row],[Total Specifed in RFO - N/A]]=Table66[[#This Row],[Total Proposed]]</f>
        <v>1</v>
      </c>
      <c r="U613" s="439"/>
      <c r="V613" s="441">
        <f ca="1">Table66[[#This Row],[Year 6 (Specified in RFO) - N/A]]-Table66[[#This Row],[Column1]]</f>
        <v>0</v>
      </c>
    </row>
    <row r="614" spans="1:22" ht="16.5" thickBot="1">
      <c r="A614" s="227"/>
      <c r="B614" s="227"/>
      <c r="C614" s="227"/>
      <c r="D614" s="320"/>
      <c r="E614" s="231"/>
      <c r="F614" s="190"/>
      <c r="G6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4" s="190"/>
      <c r="I6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4" s="190"/>
      <c r="K6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4" s="190"/>
      <c r="M6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4" s="190"/>
      <c r="O6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4" s="190"/>
      <c r="Q6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4" s="192">
        <f ca="1">Table66[[#This Row],[Year 1 (Specified in RFO) - N/A]]+Table66[[#This Row],[Year 2 (Specified in RFO) - N/A]]+Table66[[#This Row],[Year 3 (Specified in RFO) - N/A]]+Table66[[#This Row],[Year 4 (Specified in RFO) - N/A]]+Table66[[#This Row],[Year 5 (Specified in RFO) - N/A]]+Table66[[#This Row],[Year 6 (Specified in RFO) - N/A]]</f>
        <v>0</v>
      </c>
      <c r="S614" s="402">
        <f ca="1">Table66[[#This Row],[Year 1  (Proposed)]]+Table66[[#This Row],[Year 2 (Proposed)]]+Table66[[#This Row],[Year 3 (Proposed)]]+Table66[[#This Row],[Year 4 (Proposed)]]+Table66[[#This Row],[Year 5 (Proposed)]]+Table66[[#This Row],[Year 6 (Proposed)]]</f>
        <v>0</v>
      </c>
      <c r="T614" s="403" t="b">
        <f ca="1">Table66[[#This Row],[Total Specifed in RFO - N/A]]=Table66[[#This Row],[Total Proposed]]</f>
        <v>1</v>
      </c>
      <c r="U614" s="439"/>
      <c r="V614" s="441">
        <f ca="1">Table66[[#This Row],[Year 6 (Specified in RFO) - N/A]]-Table66[[#This Row],[Column1]]</f>
        <v>0</v>
      </c>
    </row>
    <row r="615" spans="1:22" ht="16.5" thickBot="1">
      <c r="A615" s="227"/>
      <c r="B615" s="319"/>
      <c r="C615" s="319"/>
      <c r="D615" s="320"/>
      <c r="E615" s="320"/>
      <c r="F615" s="190"/>
      <c r="G6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5" s="190"/>
      <c r="I6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5" s="190"/>
      <c r="K6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5" s="190"/>
      <c r="M6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5" s="190"/>
      <c r="O6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5" s="190"/>
      <c r="Q6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5" s="192">
        <f ca="1">Table66[[#This Row],[Year 1 (Specified in RFO) - N/A]]+Table66[[#This Row],[Year 2 (Specified in RFO) - N/A]]+Table66[[#This Row],[Year 3 (Specified in RFO) - N/A]]+Table66[[#This Row],[Year 4 (Specified in RFO) - N/A]]+Table66[[#This Row],[Year 5 (Specified in RFO) - N/A]]+Table66[[#This Row],[Year 6 (Specified in RFO) - N/A]]</f>
        <v>0</v>
      </c>
      <c r="S615" s="402">
        <f ca="1">Table66[[#This Row],[Year 1  (Proposed)]]+Table66[[#This Row],[Year 2 (Proposed)]]+Table66[[#This Row],[Year 3 (Proposed)]]+Table66[[#This Row],[Year 4 (Proposed)]]+Table66[[#This Row],[Year 5 (Proposed)]]+Table66[[#This Row],[Year 6 (Proposed)]]</f>
        <v>0</v>
      </c>
      <c r="T615" s="403" t="b">
        <f ca="1">Table66[[#This Row],[Total Specifed in RFO - N/A]]=Table66[[#This Row],[Total Proposed]]</f>
        <v>1</v>
      </c>
      <c r="U615" s="439"/>
      <c r="V615" s="441">
        <f ca="1">Table66[[#This Row],[Year 6 (Specified in RFO) - N/A]]-Table66[[#This Row],[Column1]]</f>
        <v>0</v>
      </c>
    </row>
    <row r="616" spans="1:22" ht="16.5" thickBot="1">
      <c r="A616" s="319"/>
      <c r="B616" s="319"/>
      <c r="C616" s="319"/>
      <c r="D616" s="320"/>
      <c r="E616" s="320"/>
      <c r="F616" s="190"/>
      <c r="G6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6" s="190"/>
      <c r="I6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6" s="190"/>
      <c r="K6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6" s="190"/>
      <c r="M6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6" s="190"/>
      <c r="O6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6" s="190"/>
      <c r="Q6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6" s="192">
        <f ca="1">Table66[[#This Row],[Year 1 (Specified in RFO) - N/A]]+Table66[[#This Row],[Year 2 (Specified in RFO) - N/A]]+Table66[[#This Row],[Year 3 (Specified in RFO) - N/A]]+Table66[[#This Row],[Year 4 (Specified in RFO) - N/A]]+Table66[[#This Row],[Year 5 (Specified in RFO) - N/A]]+Table66[[#This Row],[Year 6 (Specified in RFO) - N/A]]</f>
        <v>0</v>
      </c>
      <c r="S616" s="402">
        <f ca="1">Table66[[#This Row],[Year 1  (Proposed)]]+Table66[[#This Row],[Year 2 (Proposed)]]+Table66[[#This Row],[Year 3 (Proposed)]]+Table66[[#This Row],[Year 4 (Proposed)]]+Table66[[#This Row],[Year 5 (Proposed)]]+Table66[[#This Row],[Year 6 (Proposed)]]</f>
        <v>0</v>
      </c>
      <c r="T616" s="403" t="b">
        <f ca="1">Table66[[#This Row],[Total Specifed in RFO - N/A]]=Table66[[#This Row],[Total Proposed]]</f>
        <v>1</v>
      </c>
      <c r="U616" s="439"/>
      <c r="V616" s="441">
        <f ca="1">Table66[[#This Row],[Year 6 (Specified in RFO) - N/A]]-Table66[[#This Row],[Column1]]</f>
        <v>0</v>
      </c>
    </row>
    <row r="617" spans="1:22" ht="16.5" thickBot="1">
      <c r="A617" s="227"/>
      <c r="B617" s="227"/>
      <c r="C617" s="227"/>
      <c r="D617" s="320"/>
      <c r="E617" s="231"/>
      <c r="F617" s="190"/>
      <c r="G6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7" s="190"/>
      <c r="I6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7" s="190"/>
      <c r="K6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7" s="190"/>
      <c r="M6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7" s="190"/>
      <c r="O6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7" s="190"/>
      <c r="Q6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7" s="192">
        <f ca="1">Table66[[#This Row],[Year 1 (Specified in RFO) - N/A]]+Table66[[#This Row],[Year 2 (Specified in RFO) - N/A]]+Table66[[#This Row],[Year 3 (Specified in RFO) - N/A]]+Table66[[#This Row],[Year 4 (Specified in RFO) - N/A]]+Table66[[#This Row],[Year 5 (Specified in RFO) - N/A]]+Table66[[#This Row],[Year 6 (Specified in RFO) - N/A]]</f>
        <v>0</v>
      </c>
      <c r="S617" s="402">
        <f ca="1">Table66[[#This Row],[Year 1  (Proposed)]]+Table66[[#This Row],[Year 2 (Proposed)]]+Table66[[#This Row],[Year 3 (Proposed)]]+Table66[[#This Row],[Year 4 (Proposed)]]+Table66[[#This Row],[Year 5 (Proposed)]]+Table66[[#This Row],[Year 6 (Proposed)]]</f>
        <v>0</v>
      </c>
      <c r="T617" s="403" t="b">
        <f ca="1">Table66[[#This Row],[Total Specifed in RFO - N/A]]=Table66[[#This Row],[Total Proposed]]</f>
        <v>1</v>
      </c>
      <c r="U617" s="439"/>
      <c r="V617" s="441">
        <f ca="1">Table66[[#This Row],[Year 6 (Specified in RFO) - N/A]]-Table66[[#This Row],[Column1]]</f>
        <v>0</v>
      </c>
    </row>
    <row r="618" spans="1:22" ht="16.5" thickBot="1">
      <c r="A618" s="227"/>
      <c r="B618" s="319"/>
      <c r="C618" s="319"/>
      <c r="D618" s="320"/>
      <c r="E618" s="320"/>
      <c r="F618" s="190"/>
      <c r="G6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8" s="190"/>
      <c r="I6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8" s="190"/>
      <c r="K6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8" s="190"/>
      <c r="M6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8" s="190"/>
      <c r="O6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8" s="190"/>
      <c r="Q6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8" s="192">
        <f ca="1">Table66[[#This Row],[Year 1 (Specified in RFO) - N/A]]+Table66[[#This Row],[Year 2 (Specified in RFO) - N/A]]+Table66[[#This Row],[Year 3 (Specified in RFO) - N/A]]+Table66[[#This Row],[Year 4 (Specified in RFO) - N/A]]+Table66[[#This Row],[Year 5 (Specified in RFO) - N/A]]+Table66[[#This Row],[Year 6 (Specified in RFO) - N/A]]</f>
        <v>0</v>
      </c>
      <c r="S618" s="402">
        <f ca="1">Table66[[#This Row],[Year 1  (Proposed)]]+Table66[[#This Row],[Year 2 (Proposed)]]+Table66[[#This Row],[Year 3 (Proposed)]]+Table66[[#This Row],[Year 4 (Proposed)]]+Table66[[#This Row],[Year 5 (Proposed)]]+Table66[[#This Row],[Year 6 (Proposed)]]</f>
        <v>0</v>
      </c>
      <c r="T618" s="403" t="b">
        <f ca="1">Table66[[#This Row],[Total Specifed in RFO - N/A]]=Table66[[#This Row],[Total Proposed]]</f>
        <v>1</v>
      </c>
      <c r="U618" s="439"/>
      <c r="V618" s="441">
        <f ca="1">Table66[[#This Row],[Year 6 (Specified in RFO) - N/A]]-Table66[[#This Row],[Column1]]</f>
        <v>0</v>
      </c>
    </row>
    <row r="619" spans="1:22" ht="16.5" thickBot="1">
      <c r="A619" s="319"/>
      <c r="B619" s="319"/>
      <c r="C619" s="319"/>
      <c r="D619" s="320"/>
      <c r="E619" s="320"/>
      <c r="F619" s="190"/>
      <c r="G6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9" s="190"/>
      <c r="I6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9" s="190"/>
      <c r="K6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9" s="190"/>
      <c r="M6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9" s="190"/>
      <c r="O6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9" s="190"/>
      <c r="Q6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9" s="192">
        <f ca="1">Table66[[#This Row],[Year 1 (Specified in RFO) - N/A]]+Table66[[#This Row],[Year 2 (Specified in RFO) - N/A]]+Table66[[#This Row],[Year 3 (Specified in RFO) - N/A]]+Table66[[#This Row],[Year 4 (Specified in RFO) - N/A]]+Table66[[#This Row],[Year 5 (Specified in RFO) - N/A]]+Table66[[#This Row],[Year 6 (Specified in RFO) - N/A]]</f>
        <v>0</v>
      </c>
      <c r="S619" s="402">
        <f ca="1">Table66[[#This Row],[Year 1  (Proposed)]]+Table66[[#This Row],[Year 2 (Proposed)]]+Table66[[#This Row],[Year 3 (Proposed)]]+Table66[[#This Row],[Year 4 (Proposed)]]+Table66[[#This Row],[Year 5 (Proposed)]]+Table66[[#This Row],[Year 6 (Proposed)]]</f>
        <v>0</v>
      </c>
      <c r="T619" s="403" t="b">
        <f ca="1">Table66[[#This Row],[Total Specifed in RFO - N/A]]=Table66[[#This Row],[Total Proposed]]</f>
        <v>1</v>
      </c>
      <c r="U619" s="439"/>
      <c r="V619" s="441">
        <f ca="1">Table66[[#This Row],[Year 6 (Specified in RFO) - N/A]]-Table66[[#This Row],[Column1]]</f>
        <v>0</v>
      </c>
    </row>
    <row r="620" spans="1:22" ht="16.5" thickBot="1">
      <c r="A620" s="227"/>
      <c r="B620" s="227"/>
      <c r="C620" s="227"/>
      <c r="D620" s="320"/>
      <c r="E620" s="231"/>
      <c r="F620" s="190"/>
      <c r="G6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0" s="190"/>
      <c r="I6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0" s="190"/>
      <c r="K6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0" s="190"/>
      <c r="M6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0" s="190"/>
      <c r="O6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0" s="190"/>
      <c r="Q6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0" s="192">
        <f ca="1">Table66[[#This Row],[Year 1 (Specified in RFO) - N/A]]+Table66[[#This Row],[Year 2 (Specified in RFO) - N/A]]+Table66[[#This Row],[Year 3 (Specified in RFO) - N/A]]+Table66[[#This Row],[Year 4 (Specified in RFO) - N/A]]+Table66[[#This Row],[Year 5 (Specified in RFO) - N/A]]+Table66[[#This Row],[Year 6 (Specified in RFO) - N/A]]</f>
        <v>0</v>
      </c>
      <c r="S620" s="402">
        <f ca="1">Table66[[#This Row],[Year 1  (Proposed)]]+Table66[[#This Row],[Year 2 (Proposed)]]+Table66[[#This Row],[Year 3 (Proposed)]]+Table66[[#This Row],[Year 4 (Proposed)]]+Table66[[#This Row],[Year 5 (Proposed)]]+Table66[[#This Row],[Year 6 (Proposed)]]</f>
        <v>0</v>
      </c>
      <c r="T620" s="403" t="b">
        <f ca="1">Table66[[#This Row],[Total Specifed in RFO - N/A]]=Table66[[#This Row],[Total Proposed]]</f>
        <v>1</v>
      </c>
      <c r="U620" s="439"/>
      <c r="V620" s="441">
        <f ca="1">Table66[[#This Row],[Year 6 (Specified in RFO) - N/A]]-Table66[[#This Row],[Column1]]</f>
        <v>0</v>
      </c>
    </row>
    <row r="621" spans="1:22" ht="16.5" thickBot="1">
      <c r="A621" s="227"/>
      <c r="B621" s="319"/>
      <c r="C621" s="319"/>
      <c r="D621" s="320"/>
      <c r="E621" s="320"/>
      <c r="F621" s="190"/>
      <c r="G6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1" s="190"/>
      <c r="I6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1" s="190"/>
      <c r="K6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1" s="190"/>
      <c r="M6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1" s="190"/>
      <c r="O6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1" s="190"/>
      <c r="Q6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1" s="192">
        <f ca="1">Table66[[#This Row],[Year 1 (Specified in RFO) - N/A]]+Table66[[#This Row],[Year 2 (Specified in RFO) - N/A]]+Table66[[#This Row],[Year 3 (Specified in RFO) - N/A]]+Table66[[#This Row],[Year 4 (Specified in RFO) - N/A]]+Table66[[#This Row],[Year 5 (Specified in RFO) - N/A]]+Table66[[#This Row],[Year 6 (Specified in RFO) - N/A]]</f>
        <v>0</v>
      </c>
      <c r="S621" s="402">
        <f ca="1">Table66[[#This Row],[Year 1  (Proposed)]]+Table66[[#This Row],[Year 2 (Proposed)]]+Table66[[#This Row],[Year 3 (Proposed)]]+Table66[[#This Row],[Year 4 (Proposed)]]+Table66[[#This Row],[Year 5 (Proposed)]]+Table66[[#This Row],[Year 6 (Proposed)]]</f>
        <v>0</v>
      </c>
      <c r="T621" s="403" t="b">
        <f ca="1">Table66[[#This Row],[Total Specifed in RFO - N/A]]=Table66[[#This Row],[Total Proposed]]</f>
        <v>1</v>
      </c>
      <c r="U621" s="439"/>
      <c r="V621" s="441">
        <f ca="1">Table66[[#This Row],[Year 6 (Specified in RFO) - N/A]]-Table66[[#This Row],[Column1]]</f>
        <v>0</v>
      </c>
    </row>
    <row r="622" spans="1:22" ht="16.5" thickBot="1">
      <c r="A622" s="319"/>
      <c r="B622" s="319"/>
      <c r="C622" s="319"/>
      <c r="D622" s="320"/>
      <c r="E622" s="320"/>
      <c r="F622" s="190"/>
      <c r="G6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2" s="190"/>
      <c r="I6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2" s="190"/>
      <c r="K6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2" s="190"/>
      <c r="M6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2" s="190"/>
      <c r="O6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2" s="190"/>
      <c r="Q6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2" s="192">
        <f ca="1">Table66[[#This Row],[Year 1 (Specified in RFO) - N/A]]+Table66[[#This Row],[Year 2 (Specified in RFO) - N/A]]+Table66[[#This Row],[Year 3 (Specified in RFO) - N/A]]+Table66[[#This Row],[Year 4 (Specified in RFO) - N/A]]+Table66[[#This Row],[Year 5 (Specified in RFO) - N/A]]+Table66[[#This Row],[Year 6 (Specified in RFO) - N/A]]</f>
        <v>0</v>
      </c>
      <c r="S622" s="402">
        <f ca="1">Table66[[#This Row],[Year 1  (Proposed)]]+Table66[[#This Row],[Year 2 (Proposed)]]+Table66[[#This Row],[Year 3 (Proposed)]]+Table66[[#This Row],[Year 4 (Proposed)]]+Table66[[#This Row],[Year 5 (Proposed)]]+Table66[[#This Row],[Year 6 (Proposed)]]</f>
        <v>0</v>
      </c>
      <c r="T622" s="403" t="b">
        <f ca="1">Table66[[#This Row],[Total Specifed in RFO - N/A]]=Table66[[#This Row],[Total Proposed]]</f>
        <v>1</v>
      </c>
      <c r="U622" s="439"/>
      <c r="V622" s="441">
        <f ca="1">Table66[[#This Row],[Year 6 (Specified in RFO) - N/A]]-Table66[[#This Row],[Column1]]</f>
        <v>0</v>
      </c>
    </row>
    <row r="623" spans="1:22" ht="16.5" thickBot="1">
      <c r="A623" s="227"/>
      <c r="B623" s="227"/>
      <c r="C623" s="227"/>
      <c r="D623" s="320"/>
      <c r="E623" s="231"/>
      <c r="F623" s="190"/>
      <c r="G6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3" s="190"/>
      <c r="I6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3" s="190"/>
      <c r="K6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3" s="190"/>
      <c r="M6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3" s="190"/>
      <c r="O6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3" s="190"/>
      <c r="Q6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3" s="192">
        <f ca="1">Table66[[#This Row],[Year 1 (Specified in RFO) - N/A]]+Table66[[#This Row],[Year 2 (Specified in RFO) - N/A]]+Table66[[#This Row],[Year 3 (Specified in RFO) - N/A]]+Table66[[#This Row],[Year 4 (Specified in RFO) - N/A]]+Table66[[#This Row],[Year 5 (Specified in RFO) - N/A]]+Table66[[#This Row],[Year 6 (Specified in RFO) - N/A]]</f>
        <v>0</v>
      </c>
      <c r="S623" s="402">
        <f ca="1">Table66[[#This Row],[Year 1  (Proposed)]]+Table66[[#This Row],[Year 2 (Proposed)]]+Table66[[#This Row],[Year 3 (Proposed)]]+Table66[[#This Row],[Year 4 (Proposed)]]+Table66[[#This Row],[Year 5 (Proposed)]]+Table66[[#This Row],[Year 6 (Proposed)]]</f>
        <v>0</v>
      </c>
      <c r="T623" s="403" t="b">
        <f ca="1">Table66[[#This Row],[Total Specifed in RFO - N/A]]=Table66[[#This Row],[Total Proposed]]</f>
        <v>1</v>
      </c>
      <c r="U623" s="439"/>
      <c r="V623" s="441">
        <f ca="1">Table66[[#This Row],[Year 6 (Specified in RFO) - N/A]]-Table66[[#This Row],[Column1]]</f>
        <v>0</v>
      </c>
    </row>
    <row r="624" spans="1:22" ht="16.5" thickBot="1">
      <c r="A624" s="227"/>
      <c r="B624" s="319"/>
      <c r="C624" s="319"/>
      <c r="D624" s="320"/>
      <c r="E624" s="320"/>
      <c r="F624" s="190"/>
      <c r="G6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4" s="190"/>
      <c r="I6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4" s="190"/>
      <c r="K6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4" s="190"/>
      <c r="M6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4" s="190"/>
      <c r="O6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4" s="190"/>
      <c r="Q6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4" s="192">
        <f ca="1">Table66[[#This Row],[Year 1 (Specified in RFO) - N/A]]+Table66[[#This Row],[Year 2 (Specified in RFO) - N/A]]+Table66[[#This Row],[Year 3 (Specified in RFO) - N/A]]+Table66[[#This Row],[Year 4 (Specified in RFO) - N/A]]+Table66[[#This Row],[Year 5 (Specified in RFO) - N/A]]+Table66[[#This Row],[Year 6 (Specified in RFO) - N/A]]</f>
        <v>0</v>
      </c>
      <c r="S624" s="402">
        <f ca="1">Table66[[#This Row],[Year 1  (Proposed)]]+Table66[[#This Row],[Year 2 (Proposed)]]+Table66[[#This Row],[Year 3 (Proposed)]]+Table66[[#This Row],[Year 4 (Proposed)]]+Table66[[#This Row],[Year 5 (Proposed)]]+Table66[[#This Row],[Year 6 (Proposed)]]</f>
        <v>0</v>
      </c>
      <c r="T624" s="403" t="b">
        <f ca="1">Table66[[#This Row],[Total Specifed in RFO - N/A]]=Table66[[#This Row],[Total Proposed]]</f>
        <v>1</v>
      </c>
      <c r="U624" s="439"/>
      <c r="V624" s="441">
        <f ca="1">Table66[[#This Row],[Year 6 (Specified in RFO) - N/A]]-Table66[[#This Row],[Column1]]</f>
        <v>0</v>
      </c>
    </row>
    <row r="625" spans="1:22" ht="16.5" thickBot="1">
      <c r="A625" s="319"/>
      <c r="B625" s="319"/>
      <c r="C625" s="319"/>
      <c r="D625" s="320"/>
      <c r="E625" s="320"/>
      <c r="F625" s="190"/>
      <c r="G6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5" s="190"/>
      <c r="I6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5" s="190"/>
      <c r="K6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5" s="190"/>
      <c r="M6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5" s="190"/>
      <c r="O6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5" s="190"/>
      <c r="Q6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5" s="192">
        <f ca="1">Table66[[#This Row],[Year 1 (Specified in RFO) - N/A]]+Table66[[#This Row],[Year 2 (Specified in RFO) - N/A]]+Table66[[#This Row],[Year 3 (Specified in RFO) - N/A]]+Table66[[#This Row],[Year 4 (Specified in RFO) - N/A]]+Table66[[#This Row],[Year 5 (Specified in RFO) - N/A]]+Table66[[#This Row],[Year 6 (Specified in RFO) - N/A]]</f>
        <v>0</v>
      </c>
      <c r="S625" s="402">
        <f ca="1">Table66[[#This Row],[Year 1  (Proposed)]]+Table66[[#This Row],[Year 2 (Proposed)]]+Table66[[#This Row],[Year 3 (Proposed)]]+Table66[[#This Row],[Year 4 (Proposed)]]+Table66[[#This Row],[Year 5 (Proposed)]]+Table66[[#This Row],[Year 6 (Proposed)]]</f>
        <v>0</v>
      </c>
      <c r="T625" s="403" t="b">
        <f ca="1">Table66[[#This Row],[Total Specifed in RFO - N/A]]=Table66[[#This Row],[Total Proposed]]</f>
        <v>1</v>
      </c>
      <c r="U625" s="439"/>
      <c r="V625" s="441">
        <f ca="1">Table66[[#This Row],[Year 6 (Specified in RFO) - N/A]]-Table66[[#This Row],[Column1]]</f>
        <v>0</v>
      </c>
    </row>
    <row r="626" spans="1:22" ht="16.5" thickBot="1">
      <c r="A626" s="227"/>
      <c r="B626" s="227"/>
      <c r="C626" s="227"/>
      <c r="D626" s="320"/>
      <c r="E626" s="231"/>
      <c r="F626" s="190"/>
      <c r="G6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6" s="190"/>
      <c r="I6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6" s="190"/>
      <c r="K6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6" s="190"/>
      <c r="M6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6" s="190"/>
      <c r="O6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6" s="190"/>
      <c r="Q6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6" s="192">
        <f ca="1">Table66[[#This Row],[Year 1 (Specified in RFO) - N/A]]+Table66[[#This Row],[Year 2 (Specified in RFO) - N/A]]+Table66[[#This Row],[Year 3 (Specified in RFO) - N/A]]+Table66[[#This Row],[Year 4 (Specified in RFO) - N/A]]+Table66[[#This Row],[Year 5 (Specified in RFO) - N/A]]+Table66[[#This Row],[Year 6 (Specified in RFO) - N/A]]</f>
        <v>0</v>
      </c>
      <c r="S626" s="402">
        <f ca="1">Table66[[#This Row],[Year 1  (Proposed)]]+Table66[[#This Row],[Year 2 (Proposed)]]+Table66[[#This Row],[Year 3 (Proposed)]]+Table66[[#This Row],[Year 4 (Proposed)]]+Table66[[#This Row],[Year 5 (Proposed)]]+Table66[[#This Row],[Year 6 (Proposed)]]</f>
        <v>0</v>
      </c>
      <c r="T626" s="403" t="b">
        <f ca="1">Table66[[#This Row],[Total Specifed in RFO - N/A]]=Table66[[#This Row],[Total Proposed]]</f>
        <v>1</v>
      </c>
      <c r="U626" s="439"/>
      <c r="V626" s="441">
        <f ca="1">Table66[[#This Row],[Year 6 (Specified in RFO) - N/A]]-Table66[[#This Row],[Column1]]</f>
        <v>0</v>
      </c>
    </row>
    <row r="627" spans="1:22" ht="16.5" thickBot="1">
      <c r="A627" s="227"/>
      <c r="B627" s="319"/>
      <c r="C627" s="319"/>
      <c r="D627" s="320"/>
      <c r="E627" s="320"/>
      <c r="F627" s="190"/>
      <c r="G6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7" s="190"/>
      <c r="I6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7" s="190"/>
      <c r="K6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7" s="190"/>
      <c r="M6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7" s="190"/>
      <c r="O6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7" s="190"/>
      <c r="Q6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7" s="192">
        <f ca="1">Table66[[#This Row],[Year 1 (Specified in RFO) - N/A]]+Table66[[#This Row],[Year 2 (Specified in RFO) - N/A]]+Table66[[#This Row],[Year 3 (Specified in RFO) - N/A]]+Table66[[#This Row],[Year 4 (Specified in RFO) - N/A]]+Table66[[#This Row],[Year 5 (Specified in RFO) - N/A]]+Table66[[#This Row],[Year 6 (Specified in RFO) - N/A]]</f>
        <v>0</v>
      </c>
      <c r="S627" s="402">
        <f ca="1">Table66[[#This Row],[Year 1  (Proposed)]]+Table66[[#This Row],[Year 2 (Proposed)]]+Table66[[#This Row],[Year 3 (Proposed)]]+Table66[[#This Row],[Year 4 (Proposed)]]+Table66[[#This Row],[Year 5 (Proposed)]]+Table66[[#This Row],[Year 6 (Proposed)]]</f>
        <v>0</v>
      </c>
      <c r="T627" s="403" t="b">
        <f ca="1">Table66[[#This Row],[Total Specifed in RFO - N/A]]=Table66[[#This Row],[Total Proposed]]</f>
        <v>1</v>
      </c>
      <c r="U627" s="439"/>
      <c r="V627" s="441">
        <f ca="1">Table66[[#This Row],[Year 6 (Specified in RFO) - N/A]]-Table66[[#This Row],[Column1]]</f>
        <v>0</v>
      </c>
    </row>
    <row r="628" spans="1:22" ht="16.5" thickBot="1">
      <c r="A628" s="319"/>
      <c r="B628" s="319"/>
      <c r="C628" s="319"/>
      <c r="D628" s="320"/>
      <c r="E628" s="320"/>
      <c r="F628" s="190"/>
      <c r="G6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8" s="190"/>
      <c r="I6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8" s="190"/>
      <c r="K6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8" s="190"/>
      <c r="M6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8" s="190"/>
      <c r="O6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8" s="190"/>
      <c r="Q6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8" s="192">
        <f ca="1">Table66[[#This Row],[Year 1 (Specified in RFO) - N/A]]+Table66[[#This Row],[Year 2 (Specified in RFO) - N/A]]+Table66[[#This Row],[Year 3 (Specified in RFO) - N/A]]+Table66[[#This Row],[Year 4 (Specified in RFO) - N/A]]+Table66[[#This Row],[Year 5 (Specified in RFO) - N/A]]+Table66[[#This Row],[Year 6 (Specified in RFO) - N/A]]</f>
        <v>0</v>
      </c>
      <c r="S628" s="402">
        <f ca="1">Table66[[#This Row],[Year 1  (Proposed)]]+Table66[[#This Row],[Year 2 (Proposed)]]+Table66[[#This Row],[Year 3 (Proposed)]]+Table66[[#This Row],[Year 4 (Proposed)]]+Table66[[#This Row],[Year 5 (Proposed)]]+Table66[[#This Row],[Year 6 (Proposed)]]</f>
        <v>0</v>
      </c>
      <c r="T628" s="403" t="b">
        <f ca="1">Table66[[#This Row],[Total Specifed in RFO - N/A]]=Table66[[#This Row],[Total Proposed]]</f>
        <v>1</v>
      </c>
      <c r="U628" s="439"/>
      <c r="V628" s="441">
        <f ca="1">Table66[[#This Row],[Year 6 (Specified in RFO) - N/A]]-Table66[[#This Row],[Column1]]</f>
        <v>0</v>
      </c>
    </row>
    <row r="629" spans="1:22" ht="16.5" thickBot="1">
      <c r="A629" s="227"/>
      <c r="B629" s="227"/>
      <c r="C629" s="227"/>
      <c r="D629" s="320"/>
      <c r="E629" s="231"/>
      <c r="F629" s="190"/>
      <c r="G6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9" s="190"/>
      <c r="I6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9" s="190"/>
      <c r="K6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9" s="190"/>
      <c r="M6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9" s="190"/>
      <c r="O6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9" s="190"/>
      <c r="Q6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9" s="192">
        <f ca="1">Table66[[#This Row],[Year 1 (Specified in RFO) - N/A]]+Table66[[#This Row],[Year 2 (Specified in RFO) - N/A]]+Table66[[#This Row],[Year 3 (Specified in RFO) - N/A]]+Table66[[#This Row],[Year 4 (Specified in RFO) - N/A]]+Table66[[#This Row],[Year 5 (Specified in RFO) - N/A]]+Table66[[#This Row],[Year 6 (Specified in RFO) - N/A]]</f>
        <v>0</v>
      </c>
      <c r="S629" s="402">
        <f ca="1">Table66[[#This Row],[Year 1  (Proposed)]]+Table66[[#This Row],[Year 2 (Proposed)]]+Table66[[#This Row],[Year 3 (Proposed)]]+Table66[[#This Row],[Year 4 (Proposed)]]+Table66[[#This Row],[Year 5 (Proposed)]]+Table66[[#This Row],[Year 6 (Proposed)]]</f>
        <v>0</v>
      </c>
      <c r="T629" s="403" t="b">
        <f ca="1">Table66[[#This Row],[Total Specifed in RFO - N/A]]=Table66[[#This Row],[Total Proposed]]</f>
        <v>1</v>
      </c>
      <c r="U629" s="439"/>
      <c r="V629" s="441">
        <f ca="1">Table66[[#This Row],[Year 6 (Specified in RFO) - N/A]]-Table66[[#This Row],[Column1]]</f>
        <v>0</v>
      </c>
    </row>
    <row r="630" spans="1:22" ht="16.5" thickBot="1">
      <c r="A630" s="227"/>
      <c r="B630" s="319"/>
      <c r="C630" s="319"/>
      <c r="D630" s="320"/>
      <c r="E630" s="320"/>
      <c r="F630" s="190"/>
      <c r="G6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0" s="190"/>
      <c r="I6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0" s="190"/>
      <c r="K6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0" s="190"/>
      <c r="M6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0" s="190"/>
      <c r="O6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0" s="190"/>
      <c r="Q6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0" s="192">
        <f ca="1">Table66[[#This Row],[Year 1 (Specified in RFO) - N/A]]+Table66[[#This Row],[Year 2 (Specified in RFO) - N/A]]+Table66[[#This Row],[Year 3 (Specified in RFO) - N/A]]+Table66[[#This Row],[Year 4 (Specified in RFO) - N/A]]+Table66[[#This Row],[Year 5 (Specified in RFO) - N/A]]+Table66[[#This Row],[Year 6 (Specified in RFO) - N/A]]</f>
        <v>0</v>
      </c>
      <c r="S630" s="402">
        <f ca="1">Table66[[#This Row],[Year 1  (Proposed)]]+Table66[[#This Row],[Year 2 (Proposed)]]+Table66[[#This Row],[Year 3 (Proposed)]]+Table66[[#This Row],[Year 4 (Proposed)]]+Table66[[#This Row],[Year 5 (Proposed)]]+Table66[[#This Row],[Year 6 (Proposed)]]</f>
        <v>0</v>
      </c>
      <c r="T630" s="403" t="b">
        <f ca="1">Table66[[#This Row],[Total Specifed in RFO - N/A]]=Table66[[#This Row],[Total Proposed]]</f>
        <v>1</v>
      </c>
      <c r="U630" s="439"/>
      <c r="V630" s="441">
        <f ca="1">Table66[[#This Row],[Year 6 (Specified in RFO) - N/A]]-Table66[[#This Row],[Column1]]</f>
        <v>0</v>
      </c>
    </row>
    <row r="631" spans="1:22" ht="16.5" thickBot="1">
      <c r="A631" s="319"/>
      <c r="B631" s="319"/>
      <c r="C631" s="319"/>
      <c r="D631" s="320"/>
      <c r="E631" s="320"/>
      <c r="F631" s="190"/>
      <c r="G6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1" s="190"/>
      <c r="I6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1" s="190"/>
      <c r="K6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1" s="190"/>
      <c r="M6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1" s="190"/>
      <c r="O6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1" s="190"/>
      <c r="Q6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1" s="192">
        <f ca="1">Table66[[#This Row],[Year 1 (Specified in RFO) - N/A]]+Table66[[#This Row],[Year 2 (Specified in RFO) - N/A]]+Table66[[#This Row],[Year 3 (Specified in RFO) - N/A]]+Table66[[#This Row],[Year 4 (Specified in RFO) - N/A]]+Table66[[#This Row],[Year 5 (Specified in RFO) - N/A]]+Table66[[#This Row],[Year 6 (Specified in RFO) - N/A]]</f>
        <v>0</v>
      </c>
      <c r="S631" s="402">
        <f ca="1">Table66[[#This Row],[Year 1  (Proposed)]]+Table66[[#This Row],[Year 2 (Proposed)]]+Table66[[#This Row],[Year 3 (Proposed)]]+Table66[[#This Row],[Year 4 (Proposed)]]+Table66[[#This Row],[Year 5 (Proposed)]]+Table66[[#This Row],[Year 6 (Proposed)]]</f>
        <v>0</v>
      </c>
      <c r="T631" s="403" t="b">
        <f ca="1">Table66[[#This Row],[Total Specifed in RFO - N/A]]=Table66[[#This Row],[Total Proposed]]</f>
        <v>1</v>
      </c>
      <c r="U631" s="439"/>
      <c r="V631" s="441">
        <f ca="1">Table66[[#This Row],[Year 6 (Specified in RFO) - N/A]]-Table66[[#This Row],[Column1]]</f>
        <v>0</v>
      </c>
    </row>
    <row r="632" spans="1:22" ht="16.5" thickBot="1">
      <c r="A632" s="227"/>
      <c r="B632" s="227"/>
      <c r="C632" s="227"/>
      <c r="D632" s="320"/>
      <c r="E632" s="231"/>
      <c r="F632" s="190"/>
      <c r="G6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2" s="190"/>
      <c r="I6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2" s="190"/>
      <c r="K6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2" s="190"/>
      <c r="M6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2" s="190"/>
      <c r="O6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2" s="190"/>
      <c r="Q6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2" s="192">
        <f ca="1">Table66[[#This Row],[Year 1 (Specified in RFO) - N/A]]+Table66[[#This Row],[Year 2 (Specified in RFO) - N/A]]+Table66[[#This Row],[Year 3 (Specified in RFO) - N/A]]+Table66[[#This Row],[Year 4 (Specified in RFO) - N/A]]+Table66[[#This Row],[Year 5 (Specified in RFO) - N/A]]+Table66[[#This Row],[Year 6 (Specified in RFO) - N/A]]</f>
        <v>0</v>
      </c>
      <c r="S632" s="402">
        <f ca="1">Table66[[#This Row],[Year 1  (Proposed)]]+Table66[[#This Row],[Year 2 (Proposed)]]+Table66[[#This Row],[Year 3 (Proposed)]]+Table66[[#This Row],[Year 4 (Proposed)]]+Table66[[#This Row],[Year 5 (Proposed)]]+Table66[[#This Row],[Year 6 (Proposed)]]</f>
        <v>0</v>
      </c>
      <c r="T632" s="403" t="b">
        <f ca="1">Table66[[#This Row],[Total Specifed in RFO - N/A]]=Table66[[#This Row],[Total Proposed]]</f>
        <v>1</v>
      </c>
      <c r="U632" s="439"/>
      <c r="V632" s="441">
        <f ca="1">Table66[[#This Row],[Year 6 (Specified in RFO) - N/A]]-Table66[[#This Row],[Column1]]</f>
        <v>0</v>
      </c>
    </row>
    <row r="633" spans="1:22" ht="16.5" thickBot="1">
      <c r="A633" s="227"/>
      <c r="B633" s="319"/>
      <c r="C633" s="319"/>
      <c r="D633" s="320"/>
      <c r="E633" s="320"/>
      <c r="F633" s="190"/>
      <c r="G6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3" s="190"/>
      <c r="I6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3" s="190"/>
      <c r="K6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3" s="190"/>
      <c r="M6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3" s="190"/>
      <c r="O6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3" s="190"/>
      <c r="Q6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3" s="192">
        <f ca="1">Table66[[#This Row],[Year 1 (Specified in RFO) - N/A]]+Table66[[#This Row],[Year 2 (Specified in RFO) - N/A]]+Table66[[#This Row],[Year 3 (Specified in RFO) - N/A]]+Table66[[#This Row],[Year 4 (Specified in RFO) - N/A]]+Table66[[#This Row],[Year 5 (Specified in RFO) - N/A]]+Table66[[#This Row],[Year 6 (Specified in RFO) - N/A]]</f>
        <v>0</v>
      </c>
      <c r="S633" s="402">
        <f ca="1">Table66[[#This Row],[Year 1  (Proposed)]]+Table66[[#This Row],[Year 2 (Proposed)]]+Table66[[#This Row],[Year 3 (Proposed)]]+Table66[[#This Row],[Year 4 (Proposed)]]+Table66[[#This Row],[Year 5 (Proposed)]]+Table66[[#This Row],[Year 6 (Proposed)]]</f>
        <v>0</v>
      </c>
      <c r="T633" s="403" t="b">
        <f ca="1">Table66[[#This Row],[Total Specifed in RFO - N/A]]=Table66[[#This Row],[Total Proposed]]</f>
        <v>1</v>
      </c>
      <c r="U633" s="439"/>
      <c r="V633" s="441">
        <f ca="1">Table66[[#This Row],[Year 6 (Specified in RFO) - N/A]]-Table66[[#This Row],[Column1]]</f>
        <v>0</v>
      </c>
    </row>
    <row r="634" spans="1:22" ht="16.5" thickBot="1">
      <c r="A634" s="319"/>
      <c r="B634" s="319"/>
      <c r="C634" s="319"/>
      <c r="D634" s="320"/>
      <c r="E634" s="320"/>
      <c r="F634" s="190"/>
      <c r="G6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4" s="190"/>
      <c r="I6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4" s="190"/>
      <c r="K6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4" s="190"/>
      <c r="M6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4" s="190"/>
      <c r="O6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4" s="190"/>
      <c r="Q6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4" s="192">
        <f ca="1">Table66[[#This Row],[Year 1 (Specified in RFO) - N/A]]+Table66[[#This Row],[Year 2 (Specified in RFO) - N/A]]+Table66[[#This Row],[Year 3 (Specified in RFO) - N/A]]+Table66[[#This Row],[Year 4 (Specified in RFO) - N/A]]+Table66[[#This Row],[Year 5 (Specified in RFO) - N/A]]+Table66[[#This Row],[Year 6 (Specified in RFO) - N/A]]</f>
        <v>0</v>
      </c>
      <c r="S634" s="402">
        <f ca="1">Table66[[#This Row],[Year 1  (Proposed)]]+Table66[[#This Row],[Year 2 (Proposed)]]+Table66[[#This Row],[Year 3 (Proposed)]]+Table66[[#This Row],[Year 4 (Proposed)]]+Table66[[#This Row],[Year 5 (Proposed)]]+Table66[[#This Row],[Year 6 (Proposed)]]</f>
        <v>0</v>
      </c>
      <c r="T634" s="403" t="b">
        <f ca="1">Table66[[#This Row],[Total Specifed in RFO - N/A]]=Table66[[#This Row],[Total Proposed]]</f>
        <v>1</v>
      </c>
      <c r="U634" s="439"/>
      <c r="V634" s="441">
        <f ca="1">Table66[[#This Row],[Year 6 (Specified in RFO) - N/A]]-Table66[[#This Row],[Column1]]</f>
        <v>0</v>
      </c>
    </row>
    <row r="635" spans="1:22" ht="16.5" thickBot="1">
      <c r="A635" s="227"/>
      <c r="B635" s="227"/>
      <c r="C635" s="227"/>
      <c r="D635" s="320"/>
      <c r="E635" s="231"/>
      <c r="F635" s="190"/>
      <c r="G6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5" s="190"/>
      <c r="I6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5" s="190"/>
      <c r="K6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5" s="190"/>
      <c r="M6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5" s="190"/>
      <c r="O6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5" s="190"/>
      <c r="Q6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5" s="192">
        <f ca="1">Table66[[#This Row],[Year 1 (Specified in RFO) - N/A]]+Table66[[#This Row],[Year 2 (Specified in RFO) - N/A]]+Table66[[#This Row],[Year 3 (Specified in RFO) - N/A]]+Table66[[#This Row],[Year 4 (Specified in RFO) - N/A]]+Table66[[#This Row],[Year 5 (Specified in RFO) - N/A]]+Table66[[#This Row],[Year 6 (Specified in RFO) - N/A]]</f>
        <v>0</v>
      </c>
      <c r="S635" s="402">
        <f ca="1">Table66[[#This Row],[Year 1  (Proposed)]]+Table66[[#This Row],[Year 2 (Proposed)]]+Table66[[#This Row],[Year 3 (Proposed)]]+Table66[[#This Row],[Year 4 (Proposed)]]+Table66[[#This Row],[Year 5 (Proposed)]]+Table66[[#This Row],[Year 6 (Proposed)]]</f>
        <v>0</v>
      </c>
      <c r="T635" s="403" t="b">
        <f ca="1">Table66[[#This Row],[Total Specifed in RFO - N/A]]=Table66[[#This Row],[Total Proposed]]</f>
        <v>1</v>
      </c>
      <c r="U635" s="439"/>
      <c r="V635" s="441">
        <f ca="1">Table66[[#This Row],[Year 6 (Specified in RFO) - N/A]]-Table66[[#This Row],[Column1]]</f>
        <v>0</v>
      </c>
    </row>
    <row r="636" spans="1:22" ht="16.5" thickBot="1">
      <c r="A636" s="227"/>
      <c r="B636" s="319"/>
      <c r="C636" s="319"/>
      <c r="D636" s="320"/>
      <c r="E636" s="320"/>
      <c r="F636" s="190"/>
      <c r="G6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6" s="190"/>
      <c r="I6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6" s="190"/>
      <c r="K6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6" s="190"/>
      <c r="M6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6" s="190"/>
      <c r="O6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6" s="190"/>
      <c r="Q6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6" s="192">
        <f ca="1">Table66[[#This Row],[Year 1 (Specified in RFO) - N/A]]+Table66[[#This Row],[Year 2 (Specified in RFO) - N/A]]+Table66[[#This Row],[Year 3 (Specified in RFO) - N/A]]+Table66[[#This Row],[Year 4 (Specified in RFO) - N/A]]+Table66[[#This Row],[Year 5 (Specified in RFO) - N/A]]+Table66[[#This Row],[Year 6 (Specified in RFO) - N/A]]</f>
        <v>0</v>
      </c>
      <c r="S636" s="402">
        <f ca="1">Table66[[#This Row],[Year 1  (Proposed)]]+Table66[[#This Row],[Year 2 (Proposed)]]+Table66[[#This Row],[Year 3 (Proposed)]]+Table66[[#This Row],[Year 4 (Proposed)]]+Table66[[#This Row],[Year 5 (Proposed)]]+Table66[[#This Row],[Year 6 (Proposed)]]</f>
        <v>0</v>
      </c>
      <c r="T636" s="403" t="b">
        <f ca="1">Table66[[#This Row],[Total Specifed in RFO - N/A]]=Table66[[#This Row],[Total Proposed]]</f>
        <v>1</v>
      </c>
      <c r="U636" s="439"/>
      <c r="V636" s="441">
        <f ca="1">Table66[[#This Row],[Year 6 (Specified in RFO) - N/A]]-Table66[[#This Row],[Column1]]</f>
        <v>0</v>
      </c>
    </row>
    <row r="637" spans="1:22" ht="16.5" thickBot="1">
      <c r="A637" s="319"/>
      <c r="B637" s="319"/>
      <c r="C637" s="319"/>
      <c r="D637" s="320"/>
      <c r="E637" s="320"/>
      <c r="F637" s="190"/>
      <c r="G6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7" s="190"/>
      <c r="I6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7" s="190"/>
      <c r="K6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7" s="190"/>
      <c r="M6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7" s="190"/>
      <c r="O6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7" s="190"/>
      <c r="Q6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7" s="192">
        <f ca="1">Table66[[#This Row],[Year 1 (Specified in RFO) - N/A]]+Table66[[#This Row],[Year 2 (Specified in RFO) - N/A]]+Table66[[#This Row],[Year 3 (Specified in RFO) - N/A]]+Table66[[#This Row],[Year 4 (Specified in RFO) - N/A]]+Table66[[#This Row],[Year 5 (Specified in RFO) - N/A]]+Table66[[#This Row],[Year 6 (Specified in RFO) - N/A]]</f>
        <v>0</v>
      </c>
      <c r="S637" s="402">
        <f ca="1">Table66[[#This Row],[Year 1  (Proposed)]]+Table66[[#This Row],[Year 2 (Proposed)]]+Table66[[#This Row],[Year 3 (Proposed)]]+Table66[[#This Row],[Year 4 (Proposed)]]+Table66[[#This Row],[Year 5 (Proposed)]]+Table66[[#This Row],[Year 6 (Proposed)]]</f>
        <v>0</v>
      </c>
      <c r="T637" s="403" t="b">
        <f ca="1">Table66[[#This Row],[Total Specifed in RFO - N/A]]=Table66[[#This Row],[Total Proposed]]</f>
        <v>1</v>
      </c>
      <c r="U637" s="439"/>
      <c r="V637" s="441">
        <f ca="1">Table66[[#This Row],[Year 6 (Specified in RFO) - N/A]]-Table66[[#This Row],[Column1]]</f>
        <v>0</v>
      </c>
    </row>
    <row r="638" spans="1:22" ht="16.5" thickBot="1">
      <c r="A638" s="227"/>
      <c r="B638" s="227"/>
      <c r="C638" s="227"/>
      <c r="D638" s="320"/>
      <c r="E638" s="231"/>
      <c r="F638" s="190"/>
      <c r="G6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8" s="190"/>
      <c r="I6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8" s="190"/>
      <c r="K6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8" s="190"/>
      <c r="M6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8" s="190"/>
      <c r="O6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8" s="190"/>
      <c r="Q6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8" s="192">
        <f ca="1">Table66[[#This Row],[Year 1 (Specified in RFO) - N/A]]+Table66[[#This Row],[Year 2 (Specified in RFO) - N/A]]+Table66[[#This Row],[Year 3 (Specified in RFO) - N/A]]+Table66[[#This Row],[Year 4 (Specified in RFO) - N/A]]+Table66[[#This Row],[Year 5 (Specified in RFO) - N/A]]+Table66[[#This Row],[Year 6 (Specified in RFO) - N/A]]</f>
        <v>0</v>
      </c>
      <c r="S638" s="402">
        <f ca="1">Table66[[#This Row],[Year 1  (Proposed)]]+Table66[[#This Row],[Year 2 (Proposed)]]+Table66[[#This Row],[Year 3 (Proposed)]]+Table66[[#This Row],[Year 4 (Proposed)]]+Table66[[#This Row],[Year 5 (Proposed)]]+Table66[[#This Row],[Year 6 (Proposed)]]</f>
        <v>0</v>
      </c>
      <c r="T638" s="403" t="b">
        <f ca="1">Table66[[#This Row],[Total Specifed in RFO - N/A]]=Table66[[#This Row],[Total Proposed]]</f>
        <v>1</v>
      </c>
      <c r="U638" s="439"/>
      <c r="V638" s="441">
        <f ca="1">Table66[[#This Row],[Year 6 (Specified in RFO) - N/A]]-Table66[[#This Row],[Column1]]</f>
        <v>0</v>
      </c>
    </row>
    <row r="639" spans="1:22" ht="16.5" thickBot="1">
      <c r="A639" s="227"/>
      <c r="B639" s="319"/>
      <c r="C639" s="319"/>
      <c r="D639" s="320"/>
      <c r="E639" s="320"/>
      <c r="F639" s="190"/>
      <c r="G6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9" s="190"/>
      <c r="I6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9" s="190"/>
      <c r="K6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9" s="190"/>
      <c r="M6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9" s="190"/>
      <c r="O6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9" s="190"/>
      <c r="Q6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9" s="192">
        <f ca="1">Table66[[#This Row],[Year 1 (Specified in RFO) - N/A]]+Table66[[#This Row],[Year 2 (Specified in RFO) - N/A]]+Table66[[#This Row],[Year 3 (Specified in RFO) - N/A]]+Table66[[#This Row],[Year 4 (Specified in RFO) - N/A]]+Table66[[#This Row],[Year 5 (Specified in RFO) - N/A]]+Table66[[#This Row],[Year 6 (Specified in RFO) - N/A]]</f>
        <v>0</v>
      </c>
      <c r="S639" s="402">
        <f ca="1">Table66[[#This Row],[Year 1  (Proposed)]]+Table66[[#This Row],[Year 2 (Proposed)]]+Table66[[#This Row],[Year 3 (Proposed)]]+Table66[[#This Row],[Year 4 (Proposed)]]+Table66[[#This Row],[Year 5 (Proposed)]]+Table66[[#This Row],[Year 6 (Proposed)]]</f>
        <v>0</v>
      </c>
      <c r="T639" s="403" t="b">
        <f ca="1">Table66[[#This Row],[Total Specifed in RFO - N/A]]=Table66[[#This Row],[Total Proposed]]</f>
        <v>1</v>
      </c>
      <c r="U639" s="439"/>
      <c r="V639" s="441">
        <f ca="1">Table66[[#This Row],[Year 6 (Specified in RFO) - N/A]]-Table66[[#This Row],[Column1]]</f>
        <v>0</v>
      </c>
    </row>
    <row r="640" spans="1:22" ht="16.5" thickBot="1">
      <c r="A640" s="319"/>
      <c r="B640" s="319"/>
      <c r="C640" s="319"/>
      <c r="D640" s="320"/>
      <c r="E640" s="320"/>
      <c r="F640" s="190"/>
      <c r="G6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0" s="190"/>
      <c r="I6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0" s="190"/>
      <c r="K6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0" s="190"/>
      <c r="M6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0" s="190"/>
      <c r="O6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0" s="190"/>
      <c r="Q6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0" s="192">
        <f ca="1">Table66[[#This Row],[Year 1 (Specified in RFO) - N/A]]+Table66[[#This Row],[Year 2 (Specified in RFO) - N/A]]+Table66[[#This Row],[Year 3 (Specified in RFO) - N/A]]+Table66[[#This Row],[Year 4 (Specified in RFO) - N/A]]+Table66[[#This Row],[Year 5 (Specified in RFO) - N/A]]+Table66[[#This Row],[Year 6 (Specified in RFO) - N/A]]</f>
        <v>0</v>
      </c>
      <c r="S640" s="402">
        <f ca="1">Table66[[#This Row],[Year 1  (Proposed)]]+Table66[[#This Row],[Year 2 (Proposed)]]+Table66[[#This Row],[Year 3 (Proposed)]]+Table66[[#This Row],[Year 4 (Proposed)]]+Table66[[#This Row],[Year 5 (Proposed)]]+Table66[[#This Row],[Year 6 (Proposed)]]</f>
        <v>0</v>
      </c>
      <c r="T640" s="403" t="b">
        <f ca="1">Table66[[#This Row],[Total Specifed in RFO - N/A]]=Table66[[#This Row],[Total Proposed]]</f>
        <v>1</v>
      </c>
      <c r="U640" s="439"/>
      <c r="V640" s="441">
        <f ca="1">Table66[[#This Row],[Year 6 (Specified in RFO) - N/A]]-Table66[[#This Row],[Column1]]</f>
        <v>0</v>
      </c>
    </row>
    <row r="641" spans="1:22" ht="16.5" thickBot="1">
      <c r="A641" s="227"/>
      <c r="B641" s="227"/>
      <c r="C641" s="227"/>
      <c r="D641" s="320"/>
      <c r="E641" s="231"/>
      <c r="F641" s="190"/>
      <c r="G6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1" s="190"/>
      <c r="I6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1" s="190"/>
      <c r="K6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1" s="190"/>
      <c r="M6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1" s="190"/>
      <c r="O6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1" s="190"/>
      <c r="Q6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1" s="192">
        <f ca="1">Table66[[#This Row],[Year 1 (Specified in RFO) - N/A]]+Table66[[#This Row],[Year 2 (Specified in RFO) - N/A]]+Table66[[#This Row],[Year 3 (Specified in RFO) - N/A]]+Table66[[#This Row],[Year 4 (Specified in RFO) - N/A]]+Table66[[#This Row],[Year 5 (Specified in RFO) - N/A]]+Table66[[#This Row],[Year 6 (Specified in RFO) - N/A]]</f>
        <v>0</v>
      </c>
      <c r="S641" s="402">
        <f ca="1">Table66[[#This Row],[Year 1  (Proposed)]]+Table66[[#This Row],[Year 2 (Proposed)]]+Table66[[#This Row],[Year 3 (Proposed)]]+Table66[[#This Row],[Year 4 (Proposed)]]+Table66[[#This Row],[Year 5 (Proposed)]]+Table66[[#This Row],[Year 6 (Proposed)]]</f>
        <v>0</v>
      </c>
      <c r="T641" s="403" t="b">
        <f ca="1">Table66[[#This Row],[Total Specifed in RFO - N/A]]=Table66[[#This Row],[Total Proposed]]</f>
        <v>1</v>
      </c>
      <c r="U641" s="439"/>
      <c r="V641" s="441">
        <f ca="1">Table66[[#This Row],[Year 6 (Specified in RFO) - N/A]]-Table66[[#This Row],[Column1]]</f>
        <v>0</v>
      </c>
    </row>
    <row r="642" spans="1:22" ht="16.5" thickBot="1">
      <c r="A642" s="227"/>
      <c r="B642" s="319"/>
      <c r="C642" s="319"/>
      <c r="D642" s="320"/>
      <c r="E642" s="320"/>
      <c r="F642" s="190"/>
      <c r="G6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2" s="190"/>
      <c r="I6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2" s="190"/>
      <c r="K6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2" s="190"/>
      <c r="M6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2" s="190"/>
      <c r="O6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2" s="190"/>
      <c r="Q6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2" s="192">
        <f ca="1">Table66[[#This Row],[Year 1 (Specified in RFO) - N/A]]+Table66[[#This Row],[Year 2 (Specified in RFO) - N/A]]+Table66[[#This Row],[Year 3 (Specified in RFO) - N/A]]+Table66[[#This Row],[Year 4 (Specified in RFO) - N/A]]+Table66[[#This Row],[Year 5 (Specified in RFO) - N/A]]+Table66[[#This Row],[Year 6 (Specified in RFO) - N/A]]</f>
        <v>0</v>
      </c>
      <c r="S642" s="402">
        <f ca="1">Table66[[#This Row],[Year 1  (Proposed)]]+Table66[[#This Row],[Year 2 (Proposed)]]+Table66[[#This Row],[Year 3 (Proposed)]]+Table66[[#This Row],[Year 4 (Proposed)]]+Table66[[#This Row],[Year 5 (Proposed)]]+Table66[[#This Row],[Year 6 (Proposed)]]</f>
        <v>0</v>
      </c>
      <c r="T642" s="403" t="b">
        <f ca="1">Table66[[#This Row],[Total Specifed in RFO - N/A]]=Table66[[#This Row],[Total Proposed]]</f>
        <v>1</v>
      </c>
      <c r="U642" s="439"/>
      <c r="V642" s="441">
        <f ca="1">Table66[[#This Row],[Year 6 (Specified in RFO) - N/A]]-Table66[[#This Row],[Column1]]</f>
        <v>0</v>
      </c>
    </row>
    <row r="643" spans="1:22" ht="16.5" thickBot="1">
      <c r="A643" s="319"/>
      <c r="B643" s="319"/>
      <c r="C643" s="319"/>
      <c r="D643" s="320"/>
      <c r="E643" s="320"/>
      <c r="F643" s="190"/>
      <c r="G6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3" s="190"/>
      <c r="I6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3" s="190"/>
      <c r="K6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3" s="190"/>
      <c r="M6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3" s="190"/>
      <c r="O6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3" s="190"/>
      <c r="Q6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3" s="192">
        <f ca="1">Table66[[#This Row],[Year 1 (Specified in RFO) - N/A]]+Table66[[#This Row],[Year 2 (Specified in RFO) - N/A]]+Table66[[#This Row],[Year 3 (Specified in RFO) - N/A]]+Table66[[#This Row],[Year 4 (Specified in RFO) - N/A]]+Table66[[#This Row],[Year 5 (Specified in RFO) - N/A]]+Table66[[#This Row],[Year 6 (Specified in RFO) - N/A]]</f>
        <v>0</v>
      </c>
      <c r="S643" s="402">
        <f ca="1">Table66[[#This Row],[Year 1  (Proposed)]]+Table66[[#This Row],[Year 2 (Proposed)]]+Table66[[#This Row],[Year 3 (Proposed)]]+Table66[[#This Row],[Year 4 (Proposed)]]+Table66[[#This Row],[Year 5 (Proposed)]]+Table66[[#This Row],[Year 6 (Proposed)]]</f>
        <v>0</v>
      </c>
      <c r="T643" s="403" t="b">
        <f ca="1">Table66[[#This Row],[Total Specifed in RFO - N/A]]=Table66[[#This Row],[Total Proposed]]</f>
        <v>1</v>
      </c>
      <c r="U643" s="439"/>
      <c r="V643" s="441">
        <f ca="1">Table66[[#This Row],[Year 6 (Specified in RFO) - N/A]]-Table66[[#This Row],[Column1]]</f>
        <v>0</v>
      </c>
    </row>
    <row r="644" spans="1:22" ht="16.5" thickBot="1">
      <c r="A644" s="227"/>
      <c r="B644" s="227"/>
      <c r="C644" s="227"/>
      <c r="D644" s="320"/>
      <c r="E644" s="231"/>
      <c r="F644" s="190"/>
      <c r="G6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4" s="190"/>
      <c r="I6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4" s="190"/>
      <c r="K6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4" s="190"/>
      <c r="M6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4" s="190"/>
      <c r="O6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4" s="190"/>
      <c r="Q6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4" s="192">
        <f ca="1">Table66[[#This Row],[Year 1 (Specified in RFO) - N/A]]+Table66[[#This Row],[Year 2 (Specified in RFO) - N/A]]+Table66[[#This Row],[Year 3 (Specified in RFO) - N/A]]+Table66[[#This Row],[Year 4 (Specified in RFO) - N/A]]+Table66[[#This Row],[Year 5 (Specified in RFO) - N/A]]+Table66[[#This Row],[Year 6 (Specified in RFO) - N/A]]</f>
        <v>0</v>
      </c>
      <c r="S644" s="402">
        <f ca="1">Table66[[#This Row],[Year 1  (Proposed)]]+Table66[[#This Row],[Year 2 (Proposed)]]+Table66[[#This Row],[Year 3 (Proposed)]]+Table66[[#This Row],[Year 4 (Proposed)]]+Table66[[#This Row],[Year 5 (Proposed)]]+Table66[[#This Row],[Year 6 (Proposed)]]</f>
        <v>0</v>
      </c>
      <c r="T644" s="403" t="b">
        <f ca="1">Table66[[#This Row],[Total Specifed in RFO - N/A]]=Table66[[#This Row],[Total Proposed]]</f>
        <v>1</v>
      </c>
      <c r="U644" s="439"/>
      <c r="V644" s="441">
        <f ca="1">Table66[[#This Row],[Year 6 (Specified in RFO) - N/A]]-Table66[[#This Row],[Column1]]</f>
        <v>0</v>
      </c>
    </row>
    <row r="645" spans="1:22" ht="16.5" thickBot="1">
      <c r="A645" s="227"/>
      <c r="B645" s="319"/>
      <c r="C645" s="319"/>
      <c r="D645" s="320"/>
      <c r="E645" s="320"/>
      <c r="F645" s="190"/>
      <c r="G6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5" s="190"/>
      <c r="I6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5" s="190"/>
      <c r="K6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5" s="190"/>
      <c r="M6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5" s="190"/>
      <c r="O6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5" s="190"/>
      <c r="Q6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5" s="192">
        <f ca="1">Table66[[#This Row],[Year 1 (Specified in RFO) - N/A]]+Table66[[#This Row],[Year 2 (Specified in RFO) - N/A]]+Table66[[#This Row],[Year 3 (Specified in RFO) - N/A]]+Table66[[#This Row],[Year 4 (Specified in RFO) - N/A]]+Table66[[#This Row],[Year 5 (Specified in RFO) - N/A]]+Table66[[#This Row],[Year 6 (Specified in RFO) - N/A]]</f>
        <v>0</v>
      </c>
      <c r="S645" s="402">
        <f ca="1">Table66[[#This Row],[Year 1  (Proposed)]]+Table66[[#This Row],[Year 2 (Proposed)]]+Table66[[#This Row],[Year 3 (Proposed)]]+Table66[[#This Row],[Year 4 (Proposed)]]+Table66[[#This Row],[Year 5 (Proposed)]]+Table66[[#This Row],[Year 6 (Proposed)]]</f>
        <v>0</v>
      </c>
      <c r="T645" s="403" t="b">
        <f ca="1">Table66[[#This Row],[Total Specifed in RFO - N/A]]=Table66[[#This Row],[Total Proposed]]</f>
        <v>1</v>
      </c>
      <c r="U645" s="439"/>
      <c r="V645" s="441">
        <f ca="1">Table66[[#This Row],[Year 6 (Specified in RFO) - N/A]]-Table66[[#This Row],[Column1]]</f>
        <v>0</v>
      </c>
    </row>
    <row r="646" spans="1:22" ht="16.5" thickBot="1">
      <c r="A646" s="319"/>
      <c r="B646" s="319"/>
      <c r="C646" s="319"/>
      <c r="D646" s="320"/>
      <c r="E646" s="320"/>
      <c r="F646" s="190"/>
      <c r="G6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6" s="190"/>
      <c r="I6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6" s="190"/>
      <c r="K6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6" s="190"/>
      <c r="M6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6" s="190"/>
      <c r="O6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6" s="190"/>
      <c r="Q6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6" s="192">
        <f ca="1">Table66[[#This Row],[Year 1 (Specified in RFO) - N/A]]+Table66[[#This Row],[Year 2 (Specified in RFO) - N/A]]+Table66[[#This Row],[Year 3 (Specified in RFO) - N/A]]+Table66[[#This Row],[Year 4 (Specified in RFO) - N/A]]+Table66[[#This Row],[Year 5 (Specified in RFO) - N/A]]+Table66[[#This Row],[Year 6 (Specified in RFO) - N/A]]</f>
        <v>0</v>
      </c>
      <c r="S646" s="402">
        <f ca="1">Table66[[#This Row],[Year 1  (Proposed)]]+Table66[[#This Row],[Year 2 (Proposed)]]+Table66[[#This Row],[Year 3 (Proposed)]]+Table66[[#This Row],[Year 4 (Proposed)]]+Table66[[#This Row],[Year 5 (Proposed)]]+Table66[[#This Row],[Year 6 (Proposed)]]</f>
        <v>0</v>
      </c>
      <c r="T646" s="403" t="b">
        <f ca="1">Table66[[#This Row],[Total Specifed in RFO - N/A]]=Table66[[#This Row],[Total Proposed]]</f>
        <v>1</v>
      </c>
      <c r="U646" s="439"/>
      <c r="V646" s="441">
        <f ca="1">Table66[[#This Row],[Year 6 (Specified in RFO) - N/A]]-Table66[[#This Row],[Column1]]</f>
        <v>0</v>
      </c>
    </row>
    <row r="647" spans="1:22" ht="16.5" thickBot="1">
      <c r="A647" s="227"/>
      <c r="B647" s="227"/>
      <c r="C647" s="227"/>
      <c r="D647" s="320"/>
      <c r="E647" s="231"/>
      <c r="F647" s="190"/>
      <c r="G6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7" s="190"/>
      <c r="I6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7" s="190"/>
      <c r="K6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7" s="190"/>
      <c r="M6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7" s="190"/>
      <c r="O6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7" s="190"/>
      <c r="Q6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7" s="192">
        <f ca="1">Table66[[#This Row],[Year 1 (Specified in RFO) - N/A]]+Table66[[#This Row],[Year 2 (Specified in RFO) - N/A]]+Table66[[#This Row],[Year 3 (Specified in RFO) - N/A]]+Table66[[#This Row],[Year 4 (Specified in RFO) - N/A]]+Table66[[#This Row],[Year 5 (Specified in RFO) - N/A]]+Table66[[#This Row],[Year 6 (Specified in RFO) - N/A]]</f>
        <v>0</v>
      </c>
      <c r="S647" s="402">
        <f ca="1">Table66[[#This Row],[Year 1  (Proposed)]]+Table66[[#This Row],[Year 2 (Proposed)]]+Table66[[#This Row],[Year 3 (Proposed)]]+Table66[[#This Row],[Year 4 (Proposed)]]+Table66[[#This Row],[Year 5 (Proposed)]]+Table66[[#This Row],[Year 6 (Proposed)]]</f>
        <v>0</v>
      </c>
      <c r="T647" s="403" t="b">
        <f ca="1">Table66[[#This Row],[Total Specifed in RFO - N/A]]=Table66[[#This Row],[Total Proposed]]</f>
        <v>1</v>
      </c>
      <c r="U647" s="439"/>
      <c r="V647" s="441">
        <f ca="1">Table66[[#This Row],[Year 6 (Specified in RFO) - N/A]]-Table66[[#This Row],[Column1]]</f>
        <v>0</v>
      </c>
    </row>
    <row r="648" spans="1:22" ht="16.5" thickBot="1">
      <c r="A648" s="227"/>
      <c r="B648" s="319"/>
      <c r="C648" s="319"/>
      <c r="D648" s="320"/>
      <c r="E648" s="320"/>
      <c r="F648" s="190"/>
      <c r="G6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8" s="190"/>
      <c r="I6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8" s="190"/>
      <c r="K6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8" s="190"/>
      <c r="M6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8" s="190"/>
      <c r="O6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8" s="190"/>
      <c r="Q6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8" s="192">
        <f ca="1">Table66[[#This Row],[Year 1 (Specified in RFO) - N/A]]+Table66[[#This Row],[Year 2 (Specified in RFO) - N/A]]+Table66[[#This Row],[Year 3 (Specified in RFO) - N/A]]+Table66[[#This Row],[Year 4 (Specified in RFO) - N/A]]+Table66[[#This Row],[Year 5 (Specified in RFO) - N/A]]+Table66[[#This Row],[Year 6 (Specified in RFO) - N/A]]</f>
        <v>0</v>
      </c>
      <c r="S648" s="402">
        <f ca="1">Table66[[#This Row],[Year 1  (Proposed)]]+Table66[[#This Row],[Year 2 (Proposed)]]+Table66[[#This Row],[Year 3 (Proposed)]]+Table66[[#This Row],[Year 4 (Proposed)]]+Table66[[#This Row],[Year 5 (Proposed)]]+Table66[[#This Row],[Year 6 (Proposed)]]</f>
        <v>0</v>
      </c>
      <c r="T648" s="403" t="b">
        <f ca="1">Table66[[#This Row],[Total Specifed in RFO - N/A]]=Table66[[#This Row],[Total Proposed]]</f>
        <v>1</v>
      </c>
      <c r="U648" s="439"/>
      <c r="V648" s="441">
        <f ca="1">Table66[[#This Row],[Year 6 (Specified in RFO) - N/A]]-Table66[[#This Row],[Column1]]</f>
        <v>0</v>
      </c>
    </row>
    <row r="649" spans="1:22" ht="16.5" thickBot="1">
      <c r="A649" s="319"/>
      <c r="B649" s="319"/>
      <c r="C649" s="319"/>
      <c r="D649" s="320"/>
      <c r="E649" s="320"/>
      <c r="F649" s="190"/>
      <c r="G6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9" s="190"/>
      <c r="I6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9" s="190"/>
      <c r="K6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9" s="190"/>
      <c r="M6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9" s="190"/>
      <c r="O6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9" s="190"/>
      <c r="Q6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9" s="192">
        <f ca="1">Table66[[#This Row],[Year 1 (Specified in RFO) - N/A]]+Table66[[#This Row],[Year 2 (Specified in RFO) - N/A]]+Table66[[#This Row],[Year 3 (Specified in RFO) - N/A]]+Table66[[#This Row],[Year 4 (Specified in RFO) - N/A]]+Table66[[#This Row],[Year 5 (Specified in RFO) - N/A]]+Table66[[#This Row],[Year 6 (Specified in RFO) - N/A]]</f>
        <v>0</v>
      </c>
      <c r="S649" s="402">
        <f ca="1">Table66[[#This Row],[Year 1  (Proposed)]]+Table66[[#This Row],[Year 2 (Proposed)]]+Table66[[#This Row],[Year 3 (Proposed)]]+Table66[[#This Row],[Year 4 (Proposed)]]+Table66[[#This Row],[Year 5 (Proposed)]]+Table66[[#This Row],[Year 6 (Proposed)]]</f>
        <v>0</v>
      </c>
      <c r="T649" s="403" t="b">
        <f ca="1">Table66[[#This Row],[Total Specifed in RFO - N/A]]=Table66[[#This Row],[Total Proposed]]</f>
        <v>1</v>
      </c>
      <c r="U649" s="439"/>
      <c r="V649" s="441">
        <f ca="1">Table66[[#This Row],[Year 6 (Specified in RFO) - N/A]]-Table66[[#This Row],[Column1]]</f>
        <v>0</v>
      </c>
    </row>
    <row r="650" spans="1:22" ht="16.5" thickBot="1">
      <c r="A650" s="227"/>
      <c r="B650" s="227"/>
      <c r="C650" s="227"/>
      <c r="D650" s="320"/>
      <c r="E650" s="231"/>
      <c r="F650" s="190"/>
      <c r="G6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0" s="190"/>
      <c r="I6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0" s="190"/>
      <c r="K6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0" s="190"/>
      <c r="M6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0" s="190"/>
      <c r="O6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0" s="190"/>
      <c r="Q6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0" s="192">
        <f ca="1">Table66[[#This Row],[Year 1 (Specified in RFO) - N/A]]+Table66[[#This Row],[Year 2 (Specified in RFO) - N/A]]+Table66[[#This Row],[Year 3 (Specified in RFO) - N/A]]+Table66[[#This Row],[Year 4 (Specified in RFO) - N/A]]+Table66[[#This Row],[Year 5 (Specified in RFO) - N/A]]+Table66[[#This Row],[Year 6 (Specified in RFO) - N/A]]</f>
        <v>0</v>
      </c>
      <c r="S650" s="402">
        <f ca="1">Table66[[#This Row],[Year 1  (Proposed)]]+Table66[[#This Row],[Year 2 (Proposed)]]+Table66[[#This Row],[Year 3 (Proposed)]]+Table66[[#This Row],[Year 4 (Proposed)]]+Table66[[#This Row],[Year 5 (Proposed)]]+Table66[[#This Row],[Year 6 (Proposed)]]</f>
        <v>0</v>
      </c>
      <c r="T650" s="403" t="b">
        <f ca="1">Table66[[#This Row],[Total Specifed in RFO - N/A]]=Table66[[#This Row],[Total Proposed]]</f>
        <v>1</v>
      </c>
      <c r="U650" s="439"/>
      <c r="V650" s="441">
        <f ca="1">Table66[[#This Row],[Year 6 (Specified in RFO) - N/A]]-Table66[[#This Row],[Column1]]</f>
        <v>0</v>
      </c>
    </row>
    <row r="651" spans="1:22" ht="16.5" thickBot="1">
      <c r="A651" s="227"/>
      <c r="B651" s="319"/>
      <c r="C651" s="319"/>
      <c r="D651" s="320"/>
      <c r="E651" s="320"/>
      <c r="F651" s="190"/>
      <c r="G6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1" s="190"/>
      <c r="I6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1" s="190"/>
      <c r="K6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1" s="190"/>
      <c r="M6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1" s="190"/>
      <c r="O6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1" s="190"/>
      <c r="Q6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1" s="192">
        <f ca="1">Table66[[#This Row],[Year 1 (Specified in RFO) - N/A]]+Table66[[#This Row],[Year 2 (Specified in RFO) - N/A]]+Table66[[#This Row],[Year 3 (Specified in RFO) - N/A]]+Table66[[#This Row],[Year 4 (Specified in RFO) - N/A]]+Table66[[#This Row],[Year 5 (Specified in RFO) - N/A]]+Table66[[#This Row],[Year 6 (Specified in RFO) - N/A]]</f>
        <v>0</v>
      </c>
      <c r="S651" s="402">
        <f ca="1">Table66[[#This Row],[Year 1  (Proposed)]]+Table66[[#This Row],[Year 2 (Proposed)]]+Table66[[#This Row],[Year 3 (Proposed)]]+Table66[[#This Row],[Year 4 (Proposed)]]+Table66[[#This Row],[Year 5 (Proposed)]]+Table66[[#This Row],[Year 6 (Proposed)]]</f>
        <v>0</v>
      </c>
      <c r="T651" s="403" t="b">
        <f ca="1">Table66[[#This Row],[Total Specifed in RFO - N/A]]=Table66[[#This Row],[Total Proposed]]</f>
        <v>1</v>
      </c>
      <c r="U651" s="439"/>
      <c r="V651" s="441">
        <f ca="1">Table66[[#This Row],[Year 6 (Specified in RFO) - N/A]]-Table66[[#This Row],[Column1]]</f>
        <v>0</v>
      </c>
    </row>
    <row r="652" spans="1:22" ht="16.5" thickBot="1">
      <c r="A652" s="319"/>
      <c r="B652" s="319"/>
      <c r="C652" s="319"/>
      <c r="D652" s="320"/>
      <c r="E652" s="320"/>
      <c r="F652" s="190"/>
      <c r="G6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2" s="190"/>
      <c r="I6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2" s="190"/>
      <c r="K6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2" s="190"/>
      <c r="M6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2" s="190"/>
      <c r="O6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2" s="190"/>
      <c r="Q6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2" s="192">
        <f ca="1">Table66[[#This Row],[Year 1 (Specified in RFO) - N/A]]+Table66[[#This Row],[Year 2 (Specified in RFO) - N/A]]+Table66[[#This Row],[Year 3 (Specified in RFO) - N/A]]+Table66[[#This Row],[Year 4 (Specified in RFO) - N/A]]+Table66[[#This Row],[Year 5 (Specified in RFO) - N/A]]+Table66[[#This Row],[Year 6 (Specified in RFO) - N/A]]</f>
        <v>0</v>
      </c>
      <c r="S652" s="402">
        <f ca="1">Table66[[#This Row],[Year 1  (Proposed)]]+Table66[[#This Row],[Year 2 (Proposed)]]+Table66[[#This Row],[Year 3 (Proposed)]]+Table66[[#This Row],[Year 4 (Proposed)]]+Table66[[#This Row],[Year 5 (Proposed)]]+Table66[[#This Row],[Year 6 (Proposed)]]</f>
        <v>0</v>
      </c>
      <c r="T652" s="403" t="b">
        <f ca="1">Table66[[#This Row],[Total Specifed in RFO - N/A]]=Table66[[#This Row],[Total Proposed]]</f>
        <v>1</v>
      </c>
      <c r="U652" s="439"/>
      <c r="V652" s="441">
        <f ca="1">Table66[[#This Row],[Year 6 (Specified in RFO) - N/A]]-Table66[[#This Row],[Column1]]</f>
        <v>0</v>
      </c>
    </row>
    <row r="653" spans="1:22" ht="16.5" thickBot="1">
      <c r="A653" s="227"/>
      <c r="B653" s="227"/>
      <c r="C653" s="227"/>
      <c r="D653" s="320"/>
      <c r="E653" s="231"/>
      <c r="F653" s="190"/>
      <c r="G6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3" s="190"/>
      <c r="I6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3" s="190"/>
      <c r="K6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3" s="190"/>
      <c r="M6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3" s="190"/>
      <c r="O6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3" s="190"/>
      <c r="Q6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3" s="192">
        <f ca="1">Table66[[#This Row],[Year 1 (Specified in RFO) - N/A]]+Table66[[#This Row],[Year 2 (Specified in RFO) - N/A]]+Table66[[#This Row],[Year 3 (Specified in RFO) - N/A]]+Table66[[#This Row],[Year 4 (Specified in RFO) - N/A]]+Table66[[#This Row],[Year 5 (Specified in RFO) - N/A]]+Table66[[#This Row],[Year 6 (Specified in RFO) - N/A]]</f>
        <v>0</v>
      </c>
      <c r="S653" s="402">
        <f ca="1">Table66[[#This Row],[Year 1  (Proposed)]]+Table66[[#This Row],[Year 2 (Proposed)]]+Table66[[#This Row],[Year 3 (Proposed)]]+Table66[[#This Row],[Year 4 (Proposed)]]+Table66[[#This Row],[Year 5 (Proposed)]]+Table66[[#This Row],[Year 6 (Proposed)]]</f>
        <v>0</v>
      </c>
      <c r="T653" s="403" t="b">
        <f ca="1">Table66[[#This Row],[Total Specifed in RFO - N/A]]=Table66[[#This Row],[Total Proposed]]</f>
        <v>1</v>
      </c>
      <c r="U653" s="439"/>
      <c r="V653" s="441">
        <f ca="1">Table66[[#This Row],[Year 6 (Specified in RFO) - N/A]]-Table66[[#This Row],[Column1]]</f>
        <v>0</v>
      </c>
    </row>
    <row r="654" spans="1:22" ht="16.5" thickBot="1">
      <c r="A654" s="227"/>
      <c r="B654" s="319"/>
      <c r="C654" s="319"/>
      <c r="D654" s="320"/>
      <c r="E654" s="320"/>
      <c r="F654" s="190"/>
      <c r="G6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4" s="190"/>
      <c r="I6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4" s="190"/>
      <c r="K6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4" s="190"/>
      <c r="M6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4" s="190"/>
      <c r="O6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4" s="190"/>
      <c r="Q6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4" s="192">
        <f ca="1">Table66[[#This Row],[Year 1 (Specified in RFO) - N/A]]+Table66[[#This Row],[Year 2 (Specified in RFO) - N/A]]+Table66[[#This Row],[Year 3 (Specified in RFO) - N/A]]+Table66[[#This Row],[Year 4 (Specified in RFO) - N/A]]+Table66[[#This Row],[Year 5 (Specified in RFO) - N/A]]+Table66[[#This Row],[Year 6 (Specified in RFO) - N/A]]</f>
        <v>0</v>
      </c>
      <c r="S654" s="402">
        <f ca="1">Table66[[#This Row],[Year 1  (Proposed)]]+Table66[[#This Row],[Year 2 (Proposed)]]+Table66[[#This Row],[Year 3 (Proposed)]]+Table66[[#This Row],[Year 4 (Proposed)]]+Table66[[#This Row],[Year 5 (Proposed)]]+Table66[[#This Row],[Year 6 (Proposed)]]</f>
        <v>0</v>
      </c>
      <c r="T654" s="403" t="b">
        <f ca="1">Table66[[#This Row],[Total Specifed in RFO - N/A]]=Table66[[#This Row],[Total Proposed]]</f>
        <v>1</v>
      </c>
      <c r="U654" s="439"/>
      <c r="V654" s="441">
        <f ca="1">Table66[[#This Row],[Year 6 (Specified in RFO) - N/A]]-Table66[[#This Row],[Column1]]</f>
        <v>0</v>
      </c>
    </row>
    <row r="655" spans="1:22" ht="16.5" thickBot="1">
      <c r="A655" s="319"/>
      <c r="B655" s="319"/>
      <c r="C655" s="319"/>
      <c r="D655" s="320"/>
      <c r="E655" s="320"/>
      <c r="F655" s="190"/>
      <c r="G6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5" s="190"/>
      <c r="I6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5" s="190"/>
      <c r="K6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5" s="190"/>
      <c r="M6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5" s="190"/>
      <c r="O6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5" s="190"/>
      <c r="Q6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5" s="192">
        <f ca="1">Table66[[#This Row],[Year 1 (Specified in RFO) - N/A]]+Table66[[#This Row],[Year 2 (Specified in RFO) - N/A]]+Table66[[#This Row],[Year 3 (Specified in RFO) - N/A]]+Table66[[#This Row],[Year 4 (Specified in RFO) - N/A]]+Table66[[#This Row],[Year 5 (Specified in RFO) - N/A]]+Table66[[#This Row],[Year 6 (Specified in RFO) - N/A]]</f>
        <v>0</v>
      </c>
      <c r="S655" s="402">
        <f ca="1">Table66[[#This Row],[Year 1  (Proposed)]]+Table66[[#This Row],[Year 2 (Proposed)]]+Table66[[#This Row],[Year 3 (Proposed)]]+Table66[[#This Row],[Year 4 (Proposed)]]+Table66[[#This Row],[Year 5 (Proposed)]]+Table66[[#This Row],[Year 6 (Proposed)]]</f>
        <v>0</v>
      </c>
      <c r="T655" s="403" t="b">
        <f ca="1">Table66[[#This Row],[Total Specifed in RFO - N/A]]=Table66[[#This Row],[Total Proposed]]</f>
        <v>1</v>
      </c>
      <c r="U655" s="439"/>
      <c r="V655" s="441">
        <f ca="1">Table66[[#This Row],[Year 6 (Specified in RFO) - N/A]]-Table66[[#This Row],[Column1]]</f>
        <v>0</v>
      </c>
    </row>
    <row r="656" spans="1:22" ht="16.5" thickBot="1">
      <c r="A656" s="227"/>
      <c r="B656" s="227"/>
      <c r="C656" s="227"/>
      <c r="D656" s="320"/>
      <c r="E656" s="231"/>
      <c r="F656" s="190"/>
      <c r="G6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6" s="190"/>
      <c r="I6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6" s="190"/>
      <c r="K6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6" s="190"/>
      <c r="M6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6" s="190"/>
      <c r="O6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6" s="190"/>
      <c r="Q6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6" s="192">
        <f ca="1">Table66[[#This Row],[Year 1 (Specified in RFO) - N/A]]+Table66[[#This Row],[Year 2 (Specified in RFO) - N/A]]+Table66[[#This Row],[Year 3 (Specified in RFO) - N/A]]+Table66[[#This Row],[Year 4 (Specified in RFO) - N/A]]+Table66[[#This Row],[Year 5 (Specified in RFO) - N/A]]+Table66[[#This Row],[Year 6 (Specified in RFO) - N/A]]</f>
        <v>0</v>
      </c>
      <c r="S656" s="402">
        <f ca="1">Table66[[#This Row],[Year 1  (Proposed)]]+Table66[[#This Row],[Year 2 (Proposed)]]+Table66[[#This Row],[Year 3 (Proposed)]]+Table66[[#This Row],[Year 4 (Proposed)]]+Table66[[#This Row],[Year 5 (Proposed)]]+Table66[[#This Row],[Year 6 (Proposed)]]</f>
        <v>0</v>
      </c>
      <c r="T656" s="403" t="b">
        <f ca="1">Table66[[#This Row],[Total Specifed in RFO - N/A]]=Table66[[#This Row],[Total Proposed]]</f>
        <v>1</v>
      </c>
      <c r="U656" s="439"/>
      <c r="V656" s="441">
        <f ca="1">Table66[[#This Row],[Year 6 (Specified in RFO) - N/A]]-Table66[[#This Row],[Column1]]</f>
        <v>0</v>
      </c>
    </row>
    <row r="657" spans="1:22" ht="16.5" thickBot="1">
      <c r="A657" s="227"/>
      <c r="B657" s="319"/>
      <c r="C657" s="319"/>
      <c r="D657" s="320"/>
      <c r="E657" s="320"/>
      <c r="F657" s="190"/>
      <c r="G6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7" s="190"/>
      <c r="I6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7" s="190"/>
      <c r="K6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7" s="190"/>
      <c r="M6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7" s="190"/>
      <c r="O6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7" s="190"/>
      <c r="Q6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7" s="192">
        <f ca="1">Table66[[#This Row],[Year 1 (Specified in RFO) - N/A]]+Table66[[#This Row],[Year 2 (Specified in RFO) - N/A]]+Table66[[#This Row],[Year 3 (Specified in RFO) - N/A]]+Table66[[#This Row],[Year 4 (Specified in RFO) - N/A]]+Table66[[#This Row],[Year 5 (Specified in RFO) - N/A]]+Table66[[#This Row],[Year 6 (Specified in RFO) - N/A]]</f>
        <v>0</v>
      </c>
      <c r="S657" s="402">
        <f ca="1">Table66[[#This Row],[Year 1  (Proposed)]]+Table66[[#This Row],[Year 2 (Proposed)]]+Table66[[#This Row],[Year 3 (Proposed)]]+Table66[[#This Row],[Year 4 (Proposed)]]+Table66[[#This Row],[Year 5 (Proposed)]]+Table66[[#This Row],[Year 6 (Proposed)]]</f>
        <v>0</v>
      </c>
      <c r="T657" s="403" t="b">
        <f ca="1">Table66[[#This Row],[Total Specifed in RFO - N/A]]=Table66[[#This Row],[Total Proposed]]</f>
        <v>1</v>
      </c>
      <c r="U657" s="439"/>
      <c r="V657" s="441">
        <f ca="1">Table66[[#This Row],[Year 6 (Specified in RFO) - N/A]]-Table66[[#This Row],[Column1]]</f>
        <v>0</v>
      </c>
    </row>
    <row r="658" spans="1:22" ht="16.5" thickBot="1">
      <c r="A658" s="319"/>
      <c r="B658" s="319"/>
      <c r="C658" s="319"/>
      <c r="D658" s="320"/>
      <c r="E658" s="320"/>
      <c r="F658" s="190"/>
      <c r="G6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8" s="190"/>
      <c r="I6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8" s="190"/>
      <c r="K6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8" s="190"/>
      <c r="M6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8" s="190"/>
      <c r="O6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8" s="190"/>
      <c r="Q6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8" s="192">
        <f ca="1">Table66[[#This Row],[Year 1 (Specified in RFO) - N/A]]+Table66[[#This Row],[Year 2 (Specified in RFO) - N/A]]+Table66[[#This Row],[Year 3 (Specified in RFO) - N/A]]+Table66[[#This Row],[Year 4 (Specified in RFO) - N/A]]+Table66[[#This Row],[Year 5 (Specified in RFO) - N/A]]+Table66[[#This Row],[Year 6 (Specified in RFO) - N/A]]</f>
        <v>0</v>
      </c>
      <c r="S658" s="402">
        <f ca="1">Table66[[#This Row],[Year 1  (Proposed)]]+Table66[[#This Row],[Year 2 (Proposed)]]+Table66[[#This Row],[Year 3 (Proposed)]]+Table66[[#This Row],[Year 4 (Proposed)]]+Table66[[#This Row],[Year 5 (Proposed)]]+Table66[[#This Row],[Year 6 (Proposed)]]</f>
        <v>0</v>
      </c>
      <c r="T658" s="403" t="b">
        <f ca="1">Table66[[#This Row],[Total Specifed in RFO - N/A]]=Table66[[#This Row],[Total Proposed]]</f>
        <v>1</v>
      </c>
      <c r="U658" s="439"/>
      <c r="V658" s="441">
        <f ca="1">Table66[[#This Row],[Year 6 (Specified in RFO) - N/A]]-Table66[[#This Row],[Column1]]</f>
        <v>0</v>
      </c>
    </row>
    <row r="659" spans="1:22" ht="16.5" thickBot="1">
      <c r="A659" s="227"/>
      <c r="B659" s="227"/>
      <c r="C659" s="227"/>
      <c r="D659" s="320"/>
      <c r="E659" s="231"/>
      <c r="F659" s="190"/>
      <c r="G6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9" s="190"/>
      <c r="I6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9" s="190"/>
      <c r="K6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9" s="190"/>
      <c r="M6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9" s="190"/>
      <c r="O6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9" s="190"/>
      <c r="Q6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9" s="192">
        <f ca="1">Table66[[#This Row],[Year 1 (Specified in RFO) - N/A]]+Table66[[#This Row],[Year 2 (Specified in RFO) - N/A]]+Table66[[#This Row],[Year 3 (Specified in RFO) - N/A]]+Table66[[#This Row],[Year 4 (Specified in RFO) - N/A]]+Table66[[#This Row],[Year 5 (Specified in RFO) - N/A]]+Table66[[#This Row],[Year 6 (Specified in RFO) - N/A]]</f>
        <v>0</v>
      </c>
      <c r="S659" s="402">
        <f ca="1">Table66[[#This Row],[Year 1  (Proposed)]]+Table66[[#This Row],[Year 2 (Proposed)]]+Table66[[#This Row],[Year 3 (Proposed)]]+Table66[[#This Row],[Year 4 (Proposed)]]+Table66[[#This Row],[Year 5 (Proposed)]]+Table66[[#This Row],[Year 6 (Proposed)]]</f>
        <v>0</v>
      </c>
      <c r="T659" s="403" t="b">
        <f ca="1">Table66[[#This Row],[Total Specifed in RFO - N/A]]=Table66[[#This Row],[Total Proposed]]</f>
        <v>1</v>
      </c>
      <c r="U659" s="439"/>
      <c r="V659" s="441">
        <f ca="1">Table66[[#This Row],[Year 6 (Specified in RFO) - N/A]]-Table66[[#This Row],[Column1]]</f>
        <v>0</v>
      </c>
    </row>
    <row r="660" spans="1:22" ht="16.5" thickBot="1">
      <c r="A660" s="227"/>
      <c r="B660" s="319"/>
      <c r="C660" s="319"/>
      <c r="D660" s="320"/>
      <c r="E660" s="320"/>
      <c r="F660" s="190"/>
      <c r="G6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0" s="190"/>
      <c r="I6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0" s="190"/>
      <c r="K6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0" s="190"/>
      <c r="M6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0" s="190"/>
      <c r="O6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0" s="190"/>
      <c r="Q6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0" s="192">
        <f ca="1">Table66[[#This Row],[Year 1 (Specified in RFO) - N/A]]+Table66[[#This Row],[Year 2 (Specified in RFO) - N/A]]+Table66[[#This Row],[Year 3 (Specified in RFO) - N/A]]+Table66[[#This Row],[Year 4 (Specified in RFO) - N/A]]+Table66[[#This Row],[Year 5 (Specified in RFO) - N/A]]+Table66[[#This Row],[Year 6 (Specified in RFO) - N/A]]</f>
        <v>0</v>
      </c>
      <c r="S660" s="402">
        <f ca="1">Table66[[#This Row],[Year 1  (Proposed)]]+Table66[[#This Row],[Year 2 (Proposed)]]+Table66[[#This Row],[Year 3 (Proposed)]]+Table66[[#This Row],[Year 4 (Proposed)]]+Table66[[#This Row],[Year 5 (Proposed)]]+Table66[[#This Row],[Year 6 (Proposed)]]</f>
        <v>0</v>
      </c>
      <c r="T660" s="403" t="b">
        <f ca="1">Table66[[#This Row],[Total Specifed in RFO - N/A]]=Table66[[#This Row],[Total Proposed]]</f>
        <v>1</v>
      </c>
      <c r="U660" s="439"/>
      <c r="V660" s="441">
        <f ca="1">Table66[[#This Row],[Year 6 (Specified in RFO) - N/A]]-Table66[[#This Row],[Column1]]</f>
        <v>0</v>
      </c>
    </row>
    <row r="661" spans="1:22" ht="16.5" thickBot="1">
      <c r="A661" s="319"/>
      <c r="B661" s="319"/>
      <c r="C661" s="319"/>
      <c r="D661" s="320"/>
      <c r="E661" s="320"/>
      <c r="F661" s="190"/>
      <c r="G6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1" s="190"/>
      <c r="I6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1" s="190"/>
      <c r="K6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1" s="190"/>
      <c r="M6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1" s="190"/>
      <c r="O6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1" s="190"/>
      <c r="Q6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1" s="192">
        <f ca="1">Table66[[#This Row],[Year 1 (Specified in RFO) - N/A]]+Table66[[#This Row],[Year 2 (Specified in RFO) - N/A]]+Table66[[#This Row],[Year 3 (Specified in RFO) - N/A]]+Table66[[#This Row],[Year 4 (Specified in RFO) - N/A]]+Table66[[#This Row],[Year 5 (Specified in RFO) - N/A]]+Table66[[#This Row],[Year 6 (Specified in RFO) - N/A]]</f>
        <v>0</v>
      </c>
      <c r="S661" s="402">
        <f ca="1">Table66[[#This Row],[Year 1  (Proposed)]]+Table66[[#This Row],[Year 2 (Proposed)]]+Table66[[#This Row],[Year 3 (Proposed)]]+Table66[[#This Row],[Year 4 (Proposed)]]+Table66[[#This Row],[Year 5 (Proposed)]]+Table66[[#This Row],[Year 6 (Proposed)]]</f>
        <v>0</v>
      </c>
      <c r="T661" s="403" t="b">
        <f ca="1">Table66[[#This Row],[Total Specifed in RFO - N/A]]=Table66[[#This Row],[Total Proposed]]</f>
        <v>1</v>
      </c>
      <c r="U661" s="439"/>
      <c r="V661" s="441">
        <f ca="1">Table66[[#This Row],[Year 6 (Specified in RFO) - N/A]]-Table66[[#This Row],[Column1]]</f>
        <v>0</v>
      </c>
    </row>
    <row r="662" spans="1:22" ht="16.5" thickBot="1">
      <c r="A662" s="227"/>
      <c r="B662" s="227"/>
      <c r="C662" s="227"/>
      <c r="D662" s="320"/>
      <c r="E662" s="231"/>
      <c r="F662" s="190"/>
      <c r="G6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2" s="190"/>
      <c r="I6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2" s="190"/>
      <c r="K6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2" s="190"/>
      <c r="M6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2" s="190"/>
      <c r="O6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2" s="190"/>
      <c r="Q6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2" s="192">
        <f ca="1">Table66[[#This Row],[Year 1 (Specified in RFO) - N/A]]+Table66[[#This Row],[Year 2 (Specified in RFO) - N/A]]+Table66[[#This Row],[Year 3 (Specified in RFO) - N/A]]+Table66[[#This Row],[Year 4 (Specified in RFO) - N/A]]+Table66[[#This Row],[Year 5 (Specified in RFO) - N/A]]+Table66[[#This Row],[Year 6 (Specified in RFO) - N/A]]</f>
        <v>0</v>
      </c>
      <c r="S662" s="402">
        <f ca="1">Table66[[#This Row],[Year 1  (Proposed)]]+Table66[[#This Row],[Year 2 (Proposed)]]+Table66[[#This Row],[Year 3 (Proposed)]]+Table66[[#This Row],[Year 4 (Proposed)]]+Table66[[#This Row],[Year 5 (Proposed)]]+Table66[[#This Row],[Year 6 (Proposed)]]</f>
        <v>0</v>
      </c>
      <c r="T662" s="403" t="b">
        <f ca="1">Table66[[#This Row],[Total Specifed in RFO - N/A]]=Table66[[#This Row],[Total Proposed]]</f>
        <v>1</v>
      </c>
      <c r="U662" s="439"/>
      <c r="V662" s="441">
        <f ca="1">Table66[[#This Row],[Year 6 (Specified in RFO) - N/A]]-Table66[[#This Row],[Column1]]</f>
        <v>0</v>
      </c>
    </row>
    <row r="663" spans="1:22" ht="16.5" thickBot="1">
      <c r="A663" s="227"/>
      <c r="B663" s="319"/>
      <c r="C663" s="319"/>
      <c r="D663" s="320"/>
      <c r="E663" s="320"/>
      <c r="F663" s="190"/>
      <c r="G6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3" s="190"/>
      <c r="I6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3" s="190"/>
      <c r="K6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3" s="190"/>
      <c r="M6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3" s="190"/>
      <c r="O6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3" s="190"/>
      <c r="Q6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3" s="192">
        <f ca="1">Table66[[#This Row],[Year 1 (Specified in RFO) - N/A]]+Table66[[#This Row],[Year 2 (Specified in RFO) - N/A]]+Table66[[#This Row],[Year 3 (Specified in RFO) - N/A]]+Table66[[#This Row],[Year 4 (Specified in RFO) - N/A]]+Table66[[#This Row],[Year 5 (Specified in RFO) - N/A]]+Table66[[#This Row],[Year 6 (Specified in RFO) - N/A]]</f>
        <v>0</v>
      </c>
      <c r="S663" s="402">
        <f ca="1">Table66[[#This Row],[Year 1  (Proposed)]]+Table66[[#This Row],[Year 2 (Proposed)]]+Table66[[#This Row],[Year 3 (Proposed)]]+Table66[[#This Row],[Year 4 (Proposed)]]+Table66[[#This Row],[Year 5 (Proposed)]]+Table66[[#This Row],[Year 6 (Proposed)]]</f>
        <v>0</v>
      </c>
      <c r="T663" s="403" t="b">
        <f ca="1">Table66[[#This Row],[Total Specifed in RFO - N/A]]=Table66[[#This Row],[Total Proposed]]</f>
        <v>1</v>
      </c>
      <c r="U663" s="439"/>
      <c r="V663" s="441">
        <f ca="1">Table66[[#This Row],[Year 6 (Specified in RFO) - N/A]]-Table66[[#This Row],[Column1]]</f>
        <v>0</v>
      </c>
    </row>
    <row r="664" spans="1:22" ht="16.5" thickBot="1">
      <c r="A664" s="319"/>
      <c r="B664" s="319"/>
      <c r="C664" s="319"/>
      <c r="D664" s="320"/>
      <c r="E664" s="320"/>
      <c r="F664" s="190"/>
      <c r="G6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4" s="190"/>
      <c r="I6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4" s="190"/>
      <c r="K6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4" s="190"/>
      <c r="M6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4" s="190"/>
      <c r="O6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4" s="190"/>
      <c r="Q6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4" s="192">
        <f ca="1">Table66[[#This Row],[Year 1 (Specified in RFO) - N/A]]+Table66[[#This Row],[Year 2 (Specified in RFO) - N/A]]+Table66[[#This Row],[Year 3 (Specified in RFO) - N/A]]+Table66[[#This Row],[Year 4 (Specified in RFO) - N/A]]+Table66[[#This Row],[Year 5 (Specified in RFO) - N/A]]+Table66[[#This Row],[Year 6 (Specified in RFO) - N/A]]</f>
        <v>0</v>
      </c>
      <c r="S664" s="402">
        <f ca="1">Table66[[#This Row],[Year 1  (Proposed)]]+Table66[[#This Row],[Year 2 (Proposed)]]+Table66[[#This Row],[Year 3 (Proposed)]]+Table66[[#This Row],[Year 4 (Proposed)]]+Table66[[#This Row],[Year 5 (Proposed)]]+Table66[[#This Row],[Year 6 (Proposed)]]</f>
        <v>0</v>
      </c>
      <c r="T664" s="403" t="b">
        <f ca="1">Table66[[#This Row],[Total Specifed in RFO - N/A]]=Table66[[#This Row],[Total Proposed]]</f>
        <v>1</v>
      </c>
      <c r="U664" s="439"/>
      <c r="V664" s="441">
        <f ca="1">Table66[[#This Row],[Year 6 (Specified in RFO) - N/A]]-Table66[[#This Row],[Column1]]</f>
        <v>0</v>
      </c>
    </row>
    <row r="665" spans="1:22" ht="16.5" thickBot="1">
      <c r="A665" s="227"/>
      <c r="B665" s="227"/>
      <c r="C665" s="227"/>
      <c r="D665" s="320"/>
      <c r="E665" s="231"/>
      <c r="F665" s="190"/>
      <c r="G6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5" s="190"/>
      <c r="I6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5" s="190"/>
      <c r="K6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5" s="190"/>
      <c r="M6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5" s="190"/>
      <c r="O6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5" s="190"/>
      <c r="Q6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5" s="192">
        <f ca="1">Table66[[#This Row],[Year 1 (Specified in RFO) - N/A]]+Table66[[#This Row],[Year 2 (Specified in RFO) - N/A]]+Table66[[#This Row],[Year 3 (Specified in RFO) - N/A]]+Table66[[#This Row],[Year 4 (Specified in RFO) - N/A]]+Table66[[#This Row],[Year 5 (Specified in RFO) - N/A]]+Table66[[#This Row],[Year 6 (Specified in RFO) - N/A]]</f>
        <v>0</v>
      </c>
      <c r="S665" s="402">
        <f ca="1">Table66[[#This Row],[Year 1  (Proposed)]]+Table66[[#This Row],[Year 2 (Proposed)]]+Table66[[#This Row],[Year 3 (Proposed)]]+Table66[[#This Row],[Year 4 (Proposed)]]+Table66[[#This Row],[Year 5 (Proposed)]]+Table66[[#This Row],[Year 6 (Proposed)]]</f>
        <v>0</v>
      </c>
      <c r="T665" s="403" t="b">
        <f ca="1">Table66[[#This Row],[Total Specifed in RFO - N/A]]=Table66[[#This Row],[Total Proposed]]</f>
        <v>1</v>
      </c>
      <c r="U665" s="439"/>
      <c r="V665" s="441">
        <f ca="1">Table66[[#This Row],[Year 6 (Specified in RFO) - N/A]]-Table66[[#This Row],[Column1]]</f>
        <v>0</v>
      </c>
    </row>
    <row r="666" spans="1:22" ht="16.5" thickBot="1">
      <c r="A666" s="227"/>
      <c r="B666" s="319"/>
      <c r="C666" s="319"/>
      <c r="D666" s="320"/>
      <c r="E666" s="320"/>
      <c r="F666" s="190"/>
      <c r="G6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6" s="190"/>
      <c r="I6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6" s="190"/>
      <c r="K6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6" s="190"/>
      <c r="M6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6" s="190"/>
      <c r="O6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6" s="190"/>
      <c r="Q6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6" s="192">
        <f ca="1">Table66[[#This Row],[Year 1 (Specified in RFO) - N/A]]+Table66[[#This Row],[Year 2 (Specified in RFO) - N/A]]+Table66[[#This Row],[Year 3 (Specified in RFO) - N/A]]+Table66[[#This Row],[Year 4 (Specified in RFO) - N/A]]+Table66[[#This Row],[Year 5 (Specified in RFO) - N/A]]+Table66[[#This Row],[Year 6 (Specified in RFO) - N/A]]</f>
        <v>0</v>
      </c>
      <c r="S666" s="402">
        <f ca="1">Table66[[#This Row],[Year 1  (Proposed)]]+Table66[[#This Row],[Year 2 (Proposed)]]+Table66[[#This Row],[Year 3 (Proposed)]]+Table66[[#This Row],[Year 4 (Proposed)]]+Table66[[#This Row],[Year 5 (Proposed)]]+Table66[[#This Row],[Year 6 (Proposed)]]</f>
        <v>0</v>
      </c>
      <c r="T666" s="403" t="b">
        <f ca="1">Table66[[#This Row],[Total Specifed in RFO - N/A]]=Table66[[#This Row],[Total Proposed]]</f>
        <v>1</v>
      </c>
      <c r="U666" s="439"/>
      <c r="V666" s="441">
        <f ca="1">Table66[[#This Row],[Year 6 (Specified in RFO) - N/A]]-Table66[[#This Row],[Column1]]</f>
        <v>0</v>
      </c>
    </row>
    <row r="667" spans="1:22" ht="16.5" thickBot="1">
      <c r="A667" s="319"/>
      <c r="B667" s="319"/>
      <c r="C667" s="319"/>
      <c r="D667" s="320"/>
      <c r="E667" s="320"/>
      <c r="F667" s="190"/>
      <c r="G6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7" s="190"/>
      <c r="I6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7" s="190"/>
      <c r="K6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7" s="190"/>
      <c r="M6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7" s="190"/>
      <c r="O6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7" s="190"/>
      <c r="Q6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7" s="192">
        <f ca="1">Table66[[#This Row],[Year 1 (Specified in RFO) - N/A]]+Table66[[#This Row],[Year 2 (Specified in RFO) - N/A]]+Table66[[#This Row],[Year 3 (Specified in RFO) - N/A]]+Table66[[#This Row],[Year 4 (Specified in RFO) - N/A]]+Table66[[#This Row],[Year 5 (Specified in RFO) - N/A]]+Table66[[#This Row],[Year 6 (Specified in RFO) - N/A]]</f>
        <v>0</v>
      </c>
      <c r="S667" s="402">
        <f ca="1">Table66[[#This Row],[Year 1  (Proposed)]]+Table66[[#This Row],[Year 2 (Proposed)]]+Table66[[#This Row],[Year 3 (Proposed)]]+Table66[[#This Row],[Year 4 (Proposed)]]+Table66[[#This Row],[Year 5 (Proposed)]]+Table66[[#This Row],[Year 6 (Proposed)]]</f>
        <v>0</v>
      </c>
      <c r="T667" s="403" t="b">
        <f ca="1">Table66[[#This Row],[Total Specifed in RFO - N/A]]=Table66[[#This Row],[Total Proposed]]</f>
        <v>1</v>
      </c>
      <c r="U667" s="439"/>
      <c r="V667" s="441">
        <f ca="1">Table66[[#This Row],[Year 6 (Specified in RFO) - N/A]]-Table66[[#This Row],[Column1]]</f>
        <v>0</v>
      </c>
    </row>
    <row r="668" spans="1:22" ht="16.5" thickBot="1">
      <c r="A668" s="227"/>
      <c r="B668" s="227"/>
      <c r="C668" s="227"/>
      <c r="D668" s="320"/>
      <c r="E668" s="231"/>
      <c r="F668" s="190"/>
      <c r="G6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8" s="190"/>
      <c r="I6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8" s="190"/>
      <c r="K6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8" s="190"/>
      <c r="M6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8" s="190"/>
      <c r="O6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8" s="190"/>
      <c r="Q6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8" s="192">
        <f ca="1">Table66[[#This Row],[Year 1 (Specified in RFO) - N/A]]+Table66[[#This Row],[Year 2 (Specified in RFO) - N/A]]+Table66[[#This Row],[Year 3 (Specified in RFO) - N/A]]+Table66[[#This Row],[Year 4 (Specified in RFO) - N/A]]+Table66[[#This Row],[Year 5 (Specified in RFO) - N/A]]+Table66[[#This Row],[Year 6 (Specified in RFO) - N/A]]</f>
        <v>0</v>
      </c>
      <c r="S668" s="402">
        <f ca="1">Table66[[#This Row],[Year 1  (Proposed)]]+Table66[[#This Row],[Year 2 (Proposed)]]+Table66[[#This Row],[Year 3 (Proposed)]]+Table66[[#This Row],[Year 4 (Proposed)]]+Table66[[#This Row],[Year 5 (Proposed)]]+Table66[[#This Row],[Year 6 (Proposed)]]</f>
        <v>0</v>
      </c>
      <c r="T668" s="403" t="b">
        <f ca="1">Table66[[#This Row],[Total Specifed in RFO - N/A]]=Table66[[#This Row],[Total Proposed]]</f>
        <v>1</v>
      </c>
      <c r="U668" s="439"/>
      <c r="V668" s="441">
        <f ca="1">Table66[[#This Row],[Year 6 (Specified in RFO) - N/A]]-Table66[[#This Row],[Column1]]</f>
        <v>0</v>
      </c>
    </row>
    <row r="669" spans="1:22" ht="16.5" thickBot="1">
      <c r="A669" s="227"/>
      <c r="B669" s="319"/>
      <c r="C669" s="319"/>
      <c r="D669" s="320"/>
      <c r="E669" s="320"/>
      <c r="F669" s="190"/>
      <c r="G6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9" s="190"/>
      <c r="I6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9" s="190"/>
      <c r="K6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9" s="190"/>
      <c r="M6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9" s="190"/>
      <c r="O6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9" s="190"/>
      <c r="Q6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9" s="192">
        <f ca="1">Table66[[#This Row],[Year 1 (Specified in RFO) - N/A]]+Table66[[#This Row],[Year 2 (Specified in RFO) - N/A]]+Table66[[#This Row],[Year 3 (Specified in RFO) - N/A]]+Table66[[#This Row],[Year 4 (Specified in RFO) - N/A]]+Table66[[#This Row],[Year 5 (Specified in RFO) - N/A]]+Table66[[#This Row],[Year 6 (Specified in RFO) - N/A]]</f>
        <v>0</v>
      </c>
      <c r="S669" s="402">
        <f ca="1">Table66[[#This Row],[Year 1  (Proposed)]]+Table66[[#This Row],[Year 2 (Proposed)]]+Table66[[#This Row],[Year 3 (Proposed)]]+Table66[[#This Row],[Year 4 (Proposed)]]+Table66[[#This Row],[Year 5 (Proposed)]]+Table66[[#This Row],[Year 6 (Proposed)]]</f>
        <v>0</v>
      </c>
      <c r="T669" s="403" t="b">
        <f ca="1">Table66[[#This Row],[Total Specifed in RFO - N/A]]=Table66[[#This Row],[Total Proposed]]</f>
        <v>1</v>
      </c>
      <c r="U669" s="439"/>
      <c r="V669" s="441">
        <f ca="1">Table66[[#This Row],[Year 6 (Specified in RFO) - N/A]]-Table66[[#This Row],[Column1]]</f>
        <v>0</v>
      </c>
    </row>
    <row r="670" spans="1:22" ht="16.5" thickBot="1">
      <c r="A670" s="319"/>
      <c r="B670" s="319"/>
      <c r="C670" s="319"/>
      <c r="D670" s="320"/>
      <c r="E670" s="320"/>
      <c r="F670" s="190"/>
      <c r="G6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0" s="190"/>
      <c r="I6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0" s="190"/>
      <c r="K6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0" s="190"/>
      <c r="M6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0" s="190"/>
      <c r="O6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0" s="190"/>
      <c r="Q6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0" s="192">
        <f ca="1">Table66[[#This Row],[Year 1 (Specified in RFO) - N/A]]+Table66[[#This Row],[Year 2 (Specified in RFO) - N/A]]+Table66[[#This Row],[Year 3 (Specified in RFO) - N/A]]+Table66[[#This Row],[Year 4 (Specified in RFO) - N/A]]+Table66[[#This Row],[Year 5 (Specified in RFO) - N/A]]+Table66[[#This Row],[Year 6 (Specified in RFO) - N/A]]</f>
        <v>0</v>
      </c>
      <c r="S670" s="402">
        <f ca="1">Table66[[#This Row],[Year 1  (Proposed)]]+Table66[[#This Row],[Year 2 (Proposed)]]+Table66[[#This Row],[Year 3 (Proposed)]]+Table66[[#This Row],[Year 4 (Proposed)]]+Table66[[#This Row],[Year 5 (Proposed)]]+Table66[[#This Row],[Year 6 (Proposed)]]</f>
        <v>0</v>
      </c>
      <c r="T670" s="403" t="b">
        <f ca="1">Table66[[#This Row],[Total Specifed in RFO - N/A]]=Table66[[#This Row],[Total Proposed]]</f>
        <v>1</v>
      </c>
      <c r="U670" s="439"/>
      <c r="V670" s="441">
        <f ca="1">Table66[[#This Row],[Year 6 (Specified in RFO) - N/A]]-Table66[[#This Row],[Column1]]</f>
        <v>0</v>
      </c>
    </row>
    <row r="671" spans="1:22" ht="16.5" thickBot="1">
      <c r="A671" s="227"/>
      <c r="B671" s="227"/>
      <c r="C671" s="227"/>
      <c r="D671" s="320"/>
      <c r="E671" s="231"/>
      <c r="F671" s="190"/>
      <c r="G6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1" s="190"/>
      <c r="I6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1" s="190"/>
      <c r="K6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1" s="190"/>
      <c r="M6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1" s="190"/>
      <c r="O6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1" s="190"/>
      <c r="Q6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1" s="192">
        <f ca="1">Table66[[#This Row],[Year 1 (Specified in RFO) - N/A]]+Table66[[#This Row],[Year 2 (Specified in RFO) - N/A]]+Table66[[#This Row],[Year 3 (Specified in RFO) - N/A]]+Table66[[#This Row],[Year 4 (Specified in RFO) - N/A]]+Table66[[#This Row],[Year 5 (Specified in RFO) - N/A]]+Table66[[#This Row],[Year 6 (Specified in RFO) - N/A]]</f>
        <v>0</v>
      </c>
      <c r="S671" s="402">
        <f ca="1">Table66[[#This Row],[Year 1  (Proposed)]]+Table66[[#This Row],[Year 2 (Proposed)]]+Table66[[#This Row],[Year 3 (Proposed)]]+Table66[[#This Row],[Year 4 (Proposed)]]+Table66[[#This Row],[Year 5 (Proposed)]]+Table66[[#This Row],[Year 6 (Proposed)]]</f>
        <v>0</v>
      </c>
      <c r="T671" s="403" t="b">
        <f ca="1">Table66[[#This Row],[Total Specifed in RFO - N/A]]=Table66[[#This Row],[Total Proposed]]</f>
        <v>1</v>
      </c>
      <c r="U671" s="439"/>
      <c r="V671" s="441">
        <f ca="1">Table66[[#This Row],[Year 6 (Specified in RFO) - N/A]]-Table66[[#This Row],[Column1]]</f>
        <v>0</v>
      </c>
    </row>
    <row r="672" spans="1:22" ht="16.5" thickBot="1">
      <c r="A672" s="227"/>
      <c r="B672" s="319"/>
      <c r="C672" s="319"/>
      <c r="D672" s="320"/>
      <c r="E672" s="320"/>
      <c r="F672" s="190"/>
      <c r="G6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2" s="190"/>
      <c r="I6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2" s="190"/>
      <c r="K6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2" s="190"/>
      <c r="M6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2" s="190"/>
      <c r="O6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2" s="190"/>
      <c r="Q6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2" s="192">
        <f ca="1">Table66[[#This Row],[Year 1 (Specified in RFO) - N/A]]+Table66[[#This Row],[Year 2 (Specified in RFO) - N/A]]+Table66[[#This Row],[Year 3 (Specified in RFO) - N/A]]+Table66[[#This Row],[Year 4 (Specified in RFO) - N/A]]+Table66[[#This Row],[Year 5 (Specified in RFO) - N/A]]+Table66[[#This Row],[Year 6 (Specified in RFO) - N/A]]</f>
        <v>0</v>
      </c>
      <c r="S672" s="402">
        <f ca="1">Table66[[#This Row],[Year 1  (Proposed)]]+Table66[[#This Row],[Year 2 (Proposed)]]+Table66[[#This Row],[Year 3 (Proposed)]]+Table66[[#This Row],[Year 4 (Proposed)]]+Table66[[#This Row],[Year 5 (Proposed)]]+Table66[[#This Row],[Year 6 (Proposed)]]</f>
        <v>0</v>
      </c>
      <c r="T672" s="403" t="b">
        <f ca="1">Table66[[#This Row],[Total Specifed in RFO - N/A]]=Table66[[#This Row],[Total Proposed]]</f>
        <v>1</v>
      </c>
      <c r="U672" s="439"/>
      <c r="V672" s="441">
        <f ca="1">Table66[[#This Row],[Year 6 (Specified in RFO) - N/A]]-Table66[[#This Row],[Column1]]</f>
        <v>0</v>
      </c>
    </row>
    <row r="673" spans="1:22" ht="16.5" thickBot="1">
      <c r="A673" s="319"/>
      <c r="B673" s="319"/>
      <c r="C673" s="319"/>
      <c r="D673" s="320"/>
      <c r="E673" s="320"/>
      <c r="F673" s="190"/>
      <c r="G6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3" s="190"/>
      <c r="I6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3" s="190"/>
      <c r="K6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3" s="190"/>
      <c r="M6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3" s="190"/>
      <c r="O6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3" s="190"/>
      <c r="Q6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3" s="192">
        <f ca="1">Table66[[#This Row],[Year 1 (Specified in RFO) - N/A]]+Table66[[#This Row],[Year 2 (Specified in RFO) - N/A]]+Table66[[#This Row],[Year 3 (Specified in RFO) - N/A]]+Table66[[#This Row],[Year 4 (Specified in RFO) - N/A]]+Table66[[#This Row],[Year 5 (Specified in RFO) - N/A]]+Table66[[#This Row],[Year 6 (Specified in RFO) - N/A]]</f>
        <v>0</v>
      </c>
      <c r="S673" s="402">
        <f ca="1">Table66[[#This Row],[Year 1  (Proposed)]]+Table66[[#This Row],[Year 2 (Proposed)]]+Table66[[#This Row],[Year 3 (Proposed)]]+Table66[[#This Row],[Year 4 (Proposed)]]+Table66[[#This Row],[Year 5 (Proposed)]]+Table66[[#This Row],[Year 6 (Proposed)]]</f>
        <v>0</v>
      </c>
      <c r="T673" s="403" t="b">
        <f ca="1">Table66[[#This Row],[Total Specifed in RFO - N/A]]=Table66[[#This Row],[Total Proposed]]</f>
        <v>1</v>
      </c>
      <c r="U673" s="439"/>
      <c r="V673" s="441">
        <f ca="1">Table66[[#This Row],[Year 6 (Specified in RFO) - N/A]]-Table66[[#This Row],[Column1]]</f>
        <v>0</v>
      </c>
    </row>
    <row r="674" spans="1:22" ht="16.5" thickBot="1">
      <c r="A674" s="227"/>
      <c r="B674" s="227"/>
      <c r="C674" s="227"/>
      <c r="D674" s="320"/>
      <c r="E674" s="231"/>
      <c r="F674" s="190"/>
      <c r="G6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4" s="190"/>
      <c r="I6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4" s="190"/>
      <c r="K6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4" s="190"/>
      <c r="M6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4" s="190"/>
      <c r="O6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4" s="190"/>
      <c r="Q6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4" s="192">
        <f ca="1">Table66[[#This Row],[Year 1 (Specified in RFO) - N/A]]+Table66[[#This Row],[Year 2 (Specified in RFO) - N/A]]+Table66[[#This Row],[Year 3 (Specified in RFO) - N/A]]+Table66[[#This Row],[Year 4 (Specified in RFO) - N/A]]+Table66[[#This Row],[Year 5 (Specified in RFO) - N/A]]+Table66[[#This Row],[Year 6 (Specified in RFO) - N/A]]</f>
        <v>0</v>
      </c>
      <c r="S674" s="402">
        <f ca="1">Table66[[#This Row],[Year 1  (Proposed)]]+Table66[[#This Row],[Year 2 (Proposed)]]+Table66[[#This Row],[Year 3 (Proposed)]]+Table66[[#This Row],[Year 4 (Proposed)]]+Table66[[#This Row],[Year 5 (Proposed)]]+Table66[[#This Row],[Year 6 (Proposed)]]</f>
        <v>0</v>
      </c>
      <c r="T674" s="403" t="b">
        <f ca="1">Table66[[#This Row],[Total Specifed in RFO - N/A]]=Table66[[#This Row],[Total Proposed]]</f>
        <v>1</v>
      </c>
      <c r="U674" s="439"/>
      <c r="V674" s="441">
        <f ca="1">Table66[[#This Row],[Year 6 (Specified in RFO) - N/A]]-Table66[[#This Row],[Column1]]</f>
        <v>0</v>
      </c>
    </row>
    <row r="675" spans="1:22" ht="16.5" thickBot="1">
      <c r="A675" s="227"/>
      <c r="B675" s="319"/>
      <c r="C675" s="319"/>
      <c r="D675" s="320"/>
      <c r="E675" s="320"/>
      <c r="F675" s="190"/>
      <c r="G6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5" s="190"/>
      <c r="I6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5" s="190"/>
      <c r="K6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5" s="190"/>
      <c r="M6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5" s="190"/>
      <c r="O6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5" s="190"/>
      <c r="Q6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5" s="192">
        <f ca="1">Table66[[#This Row],[Year 1 (Specified in RFO) - N/A]]+Table66[[#This Row],[Year 2 (Specified in RFO) - N/A]]+Table66[[#This Row],[Year 3 (Specified in RFO) - N/A]]+Table66[[#This Row],[Year 4 (Specified in RFO) - N/A]]+Table66[[#This Row],[Year 5 (Specified in RFO) - N/A]]+Table66[[#This Row],[Year 6 (Specified in RFO) - N/A]]</f>
        <v>0</v>
      </c>
      <c r="S675" s="402">
        <f ca="1">Table66[[#This Row],[Year 1  (Proposed)]]+Table66[[#This Row],[Year 2 (Proposed)]]+Table66[[#This Row],[Year 3 (Proposed)]]+Table66[[#This Row],[Year 4 (Proposed)]]+Table66[[#This Row],[Year 5 (Proposed)]]+Table66[[#This Row],[Year 6 (Proposed)]]</f>
        <v>0</v>
      </c>
      <c r="T675" s="403" t="b">
        <f ca="1">Table66[[#This Row],[Total Specifed in RFO - N/A]]=Table66[[#This Row],[Total Proposed]]</f>
        <v>1</v>
      </c>
      <c r="U675" s="439"/>
      <c r="V675" s="441">
        <f ca="1">Table66[[#This Row],[Year 6 (Specified in RFO) - N/A]]-Table66[[#This Row],[Column1]]</f>
        <v>0</v>
      </c>
    </row>
    <row r="676" spans="1:22" ht="16.5" thickBot="1">
      <c r="A676" s="319"/>
      <c r="B676" s="319"/>
      <c r="C676" s="319"/>
      <c r="D676" s="320"/>
      <c r="E676" s="320"/>
      <c r="F676" s="190"/>
      <c r="G6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6" s="190"/>
      <c r="I6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6" s="190"/>
      <c r="K6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6" s="190"/>
      <c r="M6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6" s="190"/>
      <c r="O6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6" s="190"/>
      <c r="Q6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6" s="192">
        <f ca="1">Table66[[#This Row],[Year 1 (Specified in RFO) - N/A]]+Table66[[#This Row],[Year 2 (Specified in RFO) - N/A]]+Table66[[#This Row],[Year 3 (Specified in RFO) - N/A]]+Table66[[#This Row],[Year 4 (Specified in RFO) - N/A]]+Table66[[#This Row],[Year 5 (Specified in RFO) - N/A]]+Table66[[#This Row],[Year 6 (Specified in RFO) - N/A]]</f>
        <v>0</v>
      </c>
      <c r="S676" s="402">
        <f ca="1">Table66[[#This Row],[Year 1  (Proposed)]]+Table66[[#This Row],[Year 2 (Proposed)]]+Table66[[#This Row],[Year 3 (Proposed)]]+Table66[[#This Row],[Year 4 (Proposed)]]+Table66[[#This Row],[Year 5 (Proposed)]]+Table66[[#This Row],[Year 6 (Proposed)]]</f>
        <v>0</v>
      </c>
      <c r="T676" s="403" t="b">
        <f ca="1">Table66[[#This Row],[Total Specifed in RFO - N/A]]=Table66[[#This Row],[Total Proposed]]</f>
        <v>1</v>
      </c>
      <c r="U676" s="439"/>
      <c r="V676" s="441">
        <f ca="1">Table66[[#This Row],[Year 6 (Specified in RFO) - N/A]]-Table66[[#This Row],[Column1]]</f>
        <v>0</v>
      </c>
    </row>
    <row r="677" spans="1:22" ht="16.5" thickBot="1">
      <c r="A677" s="227"/>
      <c r="B677" s="227"/>
      <c r="C677" s="227"/>
      <c r="D677" s="320"/>
      <c r="E677" s="231"/>
      <c r="F677" s="190"/>
      <c r="G6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7" s="190"/>
      <c r="I6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7" s="190"/>
      <c r="K6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7" s="190"/>
      <c r="M6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7" s="190"/>
      <c r="O6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7" s="190"/>
      <c r="Q6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7" s="192">
        <f ca="1">Table66[[#This Row],[Year 1 (Specified in RFO) - N/A]]+Table66[[#This Row],[Year 2 (Specified in RFO) - N/A]]+Table66[[#This Row],[Year 3 (Specified in RFO) - N/A]]+Table66[[#This Row],[Year 4 (Specified in RFO) - N/A]]+Table66[[#This Row],[Year 5 (Specified in RFO) - N/A]]+Table66[[#This Row],[Year 6 (Specified in RFO) - N/A]]</f>
        <v>0</v>
      </c>
      <c r="S677" s="402">
        <f ca="1">Table66[[#This Row],[Year 1  (Proposed)]]+Table66[[#This Row],[Year 2 (Proposed)]]+Table66[[#This Row],[Year 3 (Proposed)]]+Table66[[#This Row],[Year 4 (Proposed)]]+Table66[[#This Row],[Year 5 (Proposed)]]+Table66[[#This Row],[Year 6 (Proposed)]]</f>
        <v>0</v>
      </c>
      <c r="T677" s="403" t="b">
        <f ca="1">Table66[[#This Row],[Total Specifed in RFO - N/A]]=Table66[[#This Row],[Total Proposed]]</f>
        <v>1</v>
      </c>
      <c r="U677" s="439"/>
      <c r="V677" s="441">
        <f ca="1">Table66[[#This Row],[Year 6 (Specified in RFO) - N/A]]-Table66[[#This Row],[Column1]]</f>
        <v>0</v>
      </c>
    </row>
    <row r="678" spans="1:22" ht="16.5" thickBot="1">
      <c r="A678" s="227"/>
      <c r="B678" s="319"/>
      <c r="C678" s="319"/>
      <c r="D678" s="320"/>
      <c r="E678" s="320"/>
      <c r="F678" s="190"/>
      <c r="G6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8" s="190"/>
      <c r="I6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8" s="190"/>
      <c r="K6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8" s="190"/>
      <c r="M6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8" s="190"/>
      <c r="O6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8" s="190"/>
      <c r="Q6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8" s="192">
        <f ca="1">Table66[[#This Row],[Year 1 (Specified in RFO) - N/A]]+Table66[[#This Row],[Year 2 (Specified in RFO) - N/A]]+Table66[[#This Row],[Year 3 (Specified in RFO) - N/A]]+Table66[[#This Row],[Year 4 (Specified in RFO) - N/A]]+Table66[[#This Row],[Year 5 (Specified in RFO) - N/A]]+Table66[[#This Row],[Year 6 (Specified in RFO) - N/A]]</f>
        <v>0</v>
      </c>
      <c r="S678" s="402">
        <f ca="1">Table66[[#This Row],[Year 1  (Proposed)]]+Table66[[#This Row],[Year 2 (Proposed)]]+Table66[[#This Row],[Year 3 (Proposed)]]+Table66[[#This Row],[Year 4 (Proposed)]]+Table66[[#This Row],[Year 5 (Proposed)]]+Table66[[#This Row],[Year 6 (Proposed)]]</f>
        <v>0</v>
      </c>
      <c r="T678" s="403" t="b">
        <f ca="1">Table66[[#This Row],[Total Specifed in RFO - N/A]]=Table66[[#This Row],[Total Proposed]]</f>
        <v>1</v>
      </c>
      <c r="U678" s="439"/>
      <c r="V678" s="441">
        <f ca="1">Table66[[#This Row],[Year 6 (Specified in RFO) - N/A]]-Table66[[#This Row],[Column1]]</f>
        <v>0</v>
      </c>
    </row>
    <row r="679" spans="1:22" ht="16.5" thickBot="1">
      <c r="A679" s="319"/>
      <c r="B679" s="319"/>
      <c r="C679" s="319"/>
      <c r="D679" s="320"/>
      <c r="E679" s="320"/>
      <c r="F679" s="190"/>
      <c r="G6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9" s="190"/>
      <c r="I6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9" s="190"/>
      <c r="K6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9" s="190"/>
      <c r="M6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9" s="190"/>
      <c r="O6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9" s="190"/>
      <c r="Q6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9" s="192">
        <f ca="1">Table66[[#This Row],[Year 1 (Specified in RFO) - N/A]]+Table66[[#This Row],[Year 2 (Specified in RFO) - N/A]]+Table66[[#This Row],[Year 3 (Specified in RFO) - N/A]]+Table66[[#This Row],[Year 4 (Specified in RFO) - N/A]]+Table66[[#This Row],[Year 5 (Specified in RFO) - N/A]]+Table66[[#This Row],[Year 6 (Specified in RFO) - N/A]]</f>
        <v>0</v>
      </c>
      <c r="S679" s="402">
        <f ca="1">Table66[[#This Row],[Year 1  (Proposed)]]+Table66[[#This Row],[Year 2 (Proposed)]]+Table66[[#This Row],[Year 3 (Proposed)]]+Table66[[#This Row],[Year 4 (Proposed)]]+Table66[[#This Row],[Year 5 (Proposed)]]+Table66[[#This Row],[Year 6 (Proposed)]]</f>
        <v>0</v>
      </c>
      <c r="T679" s="403" t="b">
        <f ca="1">Table66[[#This Row],[Total Specifed in RFO - N/A]]=Table66[[#This Row],[Total Proposed]]</f>
        <v>1</v>
      </c>
      <c r="U679" s="439"/>
      <c r="V679" s="441">
        <f ca="1">Table66[[#This Row],[Year 6 (Specified in RFO) - N/A]]-Table66[[#This Row],[Column1]]</f>
        <v>0</v>
      </c>
    </row>
    <row r="680" spans="1:22" ht="16.5" thickBot="1">
      <c r="A680" s="227"/>
      <c r="B680" s="227"/>
      <c r="C680" s="227"/>
      <c r="D680" s="320"/>
      <c r="E680" s="231"/>
      <c r="F680" s="190"/>
      <c r="G6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0" s="190"/>
      <c r="I6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0" s="190"/>
      <c r="K6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0" s="190"/>
      <c r="M6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0" s="190"/>
      <c r="O6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0" s="190"/>
      <c r="Q6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0" s="192">
        <f ca="1">Table66[[#This Row],[Year 1 (Specified in RFO) - N/A]]+Table66[[#This Row],[Year 2 (Specified in RFO) - N/A]]+Table66[[#This Row],[Year 3 (Specified in RFO) - N/A]]+Table66[[#This Row],[Year 4 (Specified in RFO) - N/A]]+Table66[[#This Row],[Year 5 (Specified in RFO) - N/A]]+Table66[[#This Row],[Year 6 (Specified in RFO) - N/A]]</f>
        <v>0</v>
      </c>
      <c r="S680" s="402">
        <f ca="1">Table66[[#This Row],[Year 1  (Proposed)]]+Table66[[#This Row],[Year 2 (Proposed)]]+Table66[[#This Row],[Year 3 (Proposed)]]+Table66[[#This Row],[Year 4 (Proposed)]]+Table66[[#This Row],[Year 5 (Proposed)]]+Table66[[#This Row],[Year 6 (Proposed)]]</f>
        <v>0</v>
      </c>
      <c r="T680" s="403" t="b">
        <f ca="1">Table66[[#This Row],[Total Specifed in RFO - N/A]]=Table66[[#This Row],[Total Proposed]]</f>
        <v>1</v>
      </c>
      <c r="U680" s="439"/>
      <c r="V680" s="441">
        <f ca="1">Table66[[#This Row],[Year 6 (Specified in RFO) - N/A]]-Table66[[#This Row],[Column1]]</f>
        <v>0</v>
      </c>
    </row>
    <row r="681" spans="1:22" ht="16.5" thickBot="1">
      <c r="A681" s="227"/>
      <c r="B681" s="319"/>
      <c r="C681" s="319"/>
      <c r="D681" s="320"/>
      <c r="E681" s="320"/>
      <c r="F681" s="190"/>
      <c r="G6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1" s="190"/>
      <c r="I6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1" s="190"/>
      <c r="K6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1" s="190"/>
      <c r="M6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1" s="190"/>
      <c r="O6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1" s="190"/>
      <c r="Q6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1" s="192">
        <f ca="1">Table66[[#This Row],[Year 1 (Specified in RFO) - N/A]]+Table66[[#This Row],[Year 2 (Specified in RFO) - N/A]]+Table66[[#This Row],[Year 3 (Specified in RFO) - N/A]]+Table66[[#This Row],[Year 4 (Specified in RFO) - N/A]]+Table66[[#This Row],[Year 5 (Specified in RFO) - N/A]]+Table66[[#This Row],[Year 6 (Specified in RFO) - N/A]]</f>
        <v>0</v>
      </c>
      <c r="S681" s="402">
        <f ca="1">Table66[[#This Row],[Year 1  (Proposed)]]+Table66[[#This Row],[Year 2 (Proposed)]]+Table66[[#This Row],[Year 3 (Proposed)]]+Table66[[#This Row],[Year 4 (Proposed)]]+Table66[[#This Row],[Year 5 (Proposed)]]+Table66[[#This Row],[Year 6 (Proposed)]]</f>
        <v>0</v>
      </c>
      <c r="T681" s="403" t="b">
        <f ca="1">Table66[[#This Row],[Total Specifed in RFO - N/A]]=Table66[[#This Row],[Total Proposed]]</f>
        <v>1</v>
      </c>
      <c r="U681" s="439"/>
      <c r="V681" s="441">
        <f ca="1">Table66[[#This Row],[Year 6 (Specified in RFO) - N/A]]-Table66[[#This Row],[Column1]]</f>
        <v>0</v>
      </c>
    </row>
    <row r="682" spans="1:22" ht="16.5" thickBot="1">
      <c r="A682" s="319"/>
      <c r="B682" s="319"/>
      <c r="C682" s="319"/>
      <c r="D682" s="320"/>
      <c r="E682" s="320"/>
      <c r="F682" s="190"/>
      <c r="G6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2" s="190"/>
      <c r="I6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2" s="190"/>
      <c r="K6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2" s="190"/>
      <c r="M6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2" s="190"/>
      <c r="O6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2" s="190"/>
      <c r="Q6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2" s="192">
        <f ca="1">Table66[[#This Row],[Year 1 (Specified in RFO) - N/A]]+Table66[[#This Row],[Year 2 (Specified in RFO) - N/A]]+Table66[[#This Row],[Year 3 (Specified in RFO) - N/A]]+Table66[[#This Row],[Year 4 (Specified in RFO) - N/A]]+Table66[[#This Row],[Year 5 (Specified in RFO) - N/A]]+Table66[[#This Row],[Year 6 (Specified in RFO) - N/A]]</f>
        <v>0</v>
      </c>
      <c r="S682" s="402">
        <f ca="1">Table66[[#This Row],[Year 1  (Proposed)]]+Table66[[#This Row],[Year 2 (Proposed)]]+Table66[[#This Row],[Year 3 (Proposed)]]+Table66[[#This Row],[Year 4 (Proposed)]]+Table66[[#This Row],[Year 5 (Proposed)]]+Table66[[#This Row],[Year 6 (Proposed)]]</f>
        <v>0</v>
      </c>
      <c r="T682" s="403" t="b">
        <f ca="1">Table66[[#This Row],[Total Specifed in RFO - N/A]]=Table66[[#This Row],[Total Proposed]]</f>
        <v>1</v>
      </c>
      <c r="U682" s="439"/>
      <c r="V682" s="441">
        <f ca="1">Table66[[#This Row],[Year 6 (Specified in RFO) - N/A]]-Table66[[#This Row],[Column1]]</f>
        <v>0</v>
      </c>
    </row>
    <row r="683" spans="1:22" ht="16.5" thickBot="1">
      <c r="A683" s="227"/>
      <c r="B683" s="227"/>
      <c r="C683" s="227"/>
      <c r="D683" s="320"/>
      <c r="E683" s="231"/>
      <c r="F683" s="190"/>
      <c r="G6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3" s="190"/>
      <c r="I6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3" s="190"/>
      <c r="K6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3" s="190"/>
      <c r="M6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3" s="190"/>
      <c r="O6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3" s="190"/>
      <c r="Q6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3" s="192">
        <f ca="1">Table66[[#This Row],[Year 1 (Specified in RFO) - N/A]]+Table66[[#This Row],[Year 2 (Specified in RFO) - N/A]]+Table66[[#This Row],[Year 3 (Specified in RFO) - N/A]]+Table66[[#This Row],[Year 4 (Specified in RFO) - N/A]]+Table66[[#This Row],[Year 5 (Specified in RFO) - N/A]]+Table66[[#This Row],[Year 6 (Specified in RFO) - N/A]]</f>
        <v>0</v>
      </c>
      <c r="S683" s="402">
        <f ca="1">Table66[[#This Row],[Year 1  (Proposed)]]+Table66[[#This Row],[Year 2 (Proposed)]]+Table66[[#This Row],[Year 3 (Proposed)]]+Table66[[#This Row],[Year 4 (Proposed)]]+Table66[[#This Row],[Year 5 (Proposed)]]+Table66[[#This Row],[Year 6 (Proposed)]]</f>
        <v>0</v>
      </c>
      <c r="T683" s="403" t="b">
        <f ca="1">Table66[[#This Row],[Total Specifed in RFO - N/A]]=Table66[[#This Row],[Total Proposed]]</f>
        <v>1</v>
      </c>
      <c r="U683" s="439"/>
      <c r="V683" s="441">
        <f ca="1">Table66[[#This Row],[Year 6 (Specified in RFO) - N/A]]-Table66[[#This Row],[Column1]]</f>
        <v>0</v>
      </c>
    </row>
    <row r="684" spans="1:22" ht="16.5" thickBot="1">
      <c r="A684" s="227"/>
      <c r="B684" s="319"/>
      <c r="C684" s="319"/>
      <c r="D684" s="320"/>
      <c r="E684" s="320"/>
      <c r="F684" s="190"/>
      <c r="G6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4" s="190"/>
      <c r="I6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4" s="190"/>
      <c r="K6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4" s="190"/>
      <c r="M6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4" s="190"/>
      <c r="O6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4" s="190"/>
      <c r="Q6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4" s="192">
        <f ca="1">Table66[[#This Row],[Year 1 (Specified in RFO) - N/A]]+Table66[[#This Row],[Year 2 (Specified in RFO) - N/A]]+Table66[[#This Row],[Year 3 (Specified in RFO) - N/A]]+Table66[[#This Row],[Year 4 (Specified in RFO) - N/A]]+Table66[[#This Row],[Year 5 (Specified in RFO) - N/A]]+Table66[[#This Row],[Year 6 (Specified in RFO) - N/A]]</f>
        <v>0</v>
      </c>
      <c r="S684" s="402">
        <f ca="1">Table66[[#This Row],[Year 1  (Proposed)]]+Table66[[#This Row],[Year 2 (Proposed)]]+Table66[[#This Row],[Year 3 (Proposed)]]+Table66[[#This Row],[Year 4 (Proposed)]]+Table66[[#This Row],[Year 5 (Proposed)]]+Table66[[#This Row],[Year 6 (Proposed)]]</f>
        <v>0</v>
      </c>
      <c r="T684" s="403" t="b">
        <f ca="1">Table66[[#This Row],[Total Specifed in RFO - N/A]]=Table66[[#This Row],[Total Proposed]]</f>
        <v>1</v>
      </c>
      <c r="U684" s="439"/>
      <c r="V684" s="441">
        <f ca="1">Table66[[#This Row],[Year 6 (Specified in RFO) - N/A]]-Table66[[#This Row],[Column1]]</f>
        <v>0</v>
      </c>
    </row>
    <row r="685" spans="1:22" ht="16.5" thickBot="1">
      <c r="A685" s="227"/>
      <c r="B685" s="319"/>
      <c r="C685" s="319"/>
      <c r="D685" s="320"/>
      <c r="E685" s="320"/>
      <c r="F685" s="190"/>
      <c r="G6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5" s="190"/>
      <c r="I6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5" s="190"/>
      <c r="K6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5" s="190"/>
      <c r="M6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5" s="190"/>
      <c r="O6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5" s="190"/>
      <c r="Q6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5" s="192">
        <f ca="1">Table66[[#This Row],[Year 1 (Specified in RFO) - N/A]]+Table66[[#This Row],[Year 2 (Specified in RFO) - N/A]]+Table66[[#This Row],[Year 3 (Specified in RFO) - N/A]]+Table66[[#This Row],[Year 4 (Specified in RFO) - N/A]]+Table66[[#This Row],[Year 5 (Specified in RFO) - N/A]]+Table66[[#This Row],[Year 6 (Specified in RFO) - N/A]]</f>
        <v>0</v>
      </c>
      <c r="S685" s="402">
        <f ca="1">Table66[[#This Row],[Year 1  (Proposed)]]+Table66[[#This Row],[Year 2 (Proposed)]]+Table66[[#This Row],[Year 3 (Proposed)]]+Table66[[#This Row],[Year 4 (Proposed)]]+Table66[[#This Row],[Year 5 (Proposed)]]+Table66[[#This Row],[Year 6 (Proposed)]]</f>
        <v>0</v>
      </c>
      <c r="T685" s="403" t="b">
        <f ca="1">Table66[[#This Row],[Total Specifed in RFO - N/A]]=Table66[[#This Row],[Total Proposed]]</f>
        <v>1</v>
      </c>
      <c r="U685" s="439"/>
      <c r="V685" s="441">
        <f ca="1">Table66[[#This Row],[Year 6 (Specified in RFO) - N/A]]-Table66[[#This Row],[Column1]]</f>
        <v>0</v>
      </c>
    </row>
    <row r="686" spans="1:22" ht="16.5" thickBot="1">
      <c r="A686" s="227"/>
      <c r="B686" s="319"/>
      <c r="C686" s="319"/>
      <c r="D686" s="320"/>
      <c r="E686" s="320"/>
      <c r="F686" s="190"/>
      <c r="G6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6" s="190"/>
      <c r="I6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6" s="190"/>
      <c r="K6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6" s="190"/>
      <c r="M6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6" s="190"/>
      <c r="O6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6" s="190"/>
      <c r="Q6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6" s="192">
        <f ca="1">Table66[[#This Row],[Year 1 (Specified in RFO) - N/A]]+Table66[[#This Row],[Year 2 (Specified in RFO) - N/A]]+Table66[[#This Row],[Year 3 (Specified in RFO) - N/A]]+Table66[[#This Row],[Year 4 (Specified in RFO) - N/A]]+Table66[[#This Row],[Year 5 (Specified in RFO) - N/A]]+Table66[[#This Row],[Year 6 (Specified in RFO) - N/A]]</f>
        <v>0</v>
      </c>
      <c r="S686" s="402">
        <f ca="1">Table66[[#This Row],[Year 1  (Proposed)]]+Table66[[#This Row],[Year 2 (Proposed)]]+Table66[[#This Row],[Year 3 (Proposed)]]+Table66[[#This Row],[Year 4 (Proposed)]]+Table66[[#This Row],[Year 5 (Proposed)]]+Table66[[#This Row],[Year 6 (Proposed)]]</f>
        <v>0</v>
      </c>
      <c r="T686" s="403" t="b">
        <f ca="1">Table66[[#This Row],[Total Specifed in RFO - N/A]]=Table66[[#This Row],[Total Proposed]]</f>
        <v>1</v>
      </c>
      <c r="U686" s="439"/>
      <c r="V686" s="441">
        <f ca="1">Table66[[#This Row],[Year 6 (Specified in RFO) - N/A]]-Table66[[#This Row],[Column1]]</f>
        <v>0</v>
      </c>
    </row>
    <row r="687" spans="1:22" ht="16.5" thickBot="1">
      <c r="A687" s="227"/>
      <c r="B687" s="319"/>
      <c r="C687" s="319"/>
      <c r="D687" s="320"/>
      <c r="E687" s="320"/>
      <c r="F687" s="190"/>
      <c r="G6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7" s="190"/>
      <c r="I6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7" s="190"/>
      <c r="K6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7" s="190"/>
      <c r="M6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7" s="190"/>
      <c r="O6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7" s="190"/>
      <c r="Q6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7" s="192">
        <f ca="1">Table66[[#This Row],[Year 1 (Specified in RFO) - N/A]]+Table66[[#This Row],[Year 2 (Specified in RFO) - N/A]]+Table66[[#This Row],[Year 3 (Specified in RFO) - N/A]]+Table66[[#This Row],[Year 4 (Specified in RFO) - N/A]]+Table66[[#This Row],[Year 5 (Specified in RFO) - N/A]]+Table66[[#This Row],[Year 6 (Specified in RFO) - N/A]]</f>
        <v>0</v>
      </c>
      <c r="S687" s="402">
        <f ca="1">Table66[[#This Row],[Year 1  (Proposed)]]+Table66[[#This Row],[Year 2 (Proposed)]]+Table66[[#This Row],[Year 3 (Proposed)]]+Table66[[#This Row],[Year 4 (Proposed)]]+Table66[[#This Row],[Year 5 (Proposed)]]+Table66[[#This Row],[Year 6 (Proposed)]]</f>
        <v>0</v>
      </c>
      <c r="T687" s="403" t="b">
        <f ca="1">Table66[[#This Row],[Total Specifed in RFO - N/A]]=Table66[[#This Row],[Total Proposed]]</f>
        <v>1</v>
      </c>
      <c r="U687" s="439"/>
      <c r="V687" s="441">
        <f ca="1">Table66[[#This Row],[Year 6 (Specified in RFO) - N/A]]-Table66[[#This Row],[Column1]]</f>
        <v>0</v>
      </c>
    </row>
    <row r="688" spans="1:22" ht="16.5" thickBot="1">
      <c r="A688" s="227"/>
      <c r="B688" s="319"/>
      <c r="C688" s="319"/>
      <c r="D688" s="320"/>
      <c r="E688" s="320"/>
      <c r="F688" s="190"/>
      <c r="G6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8" s="190"/>
      <c r="I6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8" s="190"/>
      <c r="K6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8" s="190"/>
      <c r="M6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8" s="190"/>
      <c r="O6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8" s="190"/>
      <c r="Q6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8" s="192">
        <f ca="1">Table66[[#This Row],[Year 1 (Specified in RFO) - N/A]]+Table66[[#This Row],[Year 2 (Specified in RFO) - N/A]]+Table66[[#This Row],[Year 3 (Specified in RFO) - N/A]]+Table66[[#This Row],[Year 4 (Specified in RFO) - N/A]]+Table66[[#This Row],[Year 5 (Specified in RFO) - N/A]]+Table66[[#This Row],[Year 6 (Specified in RFO) - N/A]]</f>
        <v>0</v>
      </c>
      <c r="S688" s="402">
        <f ca="1">Table66[[#This Row],[Year 1  (Proposed)]]+Table66[[#This Row],[Year 2 (Proposed)]]+Table66[[#This Row],[Year 3 (Proposed)]]+Table66[[#This Row],[Year 4 (Proposed)]]+Table66[[#This Row],[Year 5 (Proposed)]]+Table66[[#This Row],[Year 6 (Proposed)]]</f>
        <v>0</v>
      </c>
      <c r="T688" s="403" t="b">
        <f ca="1">Table66[[#This Row],[Total Specifed in RFO - N/A]]=Table66[[#This Row],[Total Proposed]]</f>
        <v>1</v>
      </c>
      <c r="U688" s="439"/>
      <c r="V688" s="441">
        <f ca="1">Table66[[#This Row],[Year 6 (Specified in RFO) - N/A]]-Table66[[#This Row],[Column1]]</f>
        <v>0</v>
      </c>
    </row>
    <row r="689" spans="1:22" ht="16.5" thickBot="1">
      <c r="A689" s="227"/>
      <c r="B689" s="319"/>
      <c r="C689" s="319"/>
      <c r="D689" s="320"/>
      <c r="E689" s="320"/>
      <c r="F689" s="190"/>
      <c r="G6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9" s="190"/>
      <c r="I6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9" s="190"/>
      <c r="K6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9" s="190"/>
      <c r="M6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9" s="190"/>
      <c r="O6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9" s="190"/>
      <c r="Q6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9" s="192">
        <f ca="1">Table66[[#This Row],[Year 1 (Specified in RFO) - N/A]]+Table66[[#This Row],[Year 2 (Specified in RFO) - N/A]]+Table66[[#This Row],[Year 3 (Specified in RFO) - N/A]]+Table66[[#This Row],[Year 4 (Specified in RFO) - N/A]]+Table66[[#This Row],[Year 5 (Specified in RFO) - N/A]]+Table66[[#This Row],[Year 6 (Specified in RFO) - N/A]]</f>
        <v>0</v>
      </c>
      <c r="S689" s="402">
        <f ca="1">Table66[[#This Row],[Year 1  (Proposed)]]+Table66[[#This Row],[Year 2 (Proposed)]]+Table66[[#This Row],[Year 3 (Proposed)]]+Table66[[#This Row],[Year 4 (Proposed)]]+Table66[[#This Row],[Year 5 (Proposed)]]+Table66[[#This Row],[Year 6 (Proposed)]]</f>
        <v>0</v>
      </c>
      <c r="T689" s="403" t="b">
        <f ca="1">Table66[[#This Row],[Total Specifed in RFO - N/A]]=Table66[[#This Row],[Total Proposed]]</f>
        <v>1</v>
      </c>
      <c r="U689" s="439"/>
      <c r="V689" s="441">
        <f ca="1">Table66[[#This Row],[Year 6 (Specified in RFO) - N/A]]-Table66[[#This Row],[Column1]]</f>
        <v>0</v>
      </c>
    </row>
    <row r="690" spans="1:22" ht="16.5" thickBot="1">
      <c r="A690" s="227"/>
      <c r="B690" s="319"/>
      <c r="C690" s="319"/>
      <c r="D690" s="320"/>
      <c r="E690" s="320"/>
      <c r="F690" s="190"/>
      <c r="G6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0" s="190"/>
      <c r="I6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0" s="190"/>
      <c r="K6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0" s="190"/>
      <c r="M6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0" s="190"/>
      <c r="O6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0" s="190"/>
      <c r="Q6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0" s="192">
        <f ca="1">Table66[[#This Row],[Year 1 (Specified in RFO) - N/A]]+Table66[[#This Row],[Year 2 (Specified in RFO) - N/A]]+Table66[[#This Row],[Year 3 (Specified in RFO) - N/A]]+Table66[[#This Row],[Year 4 (Specified in RFO) - N/A]]+Table66[[#This Row],[Year 5 (Specified in RFO) - N/A]]+Table66[[#This Row],[Year 6 (Specified in RFO) - N/A]]</f>
        <v>0</v>
      </c>
      <c r="S690" s="402">
        <f ca="1">Table66[[#This Row],[Year 1  (Proposed)]]+Table66[[#This Row],[Year 2 (Proposed)]]+Table66[[#This Row],[Year 3 (Proposed)]]+Table66[[#This Row],[Year 4 (Proposed)]]+Table66[[#This Row],[Year 5 (Proposed)]]+Table66[[#This Row],[Year 6 (Proposed)]]</f>
        <v>0</v>
      </c>
      <c r="T690" s="403" t="b">
        <f ca="1">Table66[[#This Row],[Total Specifed in RFO - N/A]]=Table66[[#This Row],[Total Proposed]]</f>
        <v>1</v>
      </c>
      <c r="U690" s="439"/>
      <c r="V690" s="441">
        <f ca="1">Table66[[#This Row],[Year 6 (Specified in RFO) - N/A]]-Table66[[#This Row],[Column1]]</f>
        <v>0</v>
      </c>
    </row>
    <row r="691" spans="1:22" ht="16.5" thickBot="1">
      <c r="A691" s="227"/>
      <c r="B691" s="319"/>
      <c r="C691" s="319"/>
      <c r="D691" s="320"/>
      <c r="E691" s="320"/>
      <c r="F691" s="190"/>
      <c r="G6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1" s="190"/>
      <c r="I6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1" s="190"/>
      <c r="K6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1" s="190"/>
      <c r="M6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1" s="190"/>
      <c r="O6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1" s="190"/>
      <c r="Q6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1" s="192">
        <f ca="1">Table66[[#This Row],[Year 1 (Specified in RFO) - N/A]]+Table66[[#This Row],[Year 2 (Specified in RFO) - N/A]]+Table66[[#This Row],[Year 3 (Specified in RFO) - N/A]]+Table66[[#This Row],[Year 4 (Specified in RFO) - N/A]]+Table66[[#This Row],[Year 5 (Specified in RFO) - N/A]]+Table66[[#This Row],[Year 6 (Specified in RFO) - N/A]]</f>
        <v>0</v>
      </c>
      <c r="S691" s="402">
        <f ca="1">Table66[[#This Row],[Year 1  (Proposed)]]+Table66[[#This Row],[Year 2 (Proposed)]]+Table66[[#This Row],[Year 3 (Proposed)]]+Table66[[#This Row],[Year 4 (Proposed)]]+Table66[[#This Row],[Year 5 (Proposed)]]+Table66[[#This Row],[Year 6 (Proposed)]]</f>
        <v>0</v>
      </c>
      <c r="T691" s="403" t="b">
        <f ca="1">Table66[[#This Row],[Total Specifed in RFO - N/A]]=Table66[[#This Row],[Total Proposed]]</f>
        <v>1</v>
      </c>
      <c r="U691" s="439"/>
      <c r="V691" s="441">
        <f ca="1">Table66[[#This Row],[Year 6 (Specified in RFO) - N/A]]-Table66[[#This Row],[Column1]]</f>
        <v>0</v>
      </c>
    </row>
    <row r="692" spans="1:22" ht="16.5" thickBot="1">
      <c r="A692" s="227"/>
      <c r="B692" s="319"/>
      <c r="C692" s="319"/>
      <c r="D692" s="320"/>
      <c r="E692" s="320"/>
      <c r="F692" s="190"/>
      <c r="G6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2" s="190"/>
      <c r="I6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2" s="190"/>
      <c r="K6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2" s="190"/>
      <c r="M6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2" s="190"/>
      <c r="O6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2" s="190"/>
      <c r="Q6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2" s="192">
        <f ca="1">Table66[[#This Row],[Year 1 (Specified in RFO) - N/A]]+Table66[[#This Row],[Year 2 (Specified in RFO) - N/A]]+Table66[[#This Row],[Year 3 (Specified in RFO) - N/A]]+Table66[[#This Row],[Year 4 (Specified in RFO) - N/A]]+Table66[[#This Row],[Year 5 (Specified in RFO) - N/A]]+Table66[[#This Row],[Year 6 (Specified in RFO) - N/A]]</f>
        <v>0</v>
      </c>
      <c r="S692" s="402">
        <f ca="1">Table66[[#This Row],[Year 1  (Proposed)]]+Table66[[#This Row],[Year 2 (Proposed)]]+Table66[[#This Row],[Year 3 (Proposed)]]+Table66[[#This Row],[Year 4 (Proposed)]]+Table66[[#This Row],[Year 5 (Proposed)]]+Table66[[#This Row],[Year 6 (Proposed)]]</f>
        <v>0</v>
      </c>
      <c r="T692" s="403" t="b">
        <f ca="1">Table66[[#This Row],[Total Specifed in RFO - N/A]]=Table66[[#This Row],[Total Proposed]]</f>
        <v>1</v>
      </c>
      <c r="U692" s="439"/>
      <c r="V692" s="441">
        <f ca="1">Table66[[#This Row],[Year 6 (Specified in RFO) - N/A]]-Table66[[#This Row],[Column1]]</f>
        <v>0</v>
      </c>
    </row>
    <row r="693" spans="1:22" ht="16.5" thickBot="1">
      <c r="A693" s="227"/>
      <c r="B693" s="319"/>
      <c r="C693" s="319"/>
      <c r="D693" s="320"/>
      <c r="E693" s="320"/>
      <c r="F693" s="190"/>
      <c r="G6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3" s="190"/>
      <c r="I6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3" s="190"/>
      <c r="K6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3" s="190"/>
      <c r="M6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3" s="190"/>
      <c r="O6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3" s="190"/>
      <c r="Q6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3" s="192">
        <f ca="1">Table66[[#This Row],[Year 1 (Specified in RFO) - N/A]]+Table66[[#This Row],[Year 2 (Specified in RFO) - N/A]]+Table66[[#This Row],[Year 3 (Specified in RFO) - N/A]]+Table66[[#This Row],[Year 4 (Specified in RFO) - N/A]]+Table66[[#This Row],[Year 5 (Specified in RFO) - N/A]]+Table66[[#This Row],[Year 6 (Specified in RFO) - N/A]]</f>
        <v>0</v>
      </c>
      <c r="S693" s="402">
        <f ca="1">Table66[[#This Row],[Year 1  (Proposed)]]+Table66[[#This Row],[Year 2 (Proposed)]]+Table66[[#This Row],[Year 3 (Proposed)]]+Table66[[#This Row],[Year 4 (Proposed)]]+Table66[[#This Row],[Year 5 (Proposed)]]+Table66[[#This Row],[Year 6 (Proposed)]]</f>
        <v>0</v>
      </c>
      <c r="T693" s="403" t="b">
        <f ca="1">Table66[[#This Row],[Total Specifed in RFO - N/A]]=Table66[[#This Row],[Total Proposed]]</f>
        <v>1</v>
      </c>
      <c r="U693" s="439"/>
      <c r="V693" s="441">
        <f ca="1">Table66[[#This Row],[Year 6 (Specified in RFO) - N/A]]-Table66[[#This Row],[Column1]]</f>
        <v>0</v>
      </c>
    </row>
    <row r="694" spans="1:22" ht="16.5" thickBot="1">
      <c r="A694" s="227"/>
      <c r="B694" s="319"/>
      <c r="C694" s="319"/>
      <c r="D694" s="320"/>
      <c r="E694" s="320"/>
      <c r="F694" s="190"/>
      <c r="G6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4" s="190"/>
      <c r="I6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4" s="190"/>
      <c r="K6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4" s="190"/>
      <c r="M6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4" s="190"/>
      <c r="O6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4" s="190"/>
      <c r="Q6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4" s="192">
        <f ca="1">Table66[[#This Row],[Year 1 (Specified in RFO) - N/A]]+Table66[[#This Row],[Year 2 (Specified in RFO) - N/A]]+Table66[[#This Row],[Year 3 (Specified in RFO) - N/A]]+Table66[[#This Row],[Year 4 (Specified in RFO) - N/A]]+Table66[[#This Row],[Year 5 (Specified in RFO) - N/A]]+Table66[[#This Row],[Year 6 (Specified in RFO) - N/A]]</f>
        <v>0</v>
      </c>
      <c r="S694" s="402">
        <f ca="1">Table66[[#This Row],[Year 1  (Proposed)]]+Table66[[#This Row],[Year 2 (Proposed)]]+Table66[[#This Row],[Year 3 (Proposed)]]+Table66[[#This Row],[Year 4 (Proposed)]]+Table66[[#This Row],[Year 5 (Proposed)]]+Table66[[#This Row],[Year 6 (Proposed)]]</f>
        <v>0</v>
      </c>
      <c r="T694" s="403" t="b">
        <f ca="1">Table66[[#This Row],[Total Specifed in RFO - N/A]]=Table66[[#This Row],[Total Proposed]]</f>
        <v>1</v>
      </c>
      <c r="U694" s="439"/>
      <c r="V694" s="441">
        <f ca="1">Table66[[#This Row],[Year 6 (Specified in RFO) - N/A]]-Table66[[#This Row],[Column1]]</f>
        <v>0</v>
      </c>
    </row>
    <row r="695" spans="1:22" ht="16.5" thickBot="1">
      <c r="A695" s="227"/>
      <c r="B695" s="319"/>
      <c r="C695" s="319"/>
      <c r="D695" s="320"/>
      <c r="E695" s="320"/>
      <c r="F695" s="190"/>
      <c r="G6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5" s="190"/>
      <c r="I6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5" s="190"/>
      <c r="K6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5" s="190"/>
      <c r="M6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5" s="190"/>
      <c r="O6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5" s="190"/>
      <c r="Q6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5" s="192">
        <f ca="1">Table66[[#This Row],[Year 1 (Specified in RFO) - N/A]]+Table66[[#This Row],[Year 2 (Specified in RFO) - N/A]]+Table66[[#This Row],[Year 3 (Specified in RFO) - N/A]]+Table66[[#This Row],[Year 4 (Specified in RFO) - N/A]]+Table66[[#This Row],[Year 5 (Specified in RFO) - N/A]]+Table66[[#This Row],[Year 6 (Specified in RFO) - N/A]]</f>
        <v>0</v>
      </c>
      <c r="S695" s="402">
        <f ca="1">Table66[[#This Row],[Year 1  (Proposed)]]+Table66[[#This Row],[Year 2 (Proposed)]]+Table66[[#This Row],[Year 3 (Proposed)]]+Table66[[#This Row],[Year 4 (Proposed)]]+Table66[[#This Row],[Year 5 (Proposed)]]+Table66[[#This Row],[Year 6 (Proposed)]]</f>
        <v>0</v>
      </c>
      <c r="T695" s="403" t="b">
        <f ca="1">Table66[[#This Row],[Total Specifed in RFO - N/A]]=Table66[[#This Row],[Total Proposed]]</f>
        <v>1</v>
      </c>
      <c r="U695" s="439"/>
      <c r="V695" s="441">
        <f ca="1">Table66[[#This Row],[Year 6 (Specified in RFO) - N/A]]-Table66[[#This Row],[Column1]]</f>
        <v>0</v>
      </c>
    </row>
    <row r="696" spans="1:22" ht="16.5" thickBot="1">
      <c r="A696" s="227"/>
      <c r="B696" s="319"/>
      <c r="C696" s="319"/>
      <c r="D696" s="320"/>
      <c r="E696" s="320"/>
      <c r="F696" s="190"/>
      <c r="G6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6" s="190"/>
      <c r="I6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6" s="190"/>
      <c r="K6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6" s="190"/>
      <c r="M6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6" s="190"/>
      <c r="O6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6" s="190"/>
      <c r="Q6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6" s="192">
        <f ca="1">Table66[[#This Row],[Year 1 (Specified in RFO) - N/A]]+Table66[[#This Row],[Year 2 (Specified in RFO) - N/A]]+Table66[[#This Row],[Year 3 (Specified in RFO) - N/A]]+Table66[[#This Row],[Year 4 (Specified in RFO) - N/A]]+Table66[[#This Row],[Year 5 (Specified in RFO) - N/A]]+Table66[[#This Row],[Year 6 (Specified in RFO) - N/A]]</f>
        <v>0</v>
      </c>
      <c r="S696" s="402">
        <f ca="1">Table66[[#This Row],[Year 1  (Proposed)]]+Table66[[#This Row],[Year 2 (Proposed)]]+Table66[[#This Row],[Year 3 (Proposed)]]+Table66[[#This Row],[Year 4 (Proposed)]]+Table66[[#This Row],[Year 5 (Proposed)]]+Table66[[#This Row],[Year 6 (Proposed)]]</f>
        <v>0</v>
      </c>
      <c r="T696" s="403" t="b">
        <f ca="1">Table66[[#This Row],[Total Specifed in RFO - N/A]]=Table66[[#This Row],[Total Proposed]]</f>
        <v>1</v>
      </c>
      <c r="U696" s="439"/>
      <c r="V696" s="441">
        <f ca="1">Table66[[#This Row],[Year 6 (Specified in RFO) - N/A]]-Table66[[#This Row],[Column1]]</f>
        <v>0</v>
      </c>
    </row>
    <row r="697" spans="1:22" ht="16.5" thickBot="1">
      <c r="A697" s="227"/>
      <c r="B697" s="319"/>
      <c r="C697" s="319"/>
      <c r="D697" s="320"/>
      <c r="E697" s="320"/>
      <c r="F697" s="190"/>
      <c r="G6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7" s="190"/>
      <c r="I6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7" s="190"/>
      <c r="K6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7" s="190"/>
      <c r="M6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7" s="190"/>
      <c r="O6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7" s="190"/>
      <c r="Q6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7" s="192">
        <f ca="1">Table66[[#This Row],[Year 1 (Specified in RFO) - N/A]]+Table66[[#This Row],[Year 2 (Specified in RFO) - N/A]]+Table66[[#This Row],[Year 3 (Specified in RFO) - N/A]]+Table66[[#This Row],[Year 4 (Specified in RFO) - N/A]]+Table66[[#This Row],[Year 5 (Specified in RFO) - N/A]]+Table66[[#This Row],[Year 6 (Specified in RFO) - N/A]]</f>
        <v>0</v>
      </c>
      <c r="S697" s="402">
        <f ca="1">Table66[[#This Row],[Year 1  (Proposed)]]+Table66[[#This Row],[Year 2 (Proposed)]]+Table66[[#This Row],[Year 3 (Proposed)]]+Table66[[#This Row],[Year 4 (Proposed)]]+Table66[[#This Row],[Year 5 (Proposed)]]+Table66[[#This Row],[Year 6 (Proposed)]]</f>
        <v>0</v>
      </c>
      <c r="T697" s="403" t="b">
        <f ca="1">Table66[[#This Row],[Total Specifed in RFO - N/A]]=Table66[[#This Row],[Total Proposed]]</f>
        <v>1</v>
      </c>
      <c r="U697" s="439"/>
      <c r="V697" s="441">
        <f ca="1">Table66[[#This Row],[Year 6 (Specified in RFO) - N/A]]-Table66[[#This Row],[Column1]]</f>
        <v>0</v>
      </c>
    </row>
    <row r="698" spans="1:22" ht="16.5" thickBot="1">
      <c r="A698" s="227"/>
      <c r="B698" s="319"/>
      <c r="C698" s="319"/>
      <c r="D698" s="320"/>
      <c r="E698" s="320"/>
      <c r="F698" s="190"/>
      <c r="G6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8" s="190"/>
      <c r="I6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8" s="190"/>
      <c r="K6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8" s="190"/>
      <c r="M6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8" s="190"/>
      <c r="O6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8" s="190"/>
      <c r="Q6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8" s="192">
        <f ca="1">Table66[[#This Row],[Year 1 (Specified in RFO) - N/A]]+Table66[[#This Row],[Year 2 (Specified in RFO) - N/A]]+Table66[[#This Row],[Year 3 (Specified in RFO) - N/A]]+Table66[[#This Row],[Year 4 (Specified in RFO) - N/A]]+Table66[[#This Row],[Year 5 (Specified in RFO) - N/A]]+Table66[[#This Row],[Year 6 (Specified in RFO) - N/A]]</f>
        <v>0</v>
      </c>
      <c r="S698" s="402">
        <f ca="1">Table66[[#This Row],[Year 1  (Proposed)]]+Table66[[#This Row],[Year 2 (Proposed)]]+Table66[[#This Row],[Year 3 (Proposed)]]+Table66[[#This Row],[Year 4 (Proposed)]]+Table66[[#This Row],[Year 5 (Proposed)]]+Table66[[#This Row],[Year 6 (Proposed)]]</f>
        <v>0</v>
      </c>
      <c r="T698" s="403" t="b">
        <f ca="1">Table66[[#This Row],[Total Specifed in RFO - N/A]]=Table66[[#This Row],[Total Proposed]]</f>
        <v>1</v>
      </c>
      <c r="U698" s="439"/>
      <c r="V698" s="441">
        <f ca="1">Table66[[#This Row],[Year 6 (Specified in RFO) - N/A]]-Table66[[#This Row],[Column1]]</f>
        <v>0</v>
      </c>
    </row>
    <row r="699" spans="1:22" ht="16.5" thickBot="1">
      <c r="A699" s="227"/>
      <c r="B699" s="319"/>
      <c r="C699" s="319"/>
      <c r="D699" s="320"/>
      <c r="E699" s="320"/>
      <c r="F699" s="190"/>
      <c r="G6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9" s="190"/>
      <c r="I6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9" s="190"/>
      <c r="K6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9" s="190"/>
      <c r="M6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9" s="190"/>
      <c r="O6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9" s="190"/>
      <c r="Q6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9" s="192">
        <f ca="1">Table66[[#This Row],[Year 1 (Specified in RFO) - N/A]]+Table66[[#This Row],[Year 2 (Specified in RFO) - N/A]]+Table66[[#This Row],[Year 3 (Specified in RFO) - N/A]]+Table66[[#This Row],[Year 4 (Specified in RFO) - N/A]]+Table66[[#This Row],[Year 5 (Specified in RFO) - N/A]]+Table66[[#This Row],[Year 6 (Specified in RFO) - N/A]]</f>
        <v>0</v>
      </c>
      <c r="S699" s="402">
        <f ca="1">Table66[[#This Row],[Year 1  (Proposed)]]+Table66[[#This Row],[Year 2 (Proposed)]]+Table66[[#This Row],[Year 3 (Proposed)]]+Table66[[#This Row],[Year 4 (Proposed)]]+Table66[[#This Row],[Year 5 (Proposed)]]+Table66[[#This Row],[Year 6 (Proposed)]]</f>
        <v>0</v>
      </c>
      <c r="T699" s="403" t="b">
        <f ca="1">Table66[[#This Row],[Total Specifed in RFO - N/A]]=Table66[[#This Row],[Total Proposed]]</f>
        <v>1</v>
      </c>
      <c r="U699" s="439"/>
      <c r="V699" s="441">
        <f ca="1">Table66[[#This Row],[Year 6 (Specified in RFO) - N/A]]-Table66[[#This Row],[Column1]]</f>
        <v>0</v>
      </c>
    </row>
    <row r="700" spans="1:22" ht="16.5" thickBot="1">
      <c r="A700" s="227"/>
      <c r="B700" s="319"/>
      <c r="C700" s="319"/>
      <c r="D700" s="320"/>
      <c r="E700" s="320"/>
      <c r="F700" s="190"/>
      <c r="G7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0" s="190"/>
      <c r="I7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0" s="190"/>
      <c r="K7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0" s="190"/>
      <c r="M7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0" s="190"/>
      <c r="O7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0" s="190"/>
      <c r="Q7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0" s="192">
        <f ca="1">Table66[[#This Row],[Year 1 (Specified in RFO) - N/A]]+Table66[[#This Row],[Year 2 (Specified in RFO) - N/A]]+Table66[[#This Row],[Year 3 (Specified in RFO) - N/A]]+Table66[[#This Row],[Year 4 (Specified in RFO) - N/A]]+Table66[[#This Row],[Year 5 (Specified in RFO) - N/A]]+Table66[[#This Row],[Year 6 (Specified in RFO) - N/A]]</f>
        <v>0</v>
      </c>
      <c r="S700" s="402">
        <f ca="1">Table66[[#This Row],[Year 1  (Proposed)]]+Table66[[#This Row],[Year 2 (Proposed)]]+Table66[[#This Row],[Year 3 (Proposed)]]+Table66[[#This Row],[Year 4 (Proposed)]]+Table66[[#This Row],[Year 5 (Proposed)]]+Table66[[#This Row],[Year 6 (Proposed)]]</f>
        <v>0</v>
      </c>
      <c r="T700" s="403" t="b">
        <f ca="1">Table66[[#This Row],[Total Specifed in RFO - N/A]]=Table66[[#This Row],[Total Proposed]]</f>
        <v>1</v>
      </c>
      <c r="U700" s="439"/>
      <c r="V700" s="441">
        <f ca="1">Table66[[#This Row],[Year 6 (Specified in RFO) - N/A]]-Table66[[#This Row],[Column1]]</f>
        <v>0</v>
      </c>
    </row>
    <row r="701" spans="1:22" ht="16.5" thickBot="1">
      <c r="A701" s="227"/>
      <c r="B701" s="319"/>
      <c r="C701" s="319"/>
      <c r="D701" s="320"/>
      <c r="E701" s="320"/>
      <c r="F701" s="190"/>
      <c r="G7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1" s="190"/>
      <c r="I7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1" s="190"/>
      <c r="K7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1" s="190"/>
      <c r="M7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1" s="190"/>
      <c r="O7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1" s="190"/>
      <c r="Q7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1" s="192">
        <f ca="1">Table66[[#This Row],[Year 1 (Specified in RFO) - N/A]]+Table66[[#This Row],[Year 2 (Specified in RFO) - N/A]]+Table66[[#This Row],[Year 3 (Specified in RFO) - N/A]]+Table66[[#This Row],[Year 4 (Specified in RFO) - N/A]]+Table66[[#This Row],[Year 5 (Specified in RFO) - N/A]]+Table66[[#This Row],[Year 6 (Specified in RFO) - N/A]]</f>
        <v>0</v>
      </c>
      <c r="S701" s="402">
        <f ca="1">Table66[[#This Row],[Year 1  (Proposed)]]+Table66[[#This Row],[Year 2 (Proposed)]]+Table66[[#This Row],[Year 3 (Proposed)]]+Table66[[#This Row],[Year 4 (Proposed)]]+Table66[[#This Row],[Year 5 (Proposed)]]+Table66[[#This Row],[Year 6 (Proposed)]]</f>
        <v>0</v>
      </c>
      <c r="T701" s="403" t="b">
        <f ca="1">Table66[[#This Row],[Total Specifed in RFO - N/A]]=Table66[[#This Row],[Total Proposed]]</f>
        <v>1</v>
      </c>
      <c r="U701" s="439"/>
      <c r="V701" s="441">
        <f ca="1">Table66[[#This Row],[Year 6 (Specified in RFO) - N/A]]-Table66[[#This Row],[Column1]]</f>
        <v>0</v>
      </c>
    </row>
    <row r="702" spans="1:22" ht="16.5" thickBot="1">
      <c r="A702" s="227"/>
      <c r="B702" s="319"/>
      <c r="C702" s="319"/>
      <c r="D702" s="320"/>
      <c r="E702" s="320"/>
      <c r="F702" s="190"/>
      <c r="G7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2" s="190"/>
      <c r="I7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2" s="190"/>
      <c r="K7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2" s="190"/>
      <c r="M7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2" s="190"/>
      <c r="O7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2" s="190"/>
      <c r="Q7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2" s="192">
        <f ca="1">Table66[[#This Row],[Year 1 (Specified in RFO) - N/A]]+Table66[[#This Row],[Year 2 (Specified in RFO) - N/A]]+Table66[[#This Row],[Year 3 (Specified in RFO) - N/A]]+Table66[[#This Row],[Year 4 (Specified in RFO) - N/A]]+Table66[[#This Row],[Year 5 (Specified in RFO) - N/A]]+Table66[[#This Row],[Year 6 (Specified in RFO) - N/A]]</f>
        <v>0</v>
      </c>
      <c r="S702" s="402">
        <f ca="1">Table66[[#This Row],[Year 1  (Proposed)]]+Table66[[#This Row],[Year 2 (Proposed)]]+Table66[[#This Row],[Year 3 (Proposed)]]+Table66[[#This Row],[Year 4 (Proposed)]]+Table66[[#This Row],[Year 5 (Proposed)]]+Table66[[#This Row],[Year 6 (Proposed)]]</f>
        <v>0</v>
      </c>
      <c r="T702" s="403" t="b">
        <f ca="1">Table66[[#This Row],[Total Specifed in RFO - N/A]]=Table66[[#This Row],[Total Proposed]]</f>
        <v>1</v>
      </c>
      <c r="U702" s="439"/>
      <c r="V702" s="441">
        <f ca="1">Table66[[#This Row],[Year 6 (Specified in RFO) - N/A]]-Table66[[#This Row],[Column1]]</f>
        <v>0</v>
      </c>
    </row>
    <row r="703" spans="1:22" ht="16.5" thickBot="1">
      <c r="A703" s="227"/>
      <c r="B703" s="319"/>
      <c r="C703" s="319"/>
      <c r="D703" s="320"/>
      <c r="E703" s="320"/>
      <c r="F703" s="190"/>
      <c r="G7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3" s="190"/>
      <c r="I7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3" s="190"/>
      <c r="K7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3" s="190"/>
      <c r="M7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3" s="190"/>
      <c r="O7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3" s="190"/>
      <c r="Q7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3" s="192">
        <f ca="1">Table66[[#This Row],[Year 1 (Specified in RFO) - N/A]]+Table66[[#This Row],[Year 2 (Specified in RFO) - N/A]]+Table66[[#This Row],[Year 3 (Specified in RFO) - N/A]]+Table66[[#This Row],[Year 4 (Specified in RFO) - N/A]]+Table66[[#This Row],[Year 5 (Specified in RFO) - N/A]]+Table66[[#This Row],[Year 6 (Specified in RFO) - N/A]]</f>
        <v>0</v>
      </c>
      <c r="S703" s="402">
        <f ca="1">Table66[[#This Row],[Year 1  (Proposed)]]+Table66[[#This Row],[Year 2 (Proposed)]]+Table66[[#This Row],[Year 3 (Proposed)]]+Table66[[#This Row],[Year 4 (Proposed)]]+Table66[[#This Row],[Year 5 (Proposed)]]+Table66[[#This Row],[Year 6 (Proposed)]]</f>
        <v>0</v>
      </c>
      <c r="T703" s="403" t="b">
        <f ca="1">Table66[[#This Row],[Total Specifed in RFO - N/A]]=Table66[[#This Row],[Total Proposed]]</f>
        <v>1</v>
      </c>
      <c r="U703" s="439"/>
      <c r="V703" s="441">
        <f ca="1">Table66[[#This Row],[Year 6 (Specified in RFO) - N/A]]-Table66[[#This Row],[Column1]]</f>
        <v>0</v>
      </c>
    </row>
    <row r="704" spans="1:22" ht="16.5" thickBot="1">
      <c r="A704" s="227"/>
      <c r="B704" s="319"/>
      <c r="C704" s="319"/>
      <c r="D704" s="320"/>
      <c r="E704" s="320"/>
      <c r="F704" s="190"/>
      <c r="G7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4" s="190"/>
      <c r="I7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4" s="190"/>
      <c r="K7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4" s="190"/>
      <c r="M7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4" s="190"/>
      <c r="O7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4" s="190"/>
      <c r="Q7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4" s="192">
        <f ca="1">Table66[[#This Row],[Year 1 (Specified in RFO) - N/A]]+Table66[[#This Row],[Year 2 (Specified in RFO) - N/A]]+Table66[[#This Row],[Year 3 (Specified in RFO) - N/A]]+Table66[[#This Row],[Year 4 (Specified in RFO) - N/A]]+Table66[[#This Row],[Year 5 (Specified in RFO) - N/A]]+Table66[[#This Row],[Year 6 (Specified in RFO) - N/A]]</f>
        <v>0</v>
      </c>
      <c r="S704" s="402">
        <f ca="1">Table66[[#This Row],[Year 1  (Proposed)]]+Table66[[#This Row],[Year 2 (Proposed)]]+Table66[[#This Row],[Year 3 (Proposed)]]+Table66[[#This Row],[Year 4 (Proposed)]]+Table66[[#This Row],[Year 5 (Proposed)]]+Table66[[#This Row],[Year 6 (Proposed)]]</f>
        <v>0</v>
      </c>
      <c r="T704" s="403" t="b">
        <f ca="1">Table66[[#This Row],[Total Specifed in RFO - N/A]]=Table66[[#This Row],[Total Proposed]]</f>
        <v>1</v>
      </c>
      <c r="U704" s="439"/>
      <c r="V704" s="441">
        <f ca="1">Table66[[#This Row],[Year 6 (Specified in RFO) - N/A]]-Table66[[#This Row],[Column1]]</f>
        <v>0</v>
      </c>
    </row>
    <row r="705" spans="1:22" ht="16.5" thickBot="1">
      <c r="A705" s="227"/>
      <c r="B705" s="319"/>
      <c r="C705" s="319"/>
      <c r="D705" s="320"/>
      <c r="E705" s="320"/>
      <c r="F705" s="190"/>
      <c r="G7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5" s="190"/>
      <c r="I7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5" s="190"/>
      <c r="K7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5" s="190"/>
      <c r="M7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5" s="190"/>
      <c r="O7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5" s="190"/>
      <c r="Q7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5" s="192">
        <f ca="1">Table66[[#This Row],[Year 1 (Specified in RFO) - N/A]]+Table66[[#This Row],[Year 2 (Specified in RFO) - N/A]]+Table66[[#This Row],[Year 3 (Specified in RFO) - N/A]]+Table66[[#This Row],[Year 4 (Specified in RFO) - N/A]]+Table66[[#This Row],[Year 5 (Specified in RFO) - N/A]]+Table66[[#This Row],[Year 6 (Specified in RFO) - N/A]]</f>
        <v>0</v>
      </c>
      <c r="S705" s="402">
        <f ca="1">Table66[[#This Row],[Year 1  (Proposed)]]+Table66[[#This Row],[Year 2 (Proposed)]]+Table66[[#This Row],[Year 3 (Proposed)]]+Table66[[#This Row],[Year 4 (Proposed)]]+Table66[[#This Row],[Year 5 (Proposed)]]+Table66[[#This Row],[Year 6 (Proposed)]]</f>
        <v>0</v>
      </c>
      <c r="T705" s="403" t="b">
        <f ca="1">Table66[[#This Row],[Total Specifed in RFO - N/A]]=Table66[[#This Row],[Total Proposed]]</f>
        <v>1</v>
      </c>
      <c r="U705" s="439"/>
      <c r="V705" s="441">
        <f ca="1">Table66[[#This Row],[Year 6 (Specified in RFO) - N/A]]-Table66[[#This Row],[Column1]]</f>
        <v>0</v>
      </c>
    </row>
    <row r="706" spans="1:22" ht="16.5" thickBot="1">
      <c r="A706" s="227"/>
      <c r="B706" s="319"/>
      <c r="C706" s="319"/>
      <c r="D706" s="320"/>
      <c r="E706" s="320"/>
      <c r="F706" s="190"/>
      <c r="G7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6" s="190"/>
      <c r="I7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6" s="190"/>
      <c r="K7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6" s="190"/>
      <c r="M7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6" s="190"/>
      <c r="O7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6" s="190"/>
      <c r="Q7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6" s="192">
        <f ca="1">Table66[[#This Row],[Year 1 (Specified in RFO) - N/A]]+Table66[[#This Row],[Year 2 (Specified in RFO) - N/A]]+Table66[[#This Row],[Year 3 (Specified in RFO) - N/A]]+Table66[[#This Row],[Year 4 (Specified in RFO) - N/A]]+Table66[[#This Row],[Year 5 (Specified in RFO) - N/A]]+Table66[[#This Row],[Year 6 (Specified in RFO) - N/A]]</f>
        <v>0</v>
      </c>
      <c r="S706" s="402">
        <f ca="1">Table66[[#This Row],[Year 1  (Proposed)]]+Table66[[#This Row],[Year 2 (Proposed)]]+Table66[[#This Row],[Year 3 (Proposed)]]+Table66[[#This Row],[Year 4 (Proposed)]]+Table66[[#This Row],[Year 5 (Proposed)]]+Table66[[#This Row],[Year 6 (Proposed)]]</f>
        <v>0</v>
      </c>
      <c r="T706" s="403" t="b">
        <f ca="1">Table66[[#This Row],[Total Specifed in RFO - N/A]]=Table66[[#This Row],[Total Proposed]]</f>
        <v>1</v>
      </c>
      <c r="U706" s="439"/>
      <c r="V706" s="441">
        <f ca="1">Table66[[#This Row],[Year 6 (Specified in RFO) - N/A]]-Table66[[#This Row],[Column1]]</f>
        <v>0</v>
      </c>
    </row>
    <row r="707" spans="1:22" ht="16.5" thickBot="1">
      <c r="A707" s="227"/>
      <c r="B707" s="319"/>
      <c r="C707" s="319"/>
      <c r="D707" s="320"/>
      <c r="E707" s="320"/>
      <c r="F707" s="190"/>
      <c r="G7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7" s="190"/>
      <c r="I7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7" s="190"/>
      <c r="K7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7" s="190"/>
      <c r="M7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7" s="190"/>
      <c r="O7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7" s="190"/>
      <c r="Q7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7" s="192">
        <f ca="1">Table66[[#This Row],[Year 1 (Specified in RFO) - N/A]]+Table66[[#This Row],[Year 2 (Specified in RFO) - N/A]]+Table66[[#This Row],[Year 3 (Specified in RFO) - N/A]]+Table66[[#This Row],[Year 4 (Specified in RFO) - N/A]]+Table66[[#This Row],[Year 5 (Specified in RFO) - N/A]]+Table66[[#This Row],[Year 6 (Specified in RFO) - N/A]]</f>
        <v>0</v>
      </c>
      <c r="S707" s="402">
        <f ca="1">Table66[[#This Row],[Year 1  (Proposed)]]+Table66[[#This Row],[Year 2 (Proposed)]]+Table66[[#This Row],[Year 3 (Proposed)]]+Table66[[#This Row],[Year 4 (Proposed)]]+Table66[[#This Row],[Year 5 (Proposed)]]+Table66[[#This Row],[Year 6 (Proposed)]]</f>
        <v>0</v>
      </c>
      <c r="T707" s="403" t="b">
        <f ca="1">Table66[[#This Row],[Total Specifed in RFO - N/A]]=Table66[[#This Row],[Total Proposed]]</f>
        <v>1</v>
      </c>
      <c r="U707" s="439"/>
      <c r="V707" s="441">
        <f ca="1">Table66[[#This Row],[Year 6 (Specified in RFO) - N/A]]-Table66[[#This Row],[Column1]]</f>
        <v>0</v>
      </c>
    </row>
    <row r="708" spans="1:22" ht="16.5" thickBot="1">
      <c r="A708" s="227"/>
      <c r="B708" s="319"/>
      <c r="C708" s="319"/>
      <c r="D708" s="320"/>
      <c r="E708" s="320"/>
      <c r="F708" s="190"/>
      <c r="G7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8" s="190"/>
      <c r="I7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8" s="190"/>
      <c r="K7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8" s="190"/>
      <c r="M7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8" s="190"/>
      <c r="O7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8" s="190"/>
      <c r="Q7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8" s="192">
        <f ca="1">Table66[[#This Row],[Year 1 (Specified in RFO) - N/A]]+Table66[[#This Row],[Year 2 (Specified in RFO) - N/A]]+Table66[[#This Row],[Year 3 (Specified in RFO) - N/A]]+Table66[[#This Row],[Year 4 (Specified in RFO) - N/A]]+Table66[[#This Row],[Year 5 (Specified in RFO) - N/A]]+Table66[[#This Row],[Year 6 (Specified in RFO) - N/A]]</f>
        <v>0</v>
      </c>
      <c r="S708" s="402">
        <f ca="1">Table66[[#This Row],[Year 1  (Proposed)]]+Table66[[#This Row],[Year 2 (Proposed)]]+Table66[[#This Row],[Year 3 (Proposed)]]+Table66[[#This Row],[Year 4 (Proposed)]]+Table66[[#This Row],[Year 5 (Proposed)]]+Table66[[#This Row],[Year 6 (Proposed)]]</f>
        <v>0</v>
      </c>
      <c r="T708" s="403" t="b">
        <f ca="1">Table66[[#This Row],[Total Specifed in RFO - N/A]]=Table66[[#This Row],[Total Proposed]]</f>
        <v>1</v>
      </c>
      <c r="U708" s="439"/>
      <c r="V708" s="441">
        <f ca="1">Table66[[#This Row],[Year 6 (Specified in RFO) - N/A]]-Table66[[#This Row],[Column1]]</f>
        <v>0</v>
      </c>
    </row>
    <row r="709" spans="1:22" ht="16.5" thickBot="1">
      <c r="A709" s="227"/>
      <c r="B709" s="319"/>
      <c r="C709" s="319"/>
      <c r="D709" s="320"/>
      <c r="E709" s="320"/>
      <c r="F709" s="190"/>
      <c r="G7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9" s="190"/>
      <c r="I7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9" s="190"/>
      <c r="K7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9" s="190"/>
      <c r="M7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9" s="190"/>
      <c r="O7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9" s="190"/>
      <c r="Q7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9" s="192">
        <f ca="1">Table66[[#This Row],[Year 1 (Specified in RFO) - N/A]]+Table66[[#This Row],[Year 2 (Specified in RFO) - N/A]]+Table66[[#This Row],[Year 3 (Specified in RFO) - N/A]]+Table66[[#This Row],[Year 4 (Specified in RFO) - N/A]]+Table66[[#This Row],[Year 5 (Specified in RFO) - N/A]]+Table66[[#This Row],[Year 6 (Specified in RFO) - N/A]]</f>
        <v>0</v>
      </c>
      <c r="S709" s="402">
        <f ca="1">Table66[[#This Row],[Year 1  (Proposed)]]+Table66[[#This Row],[Year 2 (Proposed)]]+Table66[[#This Row],[Year 3 (Proposed)]]+Table66[[#This Row],[Year 4 (Proposed)]]+Table66[[#This Row],[Year 5 (Proposed)]]+Table66[[#This Row],[Year 6 (Proposed)]]</f>
        <v>0</v>
      </c>
      <c r="T709" s="403" t="b">
        <f ca="1">Table66[[#This Row],[Total Specifed in RFO - N/A]]=Table66[[#This Row],[Total Proposed]]</f>
        <v>1</v>
      </c>
      <c r="U709" s="439"/>
      <c r="V709" s="441">
        <f ca="1">Table66[[#This Row],[Year 6 (Specified in RFO) - N/A]]-Table66[[#This Row],[Column1]]</f>
        <v>0</v>
      </c>
    </row>
    <row r="710" spans="1:22" ht="16.5" thickBot="1">
      <c r="A710" s="227"/>
      <c r="B710" s="319"/>
      <c r="C710" s="319"/>
      <c r="D710" s="320"/>
      <c r="E710" s="320"/>
      <c r="F710" s="190"/>
      <c r="G7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0" s="190"/>
      <c r="I7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0" s="190"/>
      <c r="K7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0" s="190"/>
      <c r="M7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0" s="190"/>
      <c r="O7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0" s="190"/>
      <c r="Q7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0" s="192">
        <f ca="1">Table66[[#This Row],[Year 1 (Specified in RFO) - N/A]]+Table66[[#This Row],[Year 2 (Specified in RFO) - N/A]]+Table66[[#This Row],[Year 3 (Specified in RFO) - N/A]]+Table66[[#This Row],[Year 4 (Specified in RFO) - N/A]]+Table66[[#This Row],[Year 5 (Specified in RFO) - N/A]]+Table66[[#This Row],[Year 6 (Specified in RFO) - N/A]]</f>
        <v>0</v>
      </c>
      <c r="S710" s="402">
        <f ca="1">Table66[[#This Row],[Year 1  (Proposed)]]+Table66[[#This Row],[Year 2 (Proposed)]]+Table66[[#This Row],[Year 3 (Proposed)]]+Table66[[#This Row],[Year 4 (Proposed)]]+Table66[[#This Row],[Year 5 (Proposed)]]+Table66[[#This Row],[Year 6 (Proposed)]]</f>
        <v>0</v>
      </c>
      <c r="T710" s="403" t="b">
        <f ca="1">Table66[[#This Row],[Total Specifed in RFO - N/A]]=Table66[[#This Row],[Total Proposed]]</f>
        <v>1</v>
      </c>
      <c r="U710" s="439"/>
      <c r="V710" s="441">
        <f ca="1">Table66[[#This Row],[Year 6 (Specified in RFO) - N/A]]-Table66[[#This Row],[Column1]]</f>
        <v>0</v>
      </c>
    </row>
    <row r="711" spans="1:22" ht="16.5" thickBot="1">
      <c r="A711" s="227"/>
      <c r="B711" s="319"/>
      <c r="C711" s="319"/>
      <c r="D711" s="320"/>
      <c r="E711" s="320"/>
      <c r="F711" s="190"/>
      <c r="G7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1" s="190"/>
      <c r="I7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1" s="190"/>
      <c r="K7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1" s="190"/>
      <c r="M7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1" s="190"/>
      <c r="O7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1" s="190"/>
      <c r="Q7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1" s="192">
        <f ca="1">Table66[[#This Row],[Year 1 (Specified in RFO) - N/A]]+Table66[[#This Row],[Year 2 (Specified in RFO) - N/A]]+Table66[[#This Row],[Year 3 (Specified in RFO) - N/A]]+Table66[[#This Row],[Year 4 (Specified in RFO) - N/A]]+Table66[[#This Row],[Year 5 (Specified in RFO) - N/A]]+Table66[[#This Row],[Year 6 (Specified in RFO) - N/A]]</f>
        <v>0</v>
      </c>
      <c r="S711" s="402">
        <f ca="1">Table66[[#This Row],[Year 1  (Proposed)]]+Table66[[#This Row],[Year 2 (Proposed)]]+Table66[[#This Row],[Year 3 (Proposed)]]+Table66[[#This Row],[Year 4 (Proposed)]]+Table66[[#This Row],[Year 5 (Proposed)]]+Table66[[#This Row],[Year 6 (Proposed)]]</f>
        <v>0</v>
      </c>
      <c r="T711" s="403" t="b">
        <f ca="1">Table66[[#This Row],[Total Specifed in RFO - N/A]]=Table66[[#This Row],[Total Proposed]]</f>
        <v>1</v>
      </c>
      <c r="U711" s="439"/>
      <c r="V711" s="441">
        <f ca="1">Table66[[#This Row],[Year 6 (Specified in RFO) - N/A]]-Table66[[#This Row],[Column1]]</f>
        <v>0</v>
      </c>
    </row>
    <row r="712" spans="1:22" ht="16.5" thickBot="1">
      <c r="A712" s="227"/>
      <c r="B712" s="319"/>
      <c r="C712" s="319"/>
      <c r="D712" s="320"/>
      <c r="E712" s="320"/>
      <c r="F712" s="190"/>
      <c r="G7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2" s="190"/>
      <c r="I7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2" s="190"/>
      <c r="K7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2" s="190"/>
      <c r="M7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2" s="190"/>
      <c r="O7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2" s="190"/>
      <c r="Q7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2" s="192">
        <f ca="1">Table66[[#This Row],[Year 1 (Specified in RFO) - N/A]]+Table66[[#This Row],[Year 2 (Specified in RFO) - N/A]]+Table66[[#This Row],[Year 3 (Specified in RFO) - N/A]]+Table66[[#This Row],[Year 4 (Specified in RFO) - N/A]]+Table66[[#This Row],[Year 5 (Specified in RFO) - N/A]]+Table66[[#This Row],[Year 6 (Specified in RFO) - N/A]]</f>
        <v>0</v>
      </c>
      <c r="S712" s="402">
        <f ca="1">Table66[[#This Row],[Year 1  (Proposed)]]+Table66[[#This Row],[Year 2 (Proposed)]]+Table66[[#This Row],[Year 3 (Proposed)]]+Table66[[#This Row],[Year 4 (Proposed)]]+Table66[[#This Row],[Year 5 (Proposed)]]+Table66[[#This Row],[Year 6 (Proposed)]]</f>
        <v>0</v>
      </c>
      <c r="T712" s="403" t="b">
        <f ca="1">Table66[[#This Row],[Total Specifed in RFO - N/A]]=Table66[[#This Row],[Total Proposed]]</f>
        <v>1</v>
      </c>
      <c r="U712" s="439"/>
      <c r="V712" s="441">
        <f ca="1">Table66[[#This Row],[Year 6 (Specified in RFO) - N/A]]-Table66[[#This Row],[Column1]]</f>
        <v>0</v>
      </c>
    </row>
    <row r="713" spans="1:22" ht="16.5" thickBot="1">
      <c r="A713" s="227"/>
      <c r="B713" s="319"/>
      <c r="C713" s="319"/>
      <c r="D713" s="320"/>
      <c r="E713" s="320"/>
      <c r="F713" s="190"/>
      <c r="G7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3" s="190"/>
      <c r="I7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3" s="190"/>
      <c r="K7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3" s="190"/>
      <c r="M7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3" s="190"/>
      <c r="O7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3" s="190"/>
      <c r="Q7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3" s="192">
        <f ca="1">Table66[[#This Row],[Year 1 (Specified in RFO) - N/A]]+Table66[[#This Row],[Year 2 (Specified in RFO) - N/A]]+Table66[[#This Row],[Year 3 (Specified in RFO) - N/A]]+Table66[[#This Row],[Year 4 (Specified in RFO) - N/A]]+Table66[[#This Row],[Year 5 (Specified in RFO) - N/A]]+Table66[[#This Row],[Year 6 (Specified in RFO) - N/A]]</f>
        <v>0</v>
      </c>
      <c r="S713" s="402">
        <f ca="1">Table66[[#This Row],[Year 1  (Proposed)]]+Table66[[#This Row],[Year 2 (Proposed)]]+Table66[[#This Row],[Year 3 (Proposed)]]+Table66[[#This Row],[Year 4 (Proposed)]]+Table66[[#This Row],[Year 5 (Proposed)]]+Table66[[#This Row],[Year 6 (Proposed)]]</f>
        <v>0</v>
      </c>
      <c r="T713" s="403" t="b">
        <f ca="1">Table66[[#This Row],[Total Specifed in RFO - N/A]]=Table66[[#This Row],[Total Proposed]]</f>
        <v>1</v>
      </c>
      <c r="U713" s="439"/>
      <c r="V713" s="441">
        <f ca="1">Table66[[#This Row],[Year 6 (Specified in RFO) - N/A]]-Table66[[#This Row],[Column1]]</f>
        <v>0</v>
      </c>
    </row>
    <row r="714" spans="1:22" ht="16.5" thickBot="1">
      <c r="A714" s="227"/>
      <c r="B714" s="319"/>
      <c r="C714" s="319"/>
      <c r="D714" s="320"/>
      <c r="E714" s="320"/>
      <c r="F714" s="190"/>
      <c r="G7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4" s="190"/>
      <c r="I7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4" s="190"/>
      <c r="K7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4" s="190"/>
      <c r="M7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4" s="190"/>
      <c r="O7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4" s="190"/>
      <c r="Q7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4" s="192">
        <f ca="1">Table66[[#This Row],[Year 1 (Specified in RFO) - N/A]]+Table66[[#This Row],[Year 2 (Specified in RFO) - N/A]]+Table66[[#This Row],[Year 3 (Specified in RFO) - N/A]]+Table66[[#This Row],[Year 4 (Specified in RFO) - N/A]]+Table66[[#This Row],[Year 5 (Specified in RFO) - N/A]]+Table66[[#This Row],[Year 6 (Specified in RFO) - N/A]]</f>
        <v>0</v>
      </c>
      <c r="S714" s="402">
        <f ca="1">Table66[[#This Row],[Year 1  (Proposed)]]+Table66[[#This Row],[Year 2 (Proposed)]]+Table66[[#This Row],[Year 3 (Proposed)]]+Table66[[#This Row],[Year 4 (Proposed)]]+Table66[[#This Row],[Year 5 (Proposed)]]+Table66[[#This Row],[Year 6 (Proposed)]]</f>
        <v>0</v>
      </c>
      <c r="T714" s="403" t="b">
        <f ca="1">Table66[[#This Row],[Total Specifed in RFO - N/A]]=Table66[[#This Row],[Total Proposed]]</f>
        <v>1</v>
      </c>
      <c r="U714" s="439"/>
      <c r="V714" s="441">
        <f ca="1">Table66[[#This Row],[Year 6 (Specified in RFO) - N/A]]-Table66[[#This Row],[Column1]]</f>
        <v>0</v>
      </c>
    </row>
    <row r="715" spans="1:22" ht="16.5" thickBot="1">
      <c r="A715" s="227"/>
      <c r="B715" s="319"/>
      <c r="C715" s="319"/>
      <c r="D715" s="320"/>
      <c r="E715" s="320"/>
      <c r="F715" s="190"/>
      <c r="G7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5" s="190"/>
      <c r="I7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5" s="190"/>
      <c r="K7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5" s="190"/>
      <c r="M7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5" s="190"/>
      <c r="O7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5" s="190"/>
      <c r="Q7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5" s="192">
        <f ca="1">Table66[[#This Row],[Year 1 (Specified in RFO) - N/A]]+Table66[[#This Row],[Year 2 (Specified in RFO) - N/A]]+Table66[[#This Row],[Year 3 (Specified in RFO) - N/A]]+Table66[[#This Row],[Year 4 (Specified in RFO) - N/A]]+Table66[[#This Row],[Year 5 (Specified in RFO) - N/A]]+Table66[[#This Row],[Year 6 (Specified in RFO) - N/A]]</f>
        <v>0</v>
      </c>
      <c r="S715" s="402">
        <f ca="1">Table66[[#This Row],[Year 1  (Proposed)]]+Table66[[#This Row],[Year 2 (Proposed)]]+Table66[[#This Row],[Year 3 (Proposed)]]+Table66[[#This Row],[Year 4 (Proposed)]]+Table66[[#This Row],[Year 5 (Proposed)]]+Table66[[#This Row],[Year 6 (Proposed)]]</f>
        <v>0</v>
      </c>
      <c r="T715" s="403" t="b">
        <f ca="1">Table66[[#This Row],[Total Specifed in RFO - N/A]]=Table66[[#This Row],[Total Proposed]]</f>
        <v>1</v>
      </c>
      <c r="U715" s="439"/>
      <c r="V715" s="441">
        <f ca="1">Table66[[#This Row],[Year 6 (Specified in RFO) - N/A]]-Table66[[#This Row],[Column1]]</f>
        <v>0</v>
      </c>
    </row>
    <row r="716" spans="1:22" ht="16.5" thickBot="1">
      <c r="A716" s="227"/>
      <c r="B716" s="319"/>
      <c r="C716" s="319"/>
      <c r="D716" s="320"/>
      <c r="E716" s="320"/>
      <c r="F716" s="190"/>
      <c r="G7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6" s="190"/>
      <c r="I7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6" s="190"/>
      <c r="K7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6" s="190"/>
      <c r="M7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6" s="190"/>
      <c r="O7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6" s="190"/>
      <c r="Q7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6" s="192">
        <f ca="1">Table66[[#This Row],[Year 1 (Specified in RFO) - N/A]]+Table66[[#This Row],[Year 2 (Specified in RFO) - N/A]]+Table66[[#This Row],[Year 3 (Specified in RFO) - N/A]]+Table66[[#This Row],[Year 4 (Specified in RFO) - N/A]]+Table66[[#This Row],[Year 5 (Specified in RFO) - N/A]]+Table66[[#This Row],[Year 6 (Specified in RFO) - N/A]]</f>
        <v>0</v>
      </c>
      <c r="S716" s="402">
        <f ca="1">Table66[[#This Row],[Year 1  (Proposed)]]+Table66[[#This Row],[Year 2 (Proposed)]]+Table66[[#This Row],[Year 3 (Proposed)]]+Table66[[#This Row],[Year 4 (Proposed)]]+Table66[[#This Row],[Year 5 (Proposed)]]+Table66[[#This Row],[Year 6 (Proposed)]]</f>
        <v>0</v>
      </c>
      <c r="T716" s="403" t="b">
        <f ca="1">Table66[[#This Row],[Total Specifed in RFO - N/A]]=Table66[[#This Row],[Total Proposed]]</f>
        <v>1</v>
      </c>
      <c r="U716" s="439"/>
      <c r="V716" s="441">
        <f ca="1">Table66[[#This Row],[Year 6 (Specified in RFO) - N/A]]-Table66[[#This Row],[Column1]]</f>
        <v>0</v>
      </c>
    </row>
    <row r="717" spans="1:22" ht="16.5" thickBot="1">
      <c r="A717" s="227"/>
      <c r="B717" s="319"/>
      <c r="C717" s="319"/>
      <c r="D717" s="320"/>
      <c r="E717" s="320"/>
      <c r="F717" s="190"/>
      <c r="G7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7" s="190"/>
      <c r="I7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7" s="190"/>
      <c r="K7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7" s="190"/>
      <c r="M7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7" s="190"/>
      <c r="O7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7" s="190"/>
      <c r="Q7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7" s="192">
        <f ca="1">Table66[[#This Row],[Year 1 (Specified in RFO) - N/A]]+Table66[[#This Row],[Year 2 (Specified in RFO) - N/A]]+Table66[[#This Row],[Year 3 (Specified in RFO) - N/A]]+Table66[[#This Row],[Year 4 (Specified in RFO) - N/A]]+Table66[[#This Row],[Year 5 (Specified in RFO) - N/A]]+Table66[[#This Row],[Year 6 (Specified in RFO) - N/A]]</f>
        <v>0</v>
      </c>
      <c r="S717" s="402">
        <f ca="1">Table66[[#This Row],[Year 1  (Proposed)]]+Table66[[#This Row],[Year 2 (Proposed)]]+Table66[[#This Row],[Year 3 (Proposed)]]+Table66[[#This Row],[Year 4 (Proposed)]]+Table66[[#This Row],[Year 5 (Proposed)]]+Table66[[#This Row],[Year 6 (Proposed)]]</f>
        <v>0</v>
      </c>
      <c r="T717" s="403" t="b">
        <f ca="1">Table66[[#This Row],[Total Specifed in RFO - N/A]]=Table66[[#This Row],[Total Proposed]]</f>
        <v>1</v>
      </c>
      <c r="U717" s="439"/>
      <c r="V717" s="441">
        <f ca="1">Table66[[#This Row],[Year 6 (Specified in RFO) - N/A]]-Table66[[#This Row],[Column1]]</f>
        <v>0</v>
      </c>
    </row>
    <row r="718" spans="1:22" ht="16.5" thickBot="1">
      <c r="A718" s="227"/>
      <c r="B718" s="319"/>
      <c r="C718" s="319"/>
      <c r="D718" s="320"/>
      <c r="E718" s="320"/>
      <c r="F718" s="190"/>
      <c r="G7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8" s="190"/>
      <c r="I7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8" s="190"/>
      <c r="K7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8" s="190"/>
      <c r="M7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8" s="190"/>
      <c r="O7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8" s="190"/>
      <c r="Q7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8" s="192">
        <f ca="1">Table66[[#This Row],[Year 1 (Specified in RFO) - N/A]]+Table66[[#This Row],[Year 2 (Specified in RFO) - N/A]]+Table66[[#This Row],[Year 3 (Specified in RFO) - N/A]]+Table66[[#This Row],[Year 4 (Specified in RFO) - N/A]]+Table66[[#This Row],[Year 5 (Specified in RFO) - N/A]]+Table66[[#This Row],[Year 6 (Specified in RFO) - N/A]]</f>
        <v>0</v>
      </c>
      <c r="S718" s="402">
        <f ca="1">Table66[[#This Row],[Year 1  (Proposed)]]+Table66[[#This Row],[Year 2 (Proposed)]]+Table66[[#This Row],[Year 3 (Proposed)]]+Table66[[#This Row],[Year 4 (Proposed)]]+Table66[[#This Row],[Year 5 (Proposed)]]+Table66[[#This Row],[Year 6 (Proposed)]]</f>
        <v>0</v>
      </c>
      <c r="T718" s="403" t="b">
        <f ca="1">Table66[[#This Row],[Total Specifed in RFO - N/A]]=Table66[[#This Row],[Total Proposed]]</f>
        <v>1</v>
      </c>
      <c r="U718" s="439"/>
      <c r="V718" s="441">
        <f ca="1">Table66[[#This Row],[Year 6 (Specified in RFO) - N/A]]-Table66[[#This Row],[Column1]]</f>
        <v>0</v>
      </c>
    </row>
    <row r="719" spans="1:22" ht="16.5" thickBot="1">
      <c r="A719" s="227"/>
      <c r="B719" s="319"/>
      <c r="C719" s="319"/>
      <c r="D719" s="320"/>
      <c r="E719" s="320"/>
      <c r="F719" s="190"/>
      <c r="G7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9" s="190"/>
      <c r="I7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9" s="190"/>
      <c r="K7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9" s="190"/>
      <c r="M7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9" s="190"/>
      <c r="O7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9" s="190"/>
      <c r="Q7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9" s="192">
        <f ca="1">Table66[[#This Row],[Year 1 (Specified in RFO) - N/A]]+Table66[[#This Row],[Year 2 (Specified in RFO) - N/A]]+Table66[[#This Row],[Year 3 (Specified in RFO) - N/A]]+Table66[[#This Row],[Year 4 (Specified in RFO) - N/A]]+Table66[[#This Row],[Year 5 (Specified in RFO) - N/A]]+Table66[[#This Row],[Year 6 (Specified in RFO) - N/A]]</f>
        <v>0</v>
      </c>
      <c r="S719" s="402">
        <f ca="1">Table66[[#This Row],[Year 1  (Proposed)]]+Table66[[#This Row],[Year 2 (Proposed)]]+Table66[[#This Row],[Year 3 (Proposed)]]+Table66[[#This Row],[Year 4 (Proposed)]]+Table66[[#This Row],[Year 5 (Proposed)]]+Table66[[#This Row],[Year 6 (Proposed)]]</f>
        <v>0</v>
      </c>
      <c r="T719" s="403" t="b">
        <f ca="1">Table66[[#This Row],[Total Specifed in RFO - N/A]]=Table66[[#This Row],[Total Proposed]]</f>
        <v>1</v>
      </c>
      <c r="U719" s="439"/>
      <c r="V719" s="441">
        <f ca="1">Table66[[#This Row],[Year 6 (Specified in RFO) - N/A]]-Table66[[#This Row],[Column1]]</f>
        <v>0</v>
      </c>
    </row>
    <row r="720" spans="1:22" ht="16.5" thickBot="1">
      <c r="A720" s="227"/>
      <c r="B720" s="319"/>
      <c r="C720" s="319"/>
      <c r="D720" s="320"/>
      <c r="E720" s="320"/>
      <c r="F720" s="190"/>
      <c r="G7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0" s="190"/>
      <c r="I7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0" s="190"/>
      <c r="K7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0" s="190"/>
      <c r="M7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0" s="190"/>
      <c r="O7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0" s="190"/>
      <c r="Q7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0" s="192">
        <f ca="1">Table66[[#This Row],[Year 1 (Specified in RFO) - N/A]]+Table66[[#This Row],[Year 2 (Specified in RFO) - N/A]]+Table66[[#This Row],[Year 3 (Specified in RFO) - N/A]]+Table66[[#This Row],[Year 4 (Specified in RFO) - N/A]]+Table66[[#This Row],[Year 5 (Specified in RFO) - N/A]]+Table66[[#This Row],[Year 6 (Specified in RFO) - N/A]]</f>
        <v>0</v>
      </c>
      <c r="S720" s="402">
        <f ca="1">Table66[[#This Row],[Year 1  (Proposed)]]+Table66[[#This Row],[Year 2 (Proposed)]]+Table66[[#This Row],[Year 3 (Proposed)]]+Table66[[#This Row],[Year 4 (Proposed)]]+Table66[[#This Row],[Year 5 (Proposed)]]+Table66[[#This Row],[Year 6 (Proposed)]]</f>
        <v>0</v>
      </c>
      <c r="T720" s="403" t="b">
        <f ca="1">Table66[[#This Row],[Total Specifed in RFO - N/A]]=Table66[[#This Row],[Total Proposed]]</f>
        <v>1</v>
      </c>
      <c r="U720" s="439"/>
      <c r="V720" s="441">
        <f ca="1">Table66[[#This Row],[Year 6 (Specified in RFO) - N/A]]-Table66[[#This Row],[Column1]]</f>
        <v>0</v>
      </c>
    </row>
    <row r="721" spans="1:22" ht="16.5" thickBot="1">
      <c r="A721" s="227"/>
      <c r="B721" s="319"/>
      <c r="C721" s="319"/>
      <c r="D721" s="320"/>
      <c r="E721" s="320"/>
      <c r="F721" s="190"/>
      <c r="G7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1" s="190"/>
      <c r="I7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1" s="190"/>
      <c r="K7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1" s="190"/>
      <c r="M7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1" s="190"/>
      <c r="O7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1" s="190"/>
      <c r="Q7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1" s="192">
        <f ca="1">Table66[[#This Row],[Year 1 (Specified in RFO) - N/A]]+Table66[[#This Row],[Year 2 (Specified in RFO) - N/A]]+Table66[[#This Row],[Year 3 (Specified in RFO) - N/A]]+Table66[[#This Row],[Year 4 (Specified in RFO) - N/A]]+Table66[[#This Row],[Year 5 (Specified in RFO) - N/A]]+Table66[[#This Row],[Year 6 (Specified in RFO) - N/A]]</f>
        <v>0</v>
      </c>
      <c r="S721" s="402">
        <f ca="1">Table66[[#This Row],[Year 1  (Proposed)]]+Table66[[#This Row],[Year 2 (Proposed)]]+Table66[[#This Row],[Year 3 (Proposed)]]+Table66[[#This Row],[Year 4 (Proposed)]]+Table66[[#This Row],[Year 5 (Proposed)]]+Table66[[#This Row],[Year 6 (Proposed)]]</f>
        <v>0</v>
      </c>
      <c r="T721" s="403" t="b">
        <f ca="1">Table66[[#This Row],[Total Specifed in RFO - N/A]]=Table66[[#This Row],[Total Proposed]]</f>
        <v>1</v>
      </c>
      <c r="U721" s="439"/>
      <c r="V721" s="441">
        <f ca="1">Table66[[#This Row],[Year 6 (Specified in RFO) - N/A]]-Table66[[#This Row],[Column1]]</f>
        <v>0</v>
      </c>
    </row>
    <row r="722" spans="1:22" ht="16.5" thickBot="1">
      <c r="A722" s="227"/>
      <c r="B722" s="319"/>
      <c r="C722" s="319"/>
      <c r="D722" s="320"/>
      <c r="E722" s="320"/>
      <c r="F722" s="190"/>
      <c r="G7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2" s="190"/>
      <c r="I7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2" s="190"/>
      <c r="K7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2" s="190"/>
      <c r="M7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2" s="190"/>
      <c r="O7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2" s="190"/>
      <c r="Q7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2" s="192">
        <f ca="1">Table66[[#This Row],[Year 1 (Specified in RFO) - N/A]]+Table66[[#This Row],[Year 2 (Specified in RFO) - N/A]]+Table66[[#This Row],[Year 3 (Specified in RFO) - N/A]]+Table66[[#This Row],[Year 4 (Specified in RFO) - N/A]]+Table66[[#This Row],[Year 5 (Specified in RFO) - N/A]]+Table66[[#This Row],[Year 6 (Specified in RFO) - N/A]]</f>
        <v>0</v>
      </c>
      <c r="S722" s="402">
        <f ca="1">Table66[[#This Row],[Year 1  (Proposed)]]+Table66[[#This Row],[Year 2 (Proposed)]]+Table66[[#This Row],[Year 3 (Proposed)]]+Table66[[#This Row],[Year 4 (Proposed)]]+Table66[[#This Row],[Year 5 (Proposed)]]+Table66[[#This Row],[Year 6 (Proposed)]]</f>
        <v>0</v>
      </c>
      <c r="T722" s="403" t="b">
        <f ca="1">Table66[[#This Row],[Total Specifed in RFO - N/A]]=Table66[[#This Row],[Total Proposed]]</f>
        <v>1</v>
      </c>
      <c r="U722" s="439"/>
      <c r="V722" s="441">
        <f ca="1">Table66[[#This Row],[Year 6 (Specified in RFO) - N/A]]-Table66[[#This Row],[Column1]]</f>
        <v>0</v>
      </c>
    </row>
    <row r="723" spans="1:22" ht="16.5" thickBot="1">
      <c r="A723" s="227"/>
      <c r="B723" s="319"/>
      <c r="C723" s="319"/>
      <c r="D723" s="320"/>
      <c r="E723" s="320"/>
      <c r="F723" s="190"/>
      <c r="G7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3" s="190"/>
      <c r="I7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3" s="190"/>
      <c r="K7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3" s="190"/>
      <c r="M7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3" s="190"/>
      <c r="O7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3" s="190"/>
      <c r="Q7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3" s="192">
        <f ca="1">Table66[[#This Row],[Year 1 (Specified in RFO) - N/A]]+Table66[[#This Row],[Year 2 (Specified in RFO) - N/A]]+Table66[[#This Row],[Year 3 (Specified in RFO) - N/A]]+Table66[[#This Row],[Year 4 (Specified in RFO) - N/A]]+Table66[[#This Row],[Year 5 (Specified in RFO) - N/A]]+Table66[[#This Row],[Year 6 (Specified in RFO) - N/A]]</f>
        <v>0</v>
      </c>
      <c r="S723" s="402">
        <f ca="1">Table66[[#This Row],[Year 1  (Proposed)]]+Table66[[#This Row],[Year 2 (Proposed)]]+Table66[[#This Row],[Year 3 (Proposed)]]+Table66[[#This Row],[Year 4 (Proposed)]]+Table66[[#This Row],[Year 5 (Proposed)]]+Table66[[#This Row],[Year 6 (Proposed)]]</f>
        <v>0</v>
      </c>
      <c r="T723" s="403" t="b">
        <f ca="1">Table66[[#This Row],[Total Specifed in RFO - N/A]]=Table66[[#This Row],[Total Proposed]]</f>
        <v>1</v>
      </c>
      <c r="U723" s="439"/>
      <c r="V723" s="441">
        <f ca="1">Table66[[#This Row],[Year 6 (Specified in RFO) - N/A]]-Table66[[#This Row],[Column1]]</f>
        <v>0</v>
      </c>
    </row>
    <row r="724" spans="1:22" ht="16.5" thickBot="1">
      <c r="A724" s="227"/>
      <c r="B724" s="319"/>
      <c r="C724" s="319"/>
      <c r="D724" s="320"/>
      <c r="E724" s="320"/>
      <c r="F724" s="190"/>
      <c r="G7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4" s="190"/>
      <c r="I7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4" s="190"/>
      <c r="K7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4" s="190"/>
      <c r="M7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4" s="190"/>
      <c r="O7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4" s="190"/>
      <c r="Q7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4" s="192">
        <f ca="1">Table66[[#This Row],[Year 1 (Specified in RFO) - N/A]]+Table66[[#This Row],[Year 2 (Specified in RFO) - N/A]]+Table66[[#This Row],[Year 3 (Specified in RFO) - N/A]]+Table66[[#This Row],[Year 4 (Specified in RFO) - N/A]]+Table66[[#This Row],[Year 5 (Specified in RFO) - N/A]]+Table66[[#This Row],[Year 6 (Specified in RFO) - N/A]]</f>
        <v>0</v>
      </c>
      <c r="S724" s="402">
        <f ca="1">Table66[[#This Row],[Year 1  (Proposed)]]+Table66[[#This Row],[Year 2 (Proposed)]]+Table66[[#This Row],[Year 3 (Proposed)]]+Table66[[#This Row],[Year 4 (Proposed)]]+Table66[[#This Row],[Year 5 (Proposed)]]+Table66[[#This Row],[Year 6 (Proposed)]]</f>
        <v>0</v>
      </c>
      <c r="T724" s="403" t="b">
        <f ca="1">Table66[[#This Row],[Total Specifed in RFO - N/A]]=Table66[[#This Row],[Total Proposed]]</f>
        <v>1</v>
      </c>
      <c r="U724" s="439"/>
      <c r="V724" s="441">
        <f ca="1">Table66[[#This Row],[Year 6 (Specified in RFO) - N/A]]-Table66[[#This Row],[Column1]]</f>
        <v>0</v>
      </c>
    </row>
    <row r="725" spans="1:22" ht="16.5" thickBot="1">
      <c r="A725" s="227"/>
      <c r="B725" s="319"/>
      <c r="C725" s="319"/>
      <c r="D725" s="320"/>
      <c r="E725" s="320"/>
      <c r="F725" s="190"/>
      <c r="G7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5" s="190"/>
      <c r="I7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5" s="190"/>
      <c r="K7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5" s="190"/>
      <c r="M7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5" s="190"/>
      <c r="O7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5" s="190"/>
      <c r="Q7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5" s="192">
        <f ca="1">Table66[[#This Row],[Year 1 (Specified in RFO) - N/A]]+Table66[[#This Row],[Year 2 (Specified in RFO) - N/A]]+Table66[[#This Row],[Year 3 (Specified in RFO) - N/A]]+Table66[[#This Row],[Year 4 (Specified in RFO) - N/A]]+Table66[[#This Row],[Year 5 (Specified in RFO) - N/A]]+Table66[[#This Row],[Year 6 (Specified in RFO) - N/A]]</f>
        <v>0</v>
      </c>
      <c r="S725" s="402">
        <f ca="1">Table66[[#This Row],[Year 1  (Proposed)]]+Table66[[#This Row],[Year 2 (Proposed)]]+Table66[[#This Row],[Year 3 (Proposed)]]+Table66[[#This Row],[Year 4 (Proposed)]]+Table66[[#This Row],[Year 5 (Proposed)]]+Table66[[#This Row],[Year 6 (Proposed)]]</f>
        <v>0</v>
      </c>
      <c r="T725" s="403" t="b">
        <f ca="1">Table66[[#This Row],[Total Specifed in RFO - N/A]]=Table66[[#This Row],[Total Proposed]]</f>
        <v>1</v>
      </c>
      <c r="U725" s="439"/>
      <c r="V725" s="441">
        <f ca="1">Table66[[#This Row],[Year 6 (Specified in RFO) - N/A]]-Table66[[#This Row],[Column1]]</f>
        <v>0</v>
      </c>
    </row>
    <row r="726" spans="1:22" ht="16.5" thickBot="1">
      <c r="A726" s="227"/>
      <c r="B726" s="319"/>
      <c r="C726" s="319"/>
      <c r="D726" s="320"/>
      <c r="E726" s="320"/>
      <c r="F726" s="190"/>
      <c r="G7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6" s="190"/>
      <c r="I7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6" s="190"/>
      <c r="K7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6" s="190"/>
      <c r="M7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6" s="190"/>
      <c r="O7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6" s="190"/>
      <c r="Q7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6" s="192">
        <f ca="1">Table66[[#This Row],[Year 1 (Specified in RFO) - N/A]]+Table66[[#This Row],[Year 2 (Specified in RFO) - N/A]]+Table66[[#This Row],[Year 3 (Specified in RFO) - N/A]]+Table66[[#This Row],[Year 4 (Specified in RFO) - N/A]]+Table66[[#This Row],[Year 5 (Specified in RFO) - N/A]]+Table66[[#This Row],[Year 6 (Specified in RFO) - N/A]]</f>
        <v>0</v>
      </c>
      <c r="S726" s="402">
        <f ca="1">Table66[[#This Row],[Year 1  (Proposed)]]+Table66[[#This Row],[Year 2 (Proposed)]]+Table66[[#This Row],[Year 3 (Proposed)]]+Table66[[#This Row],[Year 4 (Proposed)]]+Table66[[#This Row],[Year 5 (Proposed)]]+Table66[[#This Row],[Year 6 (Proposed)]]</f>
        <v>0</v>
      </c>
      <c r="T726" s="403" t="b">
        <f ca="1">Table66[[#This Row],[Total Specifed in RFO - N/A]]=Table66[[#This Row],[Total Proposed]]</f>
        <v>1</v>
      </c>
      <c r="U726" s="439"/>
      <c r="V726" s="441">
        <f ca="1">Table66[[#This Row],[Year 6 (Specified in RFO) - N/A]]-Table66[[#This Row],[Column1]]</f>
        <v>0</v>
      </c>
    </row>
    <row r="727" spans="1:22" ht="16.5" thickBot="1">
      <c r="A727" s="227"/>
      <c r="B727" s="319"/>
      <c r="C727" s="319"/>
      <c r="D727" s="320"/>
      <c r="E727" s="320"/>
      <c r="F727" s="190"/>
      <c r="G7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7" s="190"/>
      <c r="I7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7" s="190"/>
      <c r="K7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7" s="190"/>
      <c r="M7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7" s="190"/>
      <c r="O7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7" s="190"/>
      <c r="Q7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7" s="192">
        <f ca="1">Table66[[#This Row],[Year 1 (Specified in RFO) - N/A]]+Table66[[#This Row],[Year 2 (Specified in RFO) - N/A]]+Table66[[#This Row],[Year 3 (Specified in RFO) - N/A]]+Table66[[#This Row],[Year 4 (Specified in RFO) - N/A]]+Table66[[#This Row],[Year 5 (Specified in RFO) - N/A]]+Table66[[#This Row],[Year 6 (Specified in RFO) - N/A]]</f>
        <v>0</v>
      </c>
      <c r="S727" s="402">
        <f ca="1">Table66[[#This Row],[Year 1  (Proposed)]]+Table66[[#This Row],[Year 2 (Proposed)]]+Table66[[#This Row],[Year 3 (Proposed)]]+Table66[[#This Row],[Year 4 (Proposed)]]+Table66[[#This Row],[Year 5 (Proposed)]]+Table66[[#This Row],[Year 6 (Proposed)]]</f>
        <v>0</v>
      </c>
      <c r="T727" s="403" t="b">
        <f ca="1">Table66[[#This Row],[Total Specifed in RFO - N/A]]=Table66[[#This Row],[Total Proposed]]</f>
        <v>1</v>
      </c>
      <c r="U727" s="439"/>
      <c r="V727" s="441">
        <f ca="1">Table66[[#This Row],[Year 6 (Specified in RFO) - N/A]]-Table66[[#This Row],[Column1]]</f>
        <v>0</v>
      </c>
    </row>
    <row r="728" spans="1:22" ht="16.5" thickBot="1">
      <c r="A728" s="227"/>
      <c r="B728" s="319"/>
      <c r="C728" s="319"/>
      <c r="D728" s="320"/>
      <c r="E728" s="320"/>
      <c r="F728" s="190"/>
      <c r="G7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8" s="190"/>
      <c r="I7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8" s="190"/>
      <c r="K7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8" s="190"/>
      <c r="M7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8" s="190"/>
      <c r="O7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8" s="190"/>
      <c r="Q7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8" s="192">
        <f ca="1">Table66[[#This Row],[Year 1 (Specified in RFO) - N/A]]+Table66[[#This Row],[Year 2 (Specified in RFO) - N/A]]+Table66[[#This Row],[Year 3 (Specified in RFO) - N/A]]+Table66[[#This Row],[Year 4 (Specified in RFO) - N/A]]+Table66[[#This Row],[Year 5 (Specified in RFO) - N/A]]+Table66[[#This Row],[Year 6 (Specified in RFO) - N/A]]</f>
        <v>0</v>
      </c>
      <c r="S728" s="402">
        <f ca="1">Table66[[#This Row],[Year 1  (Proposed)]]+Table66[[#This Row],[Year 2 (Proposed)]]+Table66[[#This Row],[Year 3 (Proposed)]]+Table66[[#This Row],[Year 4 (Proposed)]]+Table66[[#This Row],[Year 5 (Proposed)]]+Table66[[#This Row],[Year 6 (Proposed)]]</f>
        <v>0</v>
      </c>
      <c r="T728" s="403" t="b">
        <f ca="1">Table66[[#This Row],[Total Specifed in RFO - N/A]]=Table66[[#This Row],[Total Proposed]]</f>
        <v>1</v>
      </c>
      <c r="U728" s="439"/>
      <c r="V728" s="441">
        <f ca="1">Table66[[#This Row],[Year 6 (Specified in RFO) - N/A]]-Table66[[#This Row],[Column1]]</f>
        <v>0</v>
      </c>
    </row>
    <row r="729" spans="1:22" ht="16.5" thickBot="1">
      <c r="A729" s="227"/>
      <c r="B729" s="319"/>
      <c r="C729" s="319"/>
      <c r="D729" s="320"/>
      <c r="E729" s="320"/>
      <c r="F729" s="190"/>
      <c r="G7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9" s="190"/>
      <c r="I7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9" s="190"/>
      <c r="K7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9" s="190"/>
      <c r="M7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9" s="190"/>
      <c r="O7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9" s="190"/>
      <c r="Q7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9" s="192">
        <f ca="1">Table66[[#This Row],[Year 1 (Specified in RFO) - N/A]]+Table66[[#This Row],[Year 2 (Specified in RFO) - N/A]]+Table66[[#This Row],[Year 3 (Specified in RFO) - N/A]]+Table66[[#This Row],[Year 4 (Specified in RFO) - N/A]]+Table66[[#This Row],[Year 5 (Specified in RFO) - N/A]]+Table66[[#This Row],[Year 6 (Specified in RFO) - N/A]]</f>
        <v>0</v>
      </c>
      <c r="S729" s="402">
        <f ca="1">Table66[[#This Row],[Year 1  (Proposed)]]+Table66[[#This Row],[Year 2 (Proposed)]]+Table66[[#This Row],[Year 3 (Proposed)]]+Table66[[#This Row],[Year 4 (Proposed)]]+Table66[[#This Row],[Year 5 (Proposed)]]+Table66[[#This Row],[Year 6 (Proposed)]]</f>
        <v>0</v>
      </c>
      <c r="T729" s="403" t="b">
        <f ca="1">Table66[[#This Row],[Total Specifed in RFO - N/A]]=Table66[[#This Row],[Total Proposed]]</f>
        <v>1</v>
      </c>
      <c r="U729" s="439"/>
      <c r="V729" s="441">
        <f ca="1">Table66[[#This Row],[Year 6 (Specified in RFO) - N/A]]-Table66[[#This Row],[Column1]]</f>
        <v>0</v>
      </c>
    </row>
    <row r="730" spans="1:22" ht="16.5" thickBot="1">
      <c r="A730" s="227"/>
      <c r="B730" s="319"/>
      <c r="C730" s="319"/>
      <c r="D730" s="320"/>
      <c r="E730" s="320"/>
      <c r="F730" s="190"/>
      <c r="G7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0" s="190"/>
      <c r="I7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0" s="190"/>
      <c r="K7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0" s="190"/>
      <c r="M7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0" s="190"/>
      <c r="O7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0" s="190"/>
      <c r="Q7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0" s="192">
        <f ca="1">Table66[[#This Row],[Year 1 (Specified in RFO) - N/A]]+Table66[[#This Row],[Year 2 (Specified in RFO) - N/A]]+Table66[[#This Row],[Year 3 (Specified in RFO) - N/A]]+Table66[[#This Row],[Year 4 (Specified in RFO) - N/A]]+Table66[[#This Row],[Year 5 (Specified in RFO) - N/A]]+Table66[[#This Row],[Year 6 (Specified in RFO) - N/A]]</f>
        <v>0</v>
      </c>
      <c r="S730" s="402">
        <f ca="1">Table66[[#This Row],[Year 1  (Proposed)]]+Table66[[#This Row],[Year 2 (Proposed)]]+Table66[[#This Row],[Year 3 (Proposed)]]+Table66[[#This Row],[Year 4 (Proposed)]]+Table66[[#This Row],[Year 5 (Proposed)]]+Table66[[#This Row],[Year 6 (Proposed)]]</f>
        <v>0</v>
      </c>
      <c r="T730" s="403" t="b">
        <f ca="1">Table66[[#This Row],[Total Specifed in RFO - N/A]]=Table66[[#This Row],[Total Proposed]]</f>
        <v>1</v>
      </c>
      <c r="U730" s="439"/>
      <c r="V730" s="441">
        <f ca="1">Table66[[#This Row],[Year 6 (Specified in RFO) - N/A]]-Table66[[#This Row],[Column1]]</f>
        <v>0</v>
      </c>
    </row>
    <row r="731" spans="1:22" ht="16.5" thickBot="1">
      <c r="A731" s="227"/>
      <c r="B731" s="319"/>
      <c r="C731" s="319"/>
      <c r="D731" s="320"/>
      <c r="E731" s="320"/>
      <c r="F731" s="190"/>
      <c r="G7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1" s="190"/>
      <c r="I7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1" s="190"/>
      <c r="K7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1" s="190"/>
      <c r="M7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1" s="190"/>
      <c r="O7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1" s="190"/>
      <c r="Q7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1" s="192">
        <f ca="1">Table66[[#This Row],[Year 1 (Specified in RFO) - N/A]]+Table66[[#This Row],[Year 2 (Specified in RFO) - N/A]]+Table66[[#This Row],[Year 3 (Specified in RFO) - N/A]]+Table66[[#This Row],[Year 4 (Specified in RFO) - N/A]]+Table66[[#This Row],[Year 5 (Specified in RFO) - N/A]]+Table66[[#This Row],[Year 6 (Specified in RFO) - N/A]]</f>
        <v>0</v>
      </c>
      <c r="S731" s="402">
        <f ca="1">Table66[[#This Row],[Year 1  (Proposed)]]+Table66[[#This Row],[Year 2 (Proposed)]]+Table66[[#This Row],[Year 3 (Proposed)]]+Table66[[#This Row],[Year 4 (Proposed)]]+Table66[[#This Row],[Year 5 (Proposed)]]+Table66[[#This Row],[Year 6 (Proposed)]]</f>
        <v>0</v>
      </c>
      <c r="T731" s="403" t="b">
        <f ca="1">Table66[[#This Row],[Total Specifed in RFO - N/A]]=Table66[[#This Row],[Total Proposed]]</f>
        <v>1</v>
      </c>
      <c r="U731" s="439"/>
      <c r="V731" s="441">
        <f ca="1">Table66[[#This Row],[Year 6 (Specified in RFO) - N/A]]-Table66[[#This Row],[Column1]]</f>
        <v>0</v>
      </c>
    </row>
    <row r="732" spans="1:22" ht="16.5" thickBot="1">
      <c r="A732" s="227"/>
      <c r="B732" s="319"/>
      <c r="C732" s="319"/>
      <c r="D732" s="320"/>
      <c r="E732" s="320"/>
      <c r="F732" s="190"/>
      <c r="G7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2" s="190"/>
      <c r="I7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2" s="190"/>
      <c r="K7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2" s="190"/>
      <c r="M7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2" s="190"/>
      <c r="O7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2" s="190"/>
      <c r="Q7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2" s="192">
        <f ca="1">Table66[[#This Row],[Year 1 (Specified in RFO) - N/A]]+Table66[[#This Row],[Year 2 (Specified in RFO) - N/A]]+Table66[[#This Row],[Year 3 (Specified in RFO) - N/A]]+Table66[[#This Row],[Year 4 (Specified in RFO) - N/A]]+Table66[[#This Row],[Year 5 (Specified in RFO) - N/A]]+Table66[[#This Row],[Year 6 (Specified in RFO) - N/A]]</f>
        <v>0</v>
      </c>
      <c r="S732" s="402">
        <f ca="1">Table66[[#This Row],[Year 1  (Proposed)]]+Table66[[#This Row],[Year 2 (Proposed)]]+Table66[[#This Row],[Year 3 (Proposed)]]+Table66[[#This Row],[Year 4 (Proposed)]]+Table66[[#This Row],[Year 5 (Proposed)]]+Table66[[#This Row],[Year 6 (Proposed)]]</f>
        <v>0</v>
      </c>
      <c r="T732" s="403" t="b">
        <f ca="1">Table66[[#This Row],[Total Specifed in RFO - N/A]]=Table66[[#This Row],[Total Proposed]]</f>
        <v>1</v>
      </c>
      <c r="U732" s="439"/>
      <c r="V732" s="441">
        <f ca="1">Table66[[#This Row],[Year 6 (Specified in RFO) - N/A]]-Table66[[#This Row],[Column1]]</f>
        <v>0</v>
      </c>
    </row>
    <row r="733" spans="1:22" ht="16.5" thickBot="1">
      <c r="A733" s="227"/>
      <c r="B733" s="319"/>
      <c r="C733" s="319"/>
      <c r="D733" s="320"/>
      <c r="E733" s="320"/>
      <c r="F733" s="190"/>
      <c r="G7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3" s="190"/>
      <c r="I7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3" s="190"/>
      <c r="K7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3" s="190"/>
      <c r="M7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3" s="190"/>
      <c r="O7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3" s="190"/>
      <c r="Q7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3" s="192">
        <f ca="1">Table66[[#This Row],[Year 1 (Specified in RFO) - N/A]]+Table66[[#This Row],[Year 2 (Specified in RFO) - N/A]]+Table66[[#This Row],[Year 3 (Specified in RFO) - N/A]]+Table66[[#This Row],[Year 4 (Specified in RFO) - N/A]]+Table66[[#This Row],[Year 5 (Specified in RFO) - N/A]]+Table66[[#This Row],[Year 6 (Specified in RFO) - N/A]]</f>
        <v>0</v>
      </c>
      <c r="S733" s="402">
        <f ca="1">Table66[[#This Row],[Year 1  (Proposed)]]+Table66[[#This Row],[Year 2 (Proposed)]]+Table66[[#This Row],[Year 3 (Proposed)]]+Table66[[#This Row],[Year 4 (Proposed)]]+Table66[[#This Row],[Year 5 (Proposed)]]+Table66[[#This Row],[Year 6 (Proposed)]]</f>
        <v>0</v>
      </c>
      <c r="T733" s="403" t="b">
        <f ca="1">Table66[[#This Row],[Total Specifed in RFO - N/A]]=Table66[[#This Row],[Total Proposed]]</f>
        <v>1</v>
      </c>
      <c r="U733" s="439"/>
      <c r="V733" s="441">
        <f ca="1">Table66[[#This Row],[Year 6 (Specified in RFO) - N/A]]-Table66[[#This Row],[Column1]]</f>
        <v>0</v>
      </c>
    </row>
    <row r="734" spans="1:22" ht="16.5" thickBot="1">
      <c r="A734" s="227"/>
      <c r="B734" s="319"/>
      <c r="C734" s="319"/>
      <c r="D734" s="320"/>
      <c r="E734" s="320"/>
      <c r="F734" s="190"/>
      <c r="G7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4" s="190"/>
      <c r="I7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4" s="190"/>
      <c r="K7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4" s="190"/>
      <c r="M7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4" s="190"/>
      <c r="O7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4" s="190"/>
      <c r="Q7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4" s="192">
        <f ca="1">Table66[[#This Row],[Year 1 (Specified in RFO) - N/A]]+Table66[[#This Row],[Year 2 (Specified in RFO) - N/A]]+Table66[[#This Row],[Year 3 (Specified in RFO) - N/A]]+Table66[[#This Row],[Year 4 (Specified in RFO) - N/A]]+Table66[[#This Row],[Year 5 (Specified in RFO) - N/A]]+Table66[[#This Row],[Year 6 (Specified in RFO) - N/A]]</f>
        <v>0</v>
      </c>
      <c r="S734" s="402">
        <f ca="1">Table66[[#This Row],[Year 1  (Proposed)]]+Table66[[#This Row],[Year 2 (Proposed)]]+Table66[[#This Row],[Year 3 (Proposed)]]+Table66[[#This Row],[Year 4 (Proposed)]]+Table66[[#This Row],[Year 5 (Proposed)]]+Table66[[#This Row],[Year 6 (Proposed)]]</f>
        <v>0</v>
      </c>
      <c r="T734" s="403" t="b">
        <f ca="1">Table66[[#This Row],[Total Specifed in RFO - N/A]]=Table66[[#This Row],[Total Proposed]]</f>
        <v>1</v>
      </c>
      <c r="U734" s="439"/>
      <c r="V734" s="441">
        <f ca="1">Table66[[#This Row],[Year 6 (Specified in RFO) - N/A]]-Table66[[#This Row],[Column1]]</f>
        <v>0</v>
      </c>
    </row>
    <row r="735" spans="1:22" ht="16.5" thickBot="1">
      <c r="A735" s="227"/>
      <c r="B735" s="319"/>
      <c r="C735" s="319"/>
      <c r="D735" s="320"/>
      <c r="E735" s="320"/>
      <c r="F735" s="190"/>
      <c r="G7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5" s="190"/>
      <c r="I7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5" s="190"/>
      <c r="K7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5" s="190"/>
      <c r="M7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5" s="190"/>
      <c r="O7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5" s="190"/>
      <c r="Q7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5" s="192">
        <f ca="1">Table66[[#This Row],[Year 1 (Specified in RFO) - N/A]]+Table66[[#This Row],[Year 2 (Specified in RFO) - N/A]]+Table66[[#This Row],[Year 3 (Specified in RFO) - N/A]]+Table66[[#This Row],[Year 4 (Specified in RFO) - N/A]]+Table66[[#This Row],[Year 5 (Specified in RFO) - N/A]]+Table66[[#This Row],[Year 6 (Specified in RFO) - N/A]]</f>
        <v>0</v>
      </c>
      <c r="S735" s="402">
        <f ca="1">Table66[[#This Row],[Year 1  (Proposed)]]+Table66[[#This Row],[Year 2 (Proposed)]]+Table66[[#This Row],[Year 3 (Proposed)]]+Table66[[#This Row],[Year 4 (Proposed)]]+Table66[[#This Row],[Year 5 (Proposed)]]+Table66[[#This Row],[Year 6 (Proposed)]]</f>
        <v>0</v>
      </c>
      <c r="T735" s="403" t="b">
        <f ca="1">Table66[[#This Row],[Total Specifed in RFO - N/A]]=Table66[[#This Row],[Total Proposed]]</f>
        <v>1</v>
      </c>
      <c r="U735" s="439"/>
      <c r="V735" s="441">
        <f ca="1">Table66[[#This Row],[Year 6 (Specified in RFO) - N/A]]-Table66[[#This Row],[Column1]]</f>
        <v>0</v>
      </c>
    </row>
    <row r="736" spans="1:22" ht="16.5" thickBot="1">
      <c r="A736" s="227"/>
      <c r="B736" s="319"/>
      <c r="C736" s="319"/>
      <c r="D736" s="320"/>
      <c r="E736" s="320"/>
      <c r="F736" s="190"/>
      <c r="G7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6" s="190"/>
      <c r="I7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6" s="190"/>
      <c r="K7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6" s="190"/>
      <c r="M7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6" s="190"/>
      <c r="O7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6" s="190"/>
      <c r="Q7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6" s="192">
        <f ca="1">Table66[[#This Row],[Year 1 (Specified in RFO) - N/A]]+Table66[[#This Row],[Year 2 (Specified in RFO) - N/A]]+Table66[[#This Row],[Year 3 (Specified in RFO) - N/A]]+Table66[[#This Row],[Year 4 (Specified in RFO) - N/A]]+Table66[[#This Row],[Year 5 (Specified in RFO) - N/A]]+Table66[[#This Row],[Year 6 (Specified in RFO) - N/A]]</f>
        <v>0</v>
      </c>
      <c r="S736" s="402">
        <f ca="1">Table66[[#This Row],[Year 1  (Proposed)]]+Table66[[#This Row],[Year 2 (Proposed)]]+Table66[[#This Row],[Year 3 (Proposed)]]+Table66[[#This Row],[Year 4 (Proposed)]]+Table66[[#This Row],[Year 5 (Proposed)]]+Table66[[#This Row],[Year 6 (Proposed)]]</f>
        <v>0</v>
      </c>
      <c r="T736" s="403" t="b">
        <f ca="1">Table66[[#This Row],[Total Specifed in RFO - N/A]]=Table66[[#This Row],[Total Proposed]]</f>
        <v>1</v>
      </c>
      <c r="U736" s="439"/>
      <c r="V736" s="441">
        <f ca="1">Table66[[#This Row],[Year 6 (Specified in RFO) - N/A]]-Table66[[#This Row],[Column1]]</f>
        <v>0</v>
      </c>
    </row>
    <row r="737" spans="1:22" ht="16.5" thickBot="1">
      <c r="A737" s="227"/>
      <c r="B737" s="319"/>
      <c r="C737" s="319"/>
      <c r="D737" s="320"/>
      <c r="E737" s="320"/>
      <c r="F737" s="190"/>
      <c r="G7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7" s="190"/>
      <c r="I7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7" s="190"/>
      <c r="K7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7" s="190"/>
      <c r="M7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7" s="190"/>
      <c r="O7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7" s="190"/>
      <c r="Q7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7" s="192">
        <f ca="1">Table66[[#This Row],[Year 1 (Specified in RFO) - N/A]]+Table66[[#This Row],[Year 2 (Specified in RFO) - N/A]]+Table66[[#This Row],[Year 3 (Specified in RFO) - N/A]]+Table66[[#This Row],[Year 4 (Specified in RFO) - N/A]]+Table66[[#This Row],[Year 5 (Specified in RFO) - N/A]]+Table66[[#This Row],[Year 6 (Specified in RFO) - N/A]]</f>
        <v>0</v>
      </c>
      <c r="S737" s="402">
        <f ca="1">Table66[[#This Row],[Year 1  (Proposed)]]+Table66[[#This Row],[Year 2 (Proposed)]]+Table66[[#This Row],[Year 3 (Proposed)]]+Table66[[#This Row],[Year 4 (Proposed)]]+Table66[[#This Row],[Year 5 (Proposed)]]+Table66[[#This Row],[Year 6 (Proposed)]]</f>
        <v>0</v>
      </c>
      <c r="T737" s="403" t="b">
        <f ca="1">Table66[[#This Row],[Total Specifed in RFO - N/A]]=Table66[[#This Row],[Total Proposed]]</f>
        <v>1</v>
      </c>
      <c r="U737" s="439"/>
      <c r="V737" s="441">
        <f ca="1">Table66[[#This Row],[Year 6 (Specified in RFO) - N/A]]-Table66[[#This Row],[Column1]]</f>
        <v>0</v>
      </c>
    </row>
    <row r="738" spans="1:22" ht="16.5" thickBot="1">
      <c r="A738" s="227"/>
      <c r="B738" s="319"/>
      <c r="C738" s="319"/>
      <c r="D738" s="320"/>
      <c r="E738" s="320"/>
      <c r="F738" s="190"/>
      <c r="G7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8" s="190"/>
      <c r="I7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8" s="190"/>
      <c r="K7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8" s="190"/>
      <c r="M7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8" s="190"/>
      <c r="O7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8" s="190"/>
      <c r="Q7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8" s="192">
        <f ca="1">Table66[[#This Row],[Year 1 (Specified in RFO) - N/A]]+Table66[[#This Row],[Year 2 (Specified in RFO) - N/A]]+Table66[[#This Row],[Year 3 (Specified in RFO) - N/A]]+Table66[[#This Row],[Year 4 (Specified in RFO) - N/A]]+Table66[[#This Row],[Year 5 (Specified in RFO) - N/A]]+Table66[[#This Row],[Year 6 (Specified in RFO) - N/A]]</f>
        <v>0</v>
      </c>
      <c r="S738" s="402">
        <f ca="1">Table66[[#This Row],[Year 1  (Proposed)]]+Table66[[#This Row],[Year 2 (Proposed)]]+Table66[[#This Row],[Year 3 (Proposed)]]+Table66[[#This Row],[Year 4 (Proposed)]]+Table66[[#This Row],[Year 5 (Proposed)]]+Table66[[#This Row],[Year 6 (Proposed)]]</f>
        <v>0</v>
      </c>
      <c r="T738" s="403" t="b">
        <f ca="1">Table66[[#This Row],[Total Specifed in RFO - N/A]]=Table66[[#This Row],[Total Proposed]]</f>
        <v>1</v>
      </c>
      <c r="U738" s="439"/>
      <c r="V738" s="441">
        <f ca="1">Table66[[#This Row],[Year 6 (Specified in RFO) - N/A]]-Table66[[#This Row],[Column1]]</f>
        <v>0</v>
      </c>
    </row>
    <row r="739" spans="1:22" ht="16.5" thickBot="1">
      <c r="A739" s="227"/>
      <c r="B739" s="319"/>
      <c r="C739" s="319"/>
      <c r="D739" s="320"/>
      <c r="E739" s="320"/>
      <c r="F739" s="190"/>
      <c r="G7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9" s="190"/>
      <c r="I7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9" s="190"/>
      <c r="K7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9" s="190"/>
      <c r="M7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9" s="190"/>
      <c r="O7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9" s="190"/>
      <c r="Q7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9" s="192">
        <f ca="1">Table66[[#This Row],[Year 1 (Specified in RFO) - N/A]]+Table66[[#This Row],[Year 2 (Specified in RFO) - N/A]]+Table66[[#This Row],[Year 3 (Specified in RFO) - N/A]]+Table66[[#This Row],[Year 4 (Specified in RFO) - N/A]]+Table66[[#This Row],[Year 5 (Specified in RFO) - N/A]]+Table66[[#This Row],[Year 6 (Specified in RFO) - N/A]]</f>
        <v>0</v>
      </c>
      <c r="S739" s="402">
        <f ca="1">Table66[[#This Row],[Year 1  (Proposed)]]+Table66[[#This Row],[Year 2 (Proposed)]]+Table66[[#This Row],[Year 3 (Proposed)]]+Table66[[#This Row],[Year 4 (Proposed)]]+Table66[[#This Row],[Year 5 (Proposed)]]+Table66[[#This Row],[Year 6 (Proposed)]]</f>
        <v>0</v>
      </c>
      <c r="T739" s="403" t="b">
        <f ca="1">Table66[[#This Row],[Total Specifed in RFO - N/A]]=Table66[[#This Row],[Total Proposed]]</f>
        <v>1</v>
      </c>
      <c r="U739" s="439"/>
      <c r="V739" s="441">
        <f ca="1">Table66[[#This Row],[Year 6 (Specified in RFO) - N/A]]-Table66[[#This Row],[Column1]]</f>
        <v>0</v>
      </c>
    </row>
    <row r="740" spans="1:22" ht="16.5" thickBot="1">
      <c r="A740" s="227"/>
      <c r="B740" s="319"/>
      <c r="C740" s="319"/>
      <c r="D740" s="320"/>
      <c r="E740" s="320"/>
      <c r="F740" s="190"/>
      <c r="G7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0" s="190"/>
      <c r="I7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0" s="190"/>
      <c r="K7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0" s="190"/>
      <c r="M7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0" s="190"/>
      <c r="O7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0" s="190"/>
      <c r="Q7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0" s="192">
        <f ca="1">Table66[[#This Row],[Year 1 (Specified in RFO) - N/A]]+Table66[[#This Row],[Year 2 (Specified in RFO) - N/A]]+Table66[[#This Row],[Year 3 (Specified in RFO) - N/A]]+Table66[[#This Row],[Year 4 (Specified in RFO) - N/A]]+Table66[[#This Row],[Year 5 (Specified in RFO) - N/A]]+Table66[[#This Row],[Year 6 (Specified in RFO) - N/A]]</f>
        <v>0</v>
      </c>
      <c r="S740" s="402">
        <f ca="1">Table66[[#This Row],[Year 1  (Proposed)]]+Table66[[#This Row],[Year 2 (Proposed)]]+Table66[[#This Row],[Year 3 (Proposed)]]+Table66[[#This Row],[Year 4 (Proposed)]]+Table66[[#This Row],[Year 5 (Proposed)]]+Table66[[#This Row],[Year 6 (Proposed)]]</f>
        <v>0</v>
      </c>
      <c r="T740" s="403" t="b">
        <f ca="1">Table66[[#This Row],[Total Specifed in RFO - N/A]]=Table66[[#This Row],[Total Proposed]]</f>
        <v>1</v>
      </c>
      <c r="U740" s="439"/>
      <c r="V740" s="441">
        <f ca="1">Table66[[#This Row],[Year 6 (Specified in RFO) - N/A]]-Table66[[#This Row],[Column1]]</f>
        <v>0</v>
      </c>
    </row>
    <row r="741" spans="1:22" ht="16.5" thickBot="1">
      <c r="A741" s="227"/>
      <c r="B741" s="319"/>
      <c r="C741" s="319"/>
      <c r="D741" s="320"/>
      <c r="E741" s="320"/>
      <c r="F741" s="190"/>
      <c r="G7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1" s="190"/>
      <c r="I7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1" s="190"/>
      <c r="K7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1" s="190"/>
      <c r="M7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1" s="190"/>
      <c r="O7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1" s="190"/>
      <c r="Q7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1" s="192">
        <f ca="1">Table66[[#This Row],[Year 1 (Specified in RFO) - N/A]]+Table66[[#This Row],[Year 2 (Specified in RFO) - N/A]]+Table66[[#This Row],[Year 3 (Specified in RFO) - N/A]]+Table66[[#This Row],[Year 4 (Specified in RFO) - N/A]]+Table66[[#This Row],[Year 5 (Specified in RFO) - N/A]]+Table66[[#This Row],[Year 6 (Specified in RFO) - N/A]]</f>
        <v>0</v>
      </c>
      <c r="S741" s="402">
        <f ca="1">Table66[[#This Row],[Year 1  (Proposed)]]+Table66[[#This Row],[Year 2 (Proposed)]]+Table66[[#This Row],[Year 3 (Proposed)]]+Table66[[#This Row],[Year 4 (Proposed)]]+Table66[[#This Row],[Year 5 (Proposed)]]+Table66[[#This Row],[Year 6 (Proposed)]]</f>
        <v>0</v>
      </c>
      <c r="T741" s="403" t="b">
        <f ca="1">Table66[[#This Row],[Total Specifed in RFO - N/A]]=Table66[[#This Row],[Total Proposed]]</f>
        <v>1</v>
      </c>
      <c r="U741" s="439"/>
      <c r="V741" s="441">
        <f ca="1">Table66[[#This Row],[Year 6 (Specified in RFO) - N/A]]-Table66[[#This Row],[Column1]]</f>
        <v>0</v>
      </c>
    </row>
    <row r="742" spans="1:22" ht="16.5" thickBot="1">
      <c r="A742" s="227"/>
      <c r="B742" s="319"/>
      <c r="C742" s="319"/>
      <c r="D742" s="320"/>
      <c r="E742" s="320"/>
      <c r="F742" s="190"/>
      <c r="G7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2" s="190"/>
      <c r="I7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2" s="190"/>
      <c r="K7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2" s="190"/>
      <c r="M7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2" s="190"/>
      <c r="O7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2" s="190"/>
      <c r="Q7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2" s="192">
        <f ca="1">Table66[[#This Row],[Year 1 (Specified in RFO) - N/A]]+Table66[[#This Row],[Year 2 (Specified in RFO) - N/A]]+Table66[[#This Row],[Year 3 (Specified in RFO) - N/A]]+Table66[[#This Row],[Year 4 (Specified in RFO) - N/A]]+Table66[[#This Row],[Year 5 (Specified in RFO) - N/A]]+Table66[[#This Row],[Year 6 (Specified in RFO) - N/A]]</f>
        <v>0</v>
      </c>
      <c r="S742" s="402">
        <f ca="1">Table66[[#This Row],[Year 1  (Proposed)]]+Table66[[#This Row],[Year 2 (Proposed)]]+Table66[[#This Row],[Year 3 (Proposed)]]+Table66[[#This Row],[Year 4 (Proposed)]]+Table66[[#This Row],[Year 5 (Proposed)]]+Table66[[#This Row],[Year 6 (Proposed)]]</f>
        <v>0</v>
      </c>
      <c r="T742" s="403" t="b">
        <f ca="1">Table66[[#This Row],[Total Specifed in RFO - N/A]]=Table66[[#This Row],[Total Proposed]]</f>
        <v>1</v>
      </c>
      <c r="U742" s="439"/>
      <c r="V742" s="441">
        <f ca="1">Table66[[#This Row],[Year 6 (Specified in RFO) - N/A]]-Table66[[#This Row],[Column1]]</f>
        <v>0</v>
      </c>
    </row>
    <row r="743" spans="1:22" ht="16.5" thickBot="1">
      <c r="A743" s="227"/>
      <c r="B743" s="319"/>
      <c r="C743" s="319"/>
      <c r="D743" s="320"/>
      <c r="E743" s="320"/>
      <c r="F743" s="190"/>
      <c r="G7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3" s="190"/>
      <c r="I7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3" s="190"/>
      <c r="K7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3" s="190"/>
      <c r="M7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3" s="190"/>
      <c r="O7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3" s="190"/>
      <c r="Q7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3" s="192">
        <f ca="1">Table66[[#This Row],[Year 1 (Specified in RFO) - N/A]]+Table66[[#This Row],[Year 2 (Specified in RFO) - N/A]]+Table66[[#This Row],[Year 3 (Specified in RFO) - N/A]]+Table66[[#This Row],[Year 4 (Specified in RFO) - N/A]]+Table66[[#This Row],[Year 5 (Specified in RFO) - N/A]]+Table66[[#This Row],[Year 6 (Specified in RFO) - N/A]]</f>
        <v>0</v>
      </c>
      <c r="S743" s="402">
        <f ca="1">Table66[[#This Row],[Year 1  (Proposed)]]+Table66[[#This Row],[Year 2 (Proposed)]]+Table66[[#This Row],[Year 3 (Proposed)]]+Table66[[#This Row],[Year 4 (Proposed)]]+Table66[[#This Row],[Year 5 (Proposed)]]+Table66[[#This Row],[Year 6 (Proposed)]]</f>
        <v>0</v>
      </c>
      <c r="T743" s="403" t="b">
        <f ca="1">Table66[[#This Row],[Total Specifed in RFO - N/A]]=Table66[[#This Row],[Total Proposed]]</f>
        <v>1</v>
      </c>
      <c r="U743" s="439"/>
      <c r="V743" s="441">
        <f ca="1">Table66[[#This Row],[Year 6 (Specified in RFO) - N/A]]-Table66[[#This Row],[Column1]]</f>
        <v>0</v>
      </c>
    </row>
    <row r="744" spans="1:22" ht="16.5" thickBot="1">
      <c r="A744" s="227"/>
      <c r="B744" s="319"/>
      <c r="C744" s="319"/>
      <c r="D744" s="320"/>
      <c r="E744" s="320"/>
      <c r="F744" s="190"/>
      <c r="G7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4" s="190"/>
      <c r="I7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4" s="190"/>
      <c r="K7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4" s="190"/>
      <c r="M7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4" s="190"/>
      <c r="O7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4" s="190"/>
      <c r="Q7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4" s="192">
        <f ca="1">Table66[[#This Row],[Year 1 (Specified in RFO) - N/A]]+Table66[[#This Row],[Year 2 (Specified in RFO) - N/A]]+Table66[[#This Row],[Year 3 (Specified in RFO) - N/A]]+Table66[[#This Row],[Year 4 (Specified in RFO) - N/A]]+Table66[[#This Row],[Year 5 (Specified in RFO) - N/A]]+Table66[[#This Row],[Year 6 (Specified in RFO) - N/A]]</f>
        <v>0</v>
      </c>
      <c r="S744" s="402">
        <f ca="1">Table66[[#This Row],[Year 1  (Proposed)]]+Table66[[#This Row],[Year 2 (Proposed)]]+Table66[[#This Row],[Year 3 (Proposed)]]+Table66[[#This Row],[Year 4 (Proposed)]]+Table66[[#This Row],[Year 5 (Proposed)]]+Table66[[#This Row],[Year 6 (Proposed)]]</f>
        <v>0</v>
      </c>
      <c r="T744" s="403" t="b">
        <f ca="1">Table66[[#This Row],[Total Specifed in RFO - N/A]]=Table66[[#This Row],[Total Proposed]]</f>
        <v>1</v>
      </c>
      <c r="U744" s="439"/>
      <c r="V744" s="441">
        <f ca="1">Table66[[#This Row],[Year 6 (Specified in RFO) - N/A]]-Table66[[#This Row],[Column1]]</f>
        <v>0</v>
      </c>
    </row>
    <row r="745" spans="1:22" ht="16.5" thickBot="1">
      <c r="A745" s="319"/>
      <c r="B745" s="319"/>
      <c r="C745" s="319"/>
      <c r="D745" s="320"/>
      <c r="E745" s="320"/>
      <c r="F745" s="190"/>
      <c r="G7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5" s="190"/>
      <c r="I7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5" s="190"/>
      <c r="K7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5" s="190"/>
      <c r="M7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5" s="190"/>
      <c r="O7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5" s="190"/>
      <c r="Q7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5" s="192">
        <f ca="1">Table66[[#This Row],[Year 1 (Specified in RFO) - N/A]]+Table66[[#This Row],[Year 2 (Specified in RFO) - N/A]]+Table66[[#This Row],[Year 3 (Specified in RFO) - N/A]]+Table66[[#This Row],[Year 4 (Specified in RFO) - N/A]]+Table66[[#This Row],[Year 5 (Specified in RFO) - N/A]]+Table66[[#This Row],[Year 6 (Specified in RFO) - N/A]]</f>
        <v>0</v>
      </c>
      <c r="S745" s="402">
        <f ca="1">Table66[[#This Row],[Year 1  (Proposed)]]+Table66[[#This Row],[Year 2 (Proposed)]]+Table66[[#This Row],[Year 3 (Proposed)]]+Table66[[#This Row],[Year 4 (Proposed)]]+Table66[[#This Row],[Year 5 (Proposed)]]+Table66[[#This Row],[Year 6 (Proposed)]]</f>
        <v>0</v>
      </c>
      <c r="T745" s="403" t="b">
        <f ca="1">Table66[[#This Row],[Total Specifed in RFO - N/A]]=Table66[[#This Row],[Total Proposed]]</f>
        <v>1</v>
      </c>
      <c r="U745" s="439"/>
      <c r="V745" s="441">
        <f ca="1">Table66[[#This Row],[Year 6 (Specified in RFO) - N/A]]-Table66[[#This Row],[Column1]]</f>
        <v>0</v>
      </c>
    </row>
    <row r="746" spans="1:22" ht="16.5" thickBot="1">
      <c r="A746" s="319"/>
      <c r="B746" s="319"/>
      <c r="C746" s="319"/>
      <c r="D746" s="320"/>
      <c r="E746" s="320"/>
      <c r="F746" s="190"/>
      <c r="G7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6" s="190"/>
      <c r="I7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6" s="190"/>
      <c r="K7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6" s="190"/>
      <c r="M7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6" s="190"/>
      <c r="O7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6" s="190"/>
      <c r="Q7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6" s="192">
        <f ca="1">Table66[[#This Row],[Year 1 (Specified in RFO) - N/A]]+Table66[[#This Row],[Year 2 (Specified in RFO) - N/A]]+Table66[[#This Row],[Year 3 (Specified in RFO) - N/A]]+Table66[[#This Row],[Year 4 (Specified in RFO) - N/A]]+Table66[[#This Row],[Year 5 (Specified in RFO) - N/A]]+Table66[[#This Row],[Year 6 (Specified in RFO) - N/A]]</f>
        <v>0</v>
      </c>
      <c r="S746" s="402">
        <f ca="1">Table66[[#This Row],[Year 1  (Proposed)]]+Table66[[#This Row],[Year 2 (Proposed)]]+Table66[[#This Row],[Year 3 (Proposed)]]+Table66[[#This Row],[Year 4 (Proposed)]]+Table66[[#This Row],[Year 5 (Proposed)]]+Table66[[#This Row],[Year 6 (Proposed)]]</f>
        <v>0</v>
      </c>
      <c r="T746" s="403" t="b">
        <f ca="1">Table66[[#This Row],[Total Specifed in RFO - N/A]]=Table66[[#This Row],[Total Proposed]]</f>
        <v>1</v>
      </c>
      <c r="U746" s="439"/>
      <c r="V746" s="441">
        <f ca="1">Table66[[#This Row],[Year 6 (Specified in RFO) - N/A]]-Table66[[#This Row],[Column1]]</f>
        <v>0</v>
      </c>
    </row>
    <row r="747" spans="1:22" ht="16.5" thickBot="1">
      <c r="A747" s="227"/>
      <c r="B747" s="319"/>
      <c r="C747" s="319"/>
      <c r="D747" s="320"/>
      <c r="E747" s="320"/>
      <c r="F747" s="190"/>
      <c r="G7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7" s="190"/>
      <c r="I7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7" s="190"/>
      <c r="K7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7" s="190"/>
      <c r="M7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7" s="190"/>
      <c r="O7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7" s="190"/>
      <c r="Q7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7" s="192">
        <f ca="1">Table66[[#This Row],[Year 1 (Specified in RFO) - N/A]]+Table66[[#This Row],[Year 2 (Specified in RFO) - N/A]]+Table66[[#This Row],[Year 3 (Specified in RFO) - N/A]]+Table66[[#This Row],[Year 4 (Specified in RFO) - N/A]]+Table66[[#This Row],[Year 5 (Specified in RFO) - N/A]]+Table66[[#This Row],[Year 6 (Specified in RFO) - N/A]]</f>
        <v>0</v>
      </c>
      <c r="S747" s="402">
        <f ca="1">Table66[[#This Row],[Year 1  (Proposed)]]+Table66[[#This Row],[Year 2 (Proposed)]]+Table66[[#This Row],[Year 3 (Proposed)]]+Table66[[#This Row],[Year 4 (Proposed)]]+Table66[[#This Row],[Year 5 (Proposed)]]+Table66[[#This Row],[Year 6 (Proposed)]]</f>
        <v>0</v>
      </c>
      <c r="T747" s="403" t="b">
        <f ca="1">Table66[[#This Row],[Total Specifed in RFO - N/A]]=Table66[[#This Row],[Total Proposed]]</f>
        <v>1</v>
      </c>
      <c r="U747" s="439"/>
      <c r="V747" s="441">
        <f ca="1">Table66[[#This Row],[Year 6 (Specified in RFO) - N/A]]-Table66[[#This Row],[Column1]]</f>
        <v>0</v>
      </c>
    </row>
    <row r="748" spans="1:22" ht="16.5" thickBot="1">
      <c r="A748" s="319"/>
      <c r="B748" s="319"/>
      <c r="C748" s="319"/>
      <c r="D748" s="320"/>
      <c r="E748" s="320"/>
      <c r="F748" s="190"/>
      <c r="G7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8" s="190"/>
      <c r="I7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8" s="190"/>
      <c r="K7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8" s="190"/>
      <c r="M7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8" s="190"/>
      <c r="O7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8" s="190"/>
      <c r="Q7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8" s="192">
        <f ca="1">Table66[[#This Row],[Year 1 (Specified in RFO) - N/A]]+Table66[[#This Row],[Year 2 (Specified in RFO) - N/A]]+Table66[[#This Row],[Year 3 (Specified in RFO) - N/A]]+Table66[[#This Row],[Year 4 (Specified in RFO) - N/A]]+Table66[[#This Row],[Year 5 (Specified in RFO) - N/A]]+Table66[[#This Row],[Year 6 (Specified in RFO) - N/A]]</f>
        <v>0</v>
      </c>
      <c r="S748" s="402">
        <f ca="1">Table66[[#This Row],[Year 1  (Proposed)]]+Table66[[#This Row],[Year 2 (Proposed)]]+Table66[[#This Row],[Year 3 (Proposed)]]+Table66[[#This Row],[Year 4 (Proposed)]]+Table66[[#This Row],[Year 5 (Proposed)]]+Table66[[#This Row],[Year 6 (Proposed)]]</f>
        <v>0</v>
      </c>
      <c r="T748" s="403" t="b">
        <f ca="1">Table66[[#This Row],[Total Specifed in RFO - N/A]]=Table66[[#This Row],[Total Proposed]]</f>
        <v>1</v>
      </c>
      <c r="U748" s="439"/>
      <c r="V748" s="441">
        <f ca="1">Table66[[#This Row],[Year 6 (Specified in RFO) - N/A]]-Table66[[#This Row],[Column1]]</f>
        <v>0</v>
      </c>
    </row>
    <row r="749" spans="1:22" ht="16.5" thickBot="1">
      <c r="A749" s="319"/>
      <c r="B749" s="319"/>
      <c r="C749" s="319"/>
      <c r="D749" s="320"/>
      <c r="E749" s="320"/>
      <c r="F749" s="190"/>
      <c r="G7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9" s="190"/>
      <c r="I7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9" s="190"/>
      <c r="K7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9" s="190"/>
      <c r="M7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9" s="190"/>
      <c r="O7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9" s="190"/>
      <c r="Q7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9" s="192">
        <f ca="1">Table66[[#This Row],[Year 1 (Specified in RFO) - N/A]]+Table66[[#This Row],[Year 2 (Specified in RFO) - N/A]]+Table66[[#This Row],[Year 3 (Specified in RFO) - N/A]]+Table66[[#This Row],[Year 4 (Specified in RFO) - N/A]]+Table66[[#This Row],[Year 5 (Specified in RFO) - N/A]]+Table66[[#This Row],[Year 6 (Specified in RFO) - N/A]]</f>
        <v>0</v>
      </c>
      <c r="S749" s="402">
        <f ca="1">Table66[[#This Row],[Year 1  (Proposed)]]+Table66[[#This Row],[Year 2 (Proposed)]]+Table66[[#This Row],[Year 3 (Proposed)]]+Table66[[#This Row],[Year 4 (Proposed)]]+Table66[[#This Row],[Year 5 (Proposed)]]+Table66[[#This Row],[Year 6 (Proposed)]]</f>
        <v>0</v>
      </c>
      <c r="T749" s="403" t="b">
        <f ca="1">Table66[[#This Row],[Total Specifed in RFO - N/A]]=Table66[[#This Row],[Total Proposed]]</f>
        <v>1</v>
      </c>
      <c r="U749" s="439"/>
      <c r="V749" s="441">
        <f ca="1">Table66[[#This Row],[Year 6 (Specified in RFO) - N/A]]-Table66[[#This Row],[Column1]]</f>
        <v>0</v>
      </c>
    </row>
    <row r="750" spans="1:22" ht="16.5" thickBot="1">
      <c r="A750" s="227"/>
      <c r="B750" s="319"/>
      <c r="C750" s="319"/>
      <c r="D750" s="320"/>
      <c r="E750" s="320"/>
      <c r="F750" s="190"/>
      <c r="G7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0" s="190"/>
      <c r="I7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0" s="190"/>
      <c r="K7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0" s="190"/>
      <c r="M7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0" s="190"/>
      <c r="O7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0" s="190"/>
      <c r="Q7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0" s="192">
        <f ca="1">Table66[[#This Row],[Year 1 (Specified in RFO) - N/A]]+Table66[[#This Row],[Year 2 (Specified in RFO) - N/A]]+Table66[[#This Row],[Year 3 (Specified in RFO) - N/A]]+Table66[[#This Row],[Year 4 (Specified in RFO) - N/A]]+Table66[[#This Row],[Year 5 (Specified in RFO) - N/A]]+Table66[[#This Row],[Year 6 (Specified in RFO) - N/A]]</f>
        <v>0</v>
      </c>
      <c r="S750" s="402">
        <f ca="1">Table66[[#This Row],[Year 1  (Proposed)]]+Table66[[#This Row],[Year 2 (Proposed)]]+Table66[[#This Row],[Year 3 (Proposed)]]+Table66[[#This Row],[Year 4 (Proposed)]]+Table66[[#This Row],[Year 5 (Proposed)]]+Table66[[#This Row],[Year 6 (Proposed)]]</f>
        <v>0</v>
      </c>
      <c r="T750" s="403" t="b">
        <f ca="1">Table66[[#This Row],[Total Specifed in RFO - N/A]]=Table66[[#This Row],[Total Proposed]]</f>
        <v>1</v>
      </c>
      <c r="U750" s="439"/>
      <c r="V750" s="441">
        <f ca="1">Table66[[#This Row],[Year 6 (Specified in RFO) - N/A]]-Table66[[#This Row],[Column1]]</f>
        <v>0</v>
      </c>
    </row>
    <row r="751" spans="1:22" ht="16.5" thickBot="1">
      <c r="A751" s="319"/>
      <c r="B751" s="319"/>
      <c r="C751" s="319"/>
      <c r="D751" s="320"/>
      <c r="E751" s="320"/>
      <c r="F751" s="190"/>
      <c r="G7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1" s="190"/>
      <c r="I7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1" s="190"/>
      <c r="K7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1" s="190"/>
      <c r="M7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1" s="190"/>
      <c r="O7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1" s="190"/>
      <c r="Q7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1" s="192">
        <f ca="1">Table66[[#This Row],[Year 1 (Specified in RFO) - N/A]]+Table66[[#This Row],[Year 2 (Specified in RFO) - N/A]]+Table66[[#This Row],[Year 3 (Specified in RFO) - N/A]]+Table66[[#This Row],[Year 4 (Specified in RFO) - N/A]]+Table66[[#This Row],[Year 5 (Specified in RFO) - N/A]]+Table66[[#This Row],[Year 6 (Specified in RFO) - N/A]]</f>
        <v>0</v>
      </c>
      <c r="S751" s="402">
        <f ca="1">Table66[[#This Row],[Year 1  (Proposed)]]+Table66[[#This Row],[Year 2 (Proposed)]]+Table66[[#This Row],[Year 3 (Proposed)]]+Table66[[#This Row],[Year 4 (Proposed)]]+Table66[[#This Row],[Year 5 (Proposed)]]+Table66[[#This Row],[Year 6 (Proposed)]]</f>
        <v>0</v>
      </c>
      <c r="T751" s="403" t="b">
        <f ca="1">Table66[[#This Row],[Total Specifed in RFO - N/A]]=Table66[[#This Row],[Total Proposed]]</f>
        <v>1</v>
      </c>
      <c r="U751" s="439"/>
      <c r="V751" s="441">
        <f ca="1">Table66[[#This Row],[Year 6 (Specified in RFO) - N/A]]-Table66[[#This Row],[Column1]]</f>
        <v>0</v>
      </c>
    </row>
    <row r="752" spans="1:22" ht="16.5" thickBot="1">
      <c r="A752" s="319"/>
      <c r="B752" s="319"/>
      <c r="C752" s="319"/>
      <c r="D752" s="320"/>
      <c r="E752" s="320"/>
      <c r="F752" s="190"/>
      <c r="G7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2" s="190"/>
      <c r="I7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2" s="190"/>
      <c r="K7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2" s="190"/>
      <c r="M7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2" s="190"/>
      <c r="O7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2" s="190"/>
      <c r="Q7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2" s="192">
        <f ca="1">Table66[[#This Row],[Year 1 (Specified in RFO) - N/A]]+Table66[[#This Row],[Year 2 (Specified in RFO) - N/A]]+Table66[[#This Row],[Year 3 (Specified in RFO) - N/A]]+Table66[[#This Row],[Year 4 (Specified in RFO) - N/A]]+Table66[[#This Row],[Year 5 (Specified in RFO) - N/A]]+Table66[[#This Row],[Year 6 (Specified in RFO) - N/A]]</f>
        <v>0</v>
      </c>
      <c r="S752" s="402">
        <f ca="1">Table66[[#This Row],[Year 1  (Proposed)]]+Table66[[#This Row],[Year 2 (Proposed)]]+Table66[[#This Row],[Year 3 (Proposed)]]+Table66[[#This Row],[Year 4 (Proposed)]]+Table66[[#This Row],[Year 5 (Proposed)]]+Table66[[#This Row],[Year 6 (Proposed)]]</f>
        <v>0</v>
      </c>
      <c r="T752" s="403" t="b">
        <f ca="1">Table66[[#This Row],[Total Specifed in RFO - N/A]]=Table66[[#This Row],[Total Proposed]]</f>
        <v>1</v>
      </c>
      <c r="U752" s="439"/>
      <c r="V752" s="441">
        <f ca="1">Table66[[#This Row],[Year 6 (Specified in RFO) - N/A]]-Table66[[#This Row],[Column1]]</f>
        <v>0</v>
      </c>
    </row>
    <row r="753" spans="1:22" ht="16.5" thickBot="1">
      <c r="A753" s="227"/>
      <c r="B753" s="319"/>
      <c r="C753" s="319"/>
      <c r="D753" s="320"/>
      <c r="E753" s="320"/>
      <c r="F753" s="190"/>
      <c r="G7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3" s="190"/>
      <c r="I7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3" s="190"/>
      <c r="K7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3" s="190"/>
      <c r="M7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3" s="190"/>
      <c r="O7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3" s="190"/>
      <c r="Q7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3" s="192">
        <f ca="1">Table66[[#This Row],[Year 1 (Specified in RFO) - N/A]]+Table66[[#This Row],[Year 2 (Specified in RFO) - N/A]]+Table66[[#This Row],[Year 3 (Specified in RFO) - N/A]]+Table66[[#This Row],[Year 4 (Specified in RFO) - N/A]]+Table66[[#This Row],[Year 5 (Specified in RFO) - N/A]]+Table66[[#This Row],[Year 6 (Specified in RFO) - N/A]]</f>
        <v>0</v>
      </c>
      <c r="S753" s="402">
        <f ca="1">Table66[[#This Row],[Year 1  (Proposed)]]+Table66[[#This Row],[Year 2 (Proposed)]]+Table66[[#This Row],[Year 3 (Proposed)]]+Table66[[#This Row],[Year 4 (Proposed)]]+Table66[[#This Row],[Year 5 (Proposed)]]+Table66[[#This Row],[Year 6 (Proposed)]]</f>
        <v>0</v>
      </c>
      <c r="T753" s="403" t="b">
        <f ca="1">Table66[[#This Row],[Total Specifed in RFO - N/A]]=Table66[[#This Row],[Total Proposed]]</f>
        <v>1</v>
      </c>
      <c r="U753" s="439"/>
      <c r="V753" s="441">
        <f ca="1">Table66[[#This Row],[Year 6 (Specified in RFO) - N/A]]-Table66[[#This Row],[Column1]]</f>
        <v>0</v>
      </c>
    </row>
    <row r="754" spans="1:22" ht="16.5" thickBot="1">
      <c r="A754" s="319"/>
      <c r="B754" s="319"/>
      <c r="C754" s="319"/>
      <c r="D754" s="320"/>
      <c r="E754" s="320"/>
      <c r="F754" s="190"/>
      <c r="G7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4" s="190"/>
      <c r="I7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4" s="190"/>
      <c r="K7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4" s="190"/>
      <c r="M7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4" s="190"/>
      <c r="O7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4" s="190"/>
      <c r="Q7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4" s="192">
        <f ca="1">Table66[[#This Row],[Year 1 (Specified in RFO) - N/A]]+Table66[[#This Row],[Year 2 (Specified in RFO) - N/A]]+Table66[[#This Row],[Year 3 (Specified in RFO) - N/A]]+Table66[[#This Row],[Year 4 (Specified in RFO) - N/A]]+Table66[[#This Row],[Year 5 (Specified in RFO) - N/A]]+Table66[[#This Row],[Year 6 (Specified in RFO) - N/A]]</f>
        <v>0</v>
      </c>
      <c r="S754" s="402">
        <f ca="1">Table66[[#This Row],[Year 1  (Proposed)]]+Table66[[#This Row],[Year 2 (Proposed)]]+Table66[[#This Row],[Year 3 (Proposed)]]+Table66[[#This Row],[Year 4 (Proposed)]]+Table66[[#This Row],[Year 5 (Proposed)]]+Table66[[#This Row],[Year 6 (Proposed)]]</f>
        <v>0</v>
      </c>
      <c r="T754" s="403" t="b">
        <f ca="1">Table66[[#This Row],[Total Specifed in RFO - N/A]]=Table66[[#This Row],[Total Proposed]]</f>
        <v>1</v>
      </c>
      <c r="U754" s="439"/>
      <c r="V754" s="441">
        <f ca="1">Table66[[#This Row],[Year 6 (Specified in RFO) - N/A]]-Table66[[#This Row],[Column1]]</f>
        <v>0</v>
      </c>
    </row>
    <row r="755" spans="1:22" ht="16.5" thickBot="1">
      <c r="A755" s="319"/>
      <c r="B755" s="319"/>
      <c r="C755" s="319"/>
      <c r="D755" s="320"/>
      <c r="E755" s="320"/>
      <c r="F755" s="190"/>
      <c r="G7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5" s="190"/>
      <c r="I7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5" s="190"/>
      <c r="K7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5" s="190"/>
      <c r="M7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5" s="190"/>
      <c r="O7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5" s="190"/>
      <c r="Q7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5" s="192">
        <f ca="1">Table66[[#This Row],[Year 1 (Specified in RFO) - N/A]]+Table66[[#This Row],[Year 2 (Specified in RFO) - N/A]]+Table66[[#This Row],[Year 3 (Specified in RFO) - N/A]]+Table66[[#This Row],[Year 4 (Specified in RFO) - N/A]]+Table66[[#This Row],[Year 5 (Specified in RFO) - N/A]]+Table66[[#This Row],[Year 6 (Specified in RFO) - N/A]]</f>
        <v>0</v>
      </c>
      <c r="S755" s="402">
        <f ca="1">Table66[[#This Row],[Year 1  (Proposed)]]+Table66[[#This Row],[Year 2 (Proposed)]]+Table66[[#This Row],[Year 3 (Proposed)]]+Table66[[#This Row],[Year 4 (Proposed)]]+Table66[[#This Row],[Year 5 (Proposed)]]+Table66[[#This Row],[Year 6 (Proposed)]]</f>
        <v>0</v>
      </c>
      <c r="T755" s="403" t="b">
        <f ca="1">Table66[[#This Row],[Total Specifed in RFO - N/A]]=Table66[[#This Row],[Total Proposed]]</f>
        <v>1</v>
      </c>
      <c r="U755" s="439"/>
      <c r="V755" s="441">
        <f ca="1">Table66[[#This Row],[Year 6 (Specified in RFO) - N/A]]-Table66[[#This Row],[Column1]]</f>
        <v>0</v>
      </c>
    </row>
    <row r="756" spans="1:22" ht="16.5" thickBot="1">
      <c r="A756" s="227"/>
      <c r="B756" s="319"/>
      <c r="C756" s="319"/>
      <c r="D756" s="320"/>
      <c r="E756" s="320"/>
      <c r="F756" s="190"/>
      <c r="G7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6" s="190"/>
      <c r="I7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6" s="190"/>
      <c r="K7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6" s="190"/>
      <c r="M7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6" s="190"/>
      <c r="O7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6" s="190"/>
      <c r="Q7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6" s="192">
        <f ca="1">Table66[[#This Row],[Year 1 (Specified in RFO) - N/A]]+Table66[[#This Row],[Year 2 (Specified in RFO) - N/A]]+Table66[[#This Row],[Year 3 (Specified in RFO) - N/A]]+Table66[[#This Row],[Year 4 (Specified in RFO) - N/A]]+Table66[[#This Row],[Year 5 (Specified in RFO) - N/A]]+Table66[[#This Row],[Year 6 (Specified in RFO) - N/A]]</f>
        <v>0</v>
      </c>
      <c r="S756" s="402">
        <f ca="1">Table66[[#This Row],[Year 1  (Proposed)]]+Table66[[#This Row],[Year 2 (Proposed)]]+Table66[[#This Row],[Year 3 (Proposed)]]+Table66[[#This Row],[Year 4 (Proposed)]]+Table66[[#This Row],[Year 5 (Proposed)]]+Table66[[#This Row],[Year 6 (Proposed)]]</f>
        <v>0</v>
      </c>
      <c r="T756" s="403" t="b">
        <f ca="1">Table66[[#This Row],[Total Specifed in RFO - N/A]]=Table66[[#This Row],[Total Proposed]]</f>
        <v>1</v>
      </c>
      <c r="U756" s="439"/>
      <c r="V756" s="441">
        <f ca="1">Table66[[#This Row],[Year 6 (Specified in RFO) - N/A]]-Table66[[#This Row],[Column1]]</f>
        <v>0</v>
      </c>
    </row>
    <row r="757" spans="1:22" ht="16.5" thickBot="1">
      <c r="A757" s="319"/>
      <c r="B757" s="319"/>
      <c r="C757" s="319"/>
      <c r="D757" s="320"/>
      <c r="E757" s="320"/>
      <c r="F757" s="190"/>
      <c r="G7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7" s="190"/>
      <c r="I7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7" s="190"/>
      <c r="K7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7" s="190"/>
      <c r="M7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7" s="190"/>
      <c r="O7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7" s="190"/>
      <c r="Q7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7" s="192">
        <f ca="1">Table66[[#This Row],[Year 1 (Specified in RFO) - N/A]]+Table66[[#This Row],[Year 2 (Specified in RFO) - N/A]]+Table66[[#This Row],[Year 3 (Specified in RFO) - N/A]]+Table66[[#This Row],[Year 4 (Specified in RFO) - N/A]]+Table66[[#This Row],[Year 5 (Specified in RFO) - N/A]]+Table66[[#This Row],[Year 6 (Specified in RFO) - N/A]]</f>
        <v>0</v>
      </c>
      <c r="S757" s="402">
        <f ca="1">Table66[[#This Row],[Year 1  (Proposed)]]+Table66[[#This Row],[Year 2 (Proposed)]]+Table66[[#This Row],[Year 3 (Proposed)]]+Table66[[#This Row],[Year 4 (Proposed)]]+Table66[[#This Row],[Year 5 (Proposed)]]+Table66[[#This Row],[Year 6 (Proposed)]]</f>
        <v>0</v>
      </c>
      <c r="T757" s="403" t="b">
        <f ca="1">Table66[[#This Row],[Total Specifed in RFO - N/A]]=Table66[[#This Row],[Total Proposed]]</f>
        <v>1</v>
      </c>
      <c r="U757" s="439"/>
      <c r="V757" s="441">
        <f ca="1">Table66[[#This Row],[Year 6 (Specified in RFO) - N/A]]-Table66[[#This Row],[Column1]]</f>
        <v>0</v>
      </c>
    </row>
    <row r="758" spans="1:22" ht="16.5" thickBot="1">
      <c r="A758" s="319"/>
      <c r="B758" s="319"/>
      <c r="C758" s="319"/>
      <c r="D758" s="320"/>
      <c r="E758" s="320"/>
      <c r="F758" s="190"/>
      <c r="G7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8" s="190"/>
      <c r="I7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8" s="190"/>
      <c r="K7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8" s="190"/>
      <c r="M7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8" s="190"/>
      <c r="O7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8" s="190"/>
      <c r="Q7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8" s="192">
        <f ca="1">Table66[[#This Row],[Year 1 (Specified in RFO) - N/A]]+Table66[[#This Row],[Year 2 (Specified in RFO) - N/A]]+Table66[[#This Row],[Year 3 (Specified in RFO) - N/A]]+Table66[[#This Row],[Year 4 (Specified in RFO) - N/A]]+Table66[[#This Row],[Year 5 (Specified in RFO) - N/A]]+Table66[[#This Row],[Year 6 (Specified in RFO) - N/A]]</f>
        <v>0</v>
      </c>
      <c r="S758" s="402">
        <f ca="1">Table66[[#This Row],[Year 1  (Proposed)]]+Table66[[#This Row],[Year 2 (Proposed)]]+Table66[[#This Row],[Year 3 (Proposed)]]+Table66[[#This Row],[Year 4 (Proposed)]]+Table66[[#This Row],[Year 5 (Proposed)]]+Table66[[#This Row],[Year 6 (Proposed)]]</f>
        <v>0</v>
      </c>
      <c r="T758" s="403" t="b">
        <f ca="1">Table66[[#This Row],[Total Specifed in RFO - N/A]]=Table66[[#This Row],[Total Proposed]]</f>
        <v>1</v>
      </c>
      <c r="U758" s="439"/>
      <c r="V758" s="441">
        <f ca="1">Table66[[#This Row],[Year 6 (Specified in RFO) - N/A]]-Table66[[#This Row],[Column1]]</f>
        <v>0</v>
      </c>
    </row>
    <row r="759" spans="1:22" ht="16.5" thickBot="1">
      <c r="A759" s="227"/>
      <c r="B759" s="319"/>
      <c r="C759" s="319"/>
      <c r="D759" s="320"/>
      <c r="E759" s="320"/>
      <c r="F759" s="190"/>
      <c r="G7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9" s="190"/>
      <c r="I7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9" s="190"/>
      <c r="K7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9" s="190"/>
      <c r="M7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9" s="190"/>
      <c r="O7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9" s="190"/>
      <c r="Q7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9" s="192">
        <f ca="1">Table66[[#This Row],[Year 1 (Specified in RFO) - N/A]]+Table66[[#This Row],[Year 2 (Specified in RFO) - N/A]]+Table66[[#This Row],[Year 3 (Specified in RFO) - N/A]]+Table66[[#This Row],[Year 4 (Specified in RFO) - N/A]]+Table66[[#This Row],[Year 5 (Specified in RFO) - N/A]]+Table66[[#This Row],[Year 6 (Specified in RFO) - N/A]]</f>
        <v>0</v>
      </c>
      <c r="S759" s="402">
        <f ca="1">Table66[[#This Row],[Year 1  (Proposed)]]+Table66[[#This Row],[Year 2 (Proposed)]]+Table66[[#This Row],[Year 3 (Proposed)]]+Table66[[#This Row],[Year 4 (Proposed)]]+Table66[[#This Row],[Year 5 (Proposed)]]+Table66[[#This Row],[Year 6 (Proposed)]]</f>
        <v>0</v>
      </c>
      <c r="T759" s="403" t="b">
        <f ca="1">Table66[[#This Row],[Total Specifed in RFO - N/A]]=Table66[[#This Row],[Total Proposed]]</f>
        <v>1</v>
      </c>
      <c r="U759" s="439"/>
      <c r="V759" s="441">
        <f ca="1">Table66[[#This Row],[Year 6 (Specified in RFO) - N/A]]-Table66[[#This Row],[Column1]]</f>
        <v>0</v>
      </c>
    </row>
    <row r="760" spans="1:22" ht="16.5" thickBot="1">
      <c r="A760" s="227"/>
      <c r="B760" s="227"/>
      <c r="C760" s="227"/>
      <c r="D760" s="320"/>
      <c r="E760" s="231"/>
      <c r="F760" s="190"/>
      <c r="G7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0" s="190"/>
      <c r="I7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0" s="190"/>
      <c r="K7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0" s="190"/>
      <c r="M7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0" s="190"/>
      <c r="O7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0" s="190"/>
      <c r="Q7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0" s="192">
        <f ca="1">Table66[[#This Row],[Year 1 (Specified in RFO) - N/A]]+Table66[[#This Row],[Year 2 (Specified in RFO) - N/A]]+Table66[[#This Row],[Year 3 (Specified in RFO) - N/A]]+Table66[[#This Row],[Year 4 (Specified in RFO) - N/A]]+Table66[[#This Row],[Year 5 (Specified in RFO) - N/A]]+Table66[[#This Row],[Year 6 (Specified in RFO) - N/A]]</f>
        <v>0</v>
      </c>
      <c r="S760" s="402">
        <f ca="1">Table66[[#This Row],[Year 1  (Proposed)]]+Table66[[#This Row],[Year 2 (Proposed)]]+Table66[[#This Row],[Year 3 (Proposed)]]+Table66[[#This Row],[Year 4 (Proposed)]]+Table66[[#This Row],[Year 5 (Proposed)]]+Table66[[#This Row],[Year 6 (Proposed)]]</f>
        <v>0</v>
      </c>
      <c r="T760" s="403" t="b">
        <f ca="1">Table66[[#This Row],[Total Specifed in RFO - N/A]]=Table66[[#This Row],[Total Proposed]]</f>
        <v>1</v>
      </c>
      <c r="U760" s="439"/>
      <c r="V760" s="441">
        <f ca="1">Table66[[#This Row],[Year 6 (Specified in RFO) - N/A]]-Table66[[#This Row],[Column1]]</f>
        <v>0</v>
      </c>
    </row>
    <row r="761" spans="1:22" ht="16.5" thickBot="1">
      <c r="A761" s="227"/>
      <c r="B761" s="227"/>
      <c r="C761" s="227"/>
      <c r="D761" s="320"/>
      <c r="E761" s="231"/>
      <c r="F761" s="190"/>
      <c r="G7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1" s="190"/>
      <c r="I7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1" s="190"/>
      <c r="K7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1" s="190"/>
      <c r="M7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1" s="190"/>
      <c r="O7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1" s="190"/>
      <c r="Q7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1" s="192">
        <f ca="1">Table66[[#This Row],[Year 1 (Specified in RFO) - N/A]]+Table66[[#This Row],[Year 2 (Specified in RFO) - N/A]]+Table66[[#This Row],[Year 3 (Specified in RFO) - N/A]]+Table66[[#This Row],[Year 4 (Specified in RFO) - N/A]]+Table66[[#This Row],[Year 5 (Specified in RFO) - N/A]]+Table66[[#This Row],[Year 6 (Specified in RFO) - N/A]]</f>
        <v>0</v>
      </c>
      <c r="S761" s="402">
        <f ca="1">Table66[[#This Row],[Year 1  (Proposed)]]+Table66[[#This Row],[Year 2 (Proposed)]]+Table66[[#This Row],[Year 3 (Proposed)]]+Table66[[#This Row],[Year 4 (Proposed)]]+Table66[[#This Row],[Year 5 (Proposed)]]+Table66[[#This Row],[Year 6 (Proposed)]]</f>
        <v>0</v>
      </c>
      <c r="T761" s="403" t="b">
        <f ca="1">Table66[[#This Row],[Total Specifed in RFO - N/A]]=Table66[[#This Row],[Total Proposed]]</f>
        <v>1</v>
      </c>
      <c r="U761" s="439"/>
      <c r="V761" s="441">
        <f ca="1">Table66[[#This Row],[Year 6 (Specified in RFO) - N/A]]-Table66[[#This Row],[Column1]]</f>
        <v>0</v>
      </c>
    </row>
    <row r="762" spans="1:22" ht="16.5" thickBot="1">
      <c r="A762" s="227"/>
      <c r="B762" s="319"/>
      <c r="C762" s="319"/>
      <c r="D762" s="320"/>
      <c r="E762" s="320"/>
      <c r="F762" s="190"/>
      <c r="G7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2" s="190"/>
      <c r="I7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2" s="190"/>
      <c r="K7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2" s="190"/>
      <c r="M7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2" s="190"/>
      <c r="O7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2" s="190"/>
      <c r="Q7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2" s="192">
        <f ca="1">Table66[[#This Row],[Year 1 (Specified in RFO) - N/A]]+Table66[[#This Row],[Year 2 (Specified in RFO) - N/A]]+Table66[[#This Row],[Year 3 (Specified in RFO) - N/A]]+Table66[[#This Row],[Year 4 (Specified in RFO) - N/A]]+Table66[[#This Row],[Year 5 (Specified in RFO) - N/A]]+Table66[[#This Row],[Year 6 (Specified in RFO) - N/A]]</f>
        <v>0</v>
      </c>
      <c r="S762" s="402">
        <f ca="1">Table66[[#This Row],[Year 1  (Proposed)]]+Table66[[#This Row],[Year 2 (Proposed)]]+Table66[[#This Row],[Year 3 (Proposed)]]+Table66[[#This Row],[Year 4 (Proposed)]]+Table66[[#This Row],[Year 5 (Proposed)]]+Table66[[#This Row],[Year 6 (Proposed)]]</f>
        <v>0</v>
      </c>
      <c r="T762" s="403" t="b">
        <f ca="1">Table66[[#This Row],[Total Specifed in RFO - N/A]]=Table66[[#This Row],[Total Proposed]]</f>
        <v>1</v>
      </c>
      <c r="U762" s="439"/>
      <c r="V762" s="441">
        <f ca="1">Table66[[#This Row],[Year 6 (Specified in RFO) - N/A]]-Table66[[#This Row],[Column1]]</f>
        <v>0</v>
      </c>
    </row>
    <row r="763" spans="1:22" ht="16.5" thickBot="1">
      <c r="A763" s="227"/>
      <c r="B763" s="227"/>
      <c r="C763" s="227"/>
      <c r="D763" s="320"/>
      <c r="E763" s="231"/>
      <c r="F763" s="190"/>
      <c r="G7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3" s="190"/>
      <c r="I7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3" s="190"/>
      <c r="K7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3" s="190"/>
      <c r="M7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3" s="190"/>
      <c r="O7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3" s="190"/>
      <c r="Q7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3" s="192">
        <f ca="1">Table66[[#This Row],[Year 1 (Specified in RFO) - N/A]]+Table66[[#This Row],[Year 2 (Specified in RFO) - N/A]]+Table66[[#This Row],[Year 3 (Specified in RFO) - N/A]]+Table66[[#This Row],[Year 4 (Specified in RFO) - N/A]]+Table66[[#This Row],[Year 5 (Specified in RFO) - N/A]]+Table66[[#This Row],[Year 6 (Specified in RFO) - N/A]]</f>
        <v>0</v>
      </c>
      <c r="S763" s="402">
        <f ca="1">Table66[[#This Row],[Year 1  (Proposed)]]+Table66[[#This Row],[Year 2 (Proposed)]]+Table66[[#This Row],[Year 3 (Proposed)]]+Table66[[#This Row],[Year 4 (Proposed)]]+Table66[[#This Row],[Year 5 (Proposed)]]+Table66[[#This Row],[Year 6 (Proposed)]]</f>
        <v>0</v>
      </c>
      <c r="T763" s="403" t="b">
        <f ca="1">Table66[[#This Row],[Total Specifed in RFO - N/A]]=Table66[[#This Row],[Total Proposed]]</f>
        <v>1</v>
      </c>
      <c r="U763" s="439"/>
      <c r="V763" s="441">
        <f ca="1">Table66[[#This Row],[Year 6 (Specified in RFO) - N/A]]-Table66[[#This Row],[Column1]]</f>
        <v>0</v>
      </c>
    </row>
    <row r="764" spans="1:22" ht="16.5" thickBot="1">
      <c r="A764" s="227"/>
      <c r="B764" s="227"/>
      <c r="C764" s="227"/>
      <c r="D764" s="320"/>
      <c r="E764" s="231"/>
      <c r="F764" s="190"/>
      <c r="G7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4" s="190"/>
      <c r="I7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4" s="190"/>
      <c r="K7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4" s="190"/>
      <c r="M7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4" s="190"/>
      <c r="O7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4" s="190"/>
      <c r="Q7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4" s="192">
        <f ca="1">Table66[[#This Row],[Year 1 (Specified in RFO) - N/A]]+Table66[[#This Row],[Year 2 (Specified in RFO) - N/A]]+Table66[[#This Row],[Year 3 (Specified in RFO) - N/A]]+Table66[[#This Row],[Year 4 (Specified in RFO) - N/A]]+Table66[[#This Row],[Year 5 (Specified in RFO) - N/A]]+Table66[[#This Row],[Year 6 (Specified in RFO) - N/A]]</f>
        <v>0</v>
      </c>
      <c r="S764" s="402">
        <f ca="1">Table66[[#This Row],[Year 1  (Proposed)]]+Table66[[#This Row],[Year 2 (Proposed)]]+Table66[[#This Row],[Year 3 (Proposed)]]+Table66[[#This Row],[Year 4 (Proposed)]]+Table66[[#This Row],[Year 5 (Proposed)]]+Table66[[#This Row],[Year 6 (Proposed)]]</f>
        <v>0</v>
      </c>
      <c r="T764" s="403" t="b">
        <f ca="1">Table66[[#This Row],[Total Specifed in RFO - N/A]]=Table66[[#This Row],[Total Proposed]]</f>
        <v>1</v>
      </c>
      <c r="U764" s="439"/>
      <c r="V764" s="441">
        <f ca="1">Table66[[#This Row],[Year 6 (Specified in RFO) - N/A]]-Table66[[#This Row],[Column1]]</f>
        <v>0</v>
      </c>
    </row>
    <row r="765" spans="1:22" ht="16.5" thickBot="1">
      <c r="A765" s="227"/>
      <c r="B765" s="319"/>
      <c r="C765" s="319"/>
      <c r="D765" s="320"/>
      <c r="E765" s="320"/>
      <c r="F765" s="190"/>
      <c r="G7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5" s="190"/>
      <c r="I7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5" s="190"/>
      <c r="K7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5" s="190"/>
      <c r="M7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5" s="190"/>
      <c r="O7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5" s="190"/>
      <c r="Q7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5" s="192">
        <f ca="1">Table66[[#This Row],[Year 1 (Specified in RFO) - N/A]]+Table66[[#This Row],[Year 2 (Specified in RFO) - N/A]]+Table66[[#This Row],[Year 3 (Specified in RFO) - N/A]]+Table66[[#This Row],[Year 4 (Specified in RFO) - N/A]]+Table66[[#This Row],[Year 5 (Specified in RFO) - N/A]]+Table66[[#This Row],[Year 6 (Specified in RFO) - N/A]]</f>
        <v>0</v>
      </c>
      <c r="S765" s="402">
        <f ca="1">Table66[[#This Row],[Year 1  (Proposed)]]+Table66[[#This Row],[Year 2 (Proposed)]]+Table66[[#This Row],[Year 3 (Proposed)]]+Table66[[#This Row],[Year 4 (Proposed)]]+Table66[[#This Row],[Year 5 (Proposed)]]+Table66[[#This Row],[Year 6 (Proposed)]]</f>
        <v>0</v>
      </c>
      <c r="T765" s="403" t="b">
        <f ca="1">Table66[[#This Row],[Total Specifed in RFO - N/A]]=Table66[[#This Row],[Total Proposed]]</f>
        <v>1</v>
      </c>
      <c r="U765" s="439"/>
      <c r="V765" s="441">
        <f ca="1">Table66[[#This Row],[Year 6 (Specified in RFO) - N/A]]-Table66[[#This Row],[Column1]]</f>
        <v>0</v>
      </c>
    </row>
    <row r="766" spans="1:22" ht="16.5" thickBot="1">
      <c r="A766" s="227"/>
      <c r="B766" s="227"/>
      <c r="C766" s="227"/>
      <c r="D766" s="320"/>
      <c r="E766" s="231"/>
      <c r="F766" s="190"/>
      <c r="G7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6" s="190"/>
      <c r="I7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6" s="190"/>
      <c r="K7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6" s="190"/>
      <c r="M7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6" s="190"/>
      <c r="O7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6" s="190"/>
      <c r="Q7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6" s="192">
        <f ca="1">Table66[[#This Row],[Year 1 (Specified in RFO) - N/A]]+Table66[[#This Row],[Year 2 (Specified in RFO) - N/A]]+Table66[[#This Row],[Year 3 (Specified in RFO) - N/A]]+Table66[[#This Row],[Year 4 (Specified in RFO) - N/A]]+Table66[[#This Row],[Year 5 (Specified in RFO) - N/A]]+Table66[[#This Row],[Year 6 (Specified in RFO) - N/A]]</f>
        <v>0</v>
      </c>
      <c r="S766" s="402">
        <f ca="1">Table66[[#This Row],[Year 1  (Proposed)]]+Table66[[#This Row],[Year 2 (Proposed)]]+Table66[[#This Row],[Year 3 (Proposed)]]+Table66[[#This Row],[Year 4 (Proposed)]]+Table66[[#This Row],[Year 5 (Proposed)]]+Table66[[#This Row],[Year 6 (Proposed)]]</f>
        <v>0</v>
      </c>
      <c r="T766" s="403" t="b">
        <f ca="1">Table66[[#This Row],[Total Specifed in RFO - N/A]]=Table66[[#This Row],[Total Proposed]]</f>
        <v>1</v>
      </c>
      <c r="U766" s="439"/>
      <c r="V766" s="441">
        <f ca="1">Table66[[#This Row],[Year 6 (Specified in RFO) - N/A]]-Table66[[#This Row],[Column1]]</f>
        <v>0</v>
      </c>
    </row>
    <row r="767" spans="1:22" ht="16.5" thickBot="1">
      <c r="A767" s="227"/>
      <c r="B767" s="227"/>
      <c r="C767" s="227"/>
      <c r="D767" s="320"/>
      <c r="E767" s="231"/>
      <c r="F767" s="190"/>
      <c r="G7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7" s="190"/>
      <c r="I7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7" s="190"/>
      <c r="K7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7" s="190"/>
      <c r="M7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7" s="190"/>
      <c r="O7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7" s="190"/>
      <c r="Q7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7" s="192">
        <f ca="1">Table66[[#This Row],[Year 1 (Specified in RFO) - N/A]]+Table66[[#This Row],[Year 2 (Specified in RFO) - N/A]]+Table66[[#This Row],[Year 3 (Specified in RFO) - N/A]]+Table66[[#This Row],[Year 4 (Specified in RFO) - N/A]]+Table66[[#This Row],[Year 5 (Specified in RFO) - N/A]]+Table66[[#This Row],[Year 6 (Specified in RFO) - N/A]]</f>
        <v>0</v>
      </c>
      <c r="S767" s="402">
        <f ca="1">Table66[[#This Row],[Year 1  (Proposed)]]+Table66[[#This Row],[Year 2 (Proposed)]]+Table66[[#This Row],[Year 3 (Proposed)]]+Table66[[#This Row],[Year 4 (Proposed)]]+Table66[[#This Row],[Year 5 (Proposed)]]+Table66[[#This Row],[Year 6 (Proposed)]]</f>
        <v>0</v>
      </c>
      <c r="T767" s="403" t="b">
        <f ca="1">Table66[[#This Row],[Total Specifed in RFO - N/A]]=Table66[[#This Row],[Total Proposed]]</f>
        <v>1</v>
      </c>
      <c r="U767" s="439"/>
      <c r="V767" s="441">
        <f ca="1">Table66[[#This Row],[Year 6 (Specified in RFO) - N/A]]-Table66[[#This Row],[Column1]]</f>
        <v>0</v>
      </c>
    </row>
    <row r="768" spans="1:22" ht="16.5" thickBot="1">
      <c r="A768" s="227"/>
      <c r="B768" s="319"/>
      <c r="C768" s="319"/>
      <c r="D768" s="320"/>
      <c r="E768" s="320"/>
      <c r="F768" s="190"/>
      <c r="G7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8" s="190"/>
      <c r="I7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8" s="190"/>
      <c r="K7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8" s="190"/>
      <c r="M7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8" s="190"/>
      <c r="O7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8" s="190"/>
      <c r="Q7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8" s="192">
        <f ca="1">Table66[[#This Row],[Year 1 (Specified in RFO) - N/A]]+Table66[[#This Row],[Year 2 (Specified in RFO) - N/A]]+Table66[[#This Row],[Year 3 (Specified in RFO) - N/A]]+Table66[[#This Row],[Year 4 (Specified in RFO) - N/A]]+Table66[[#This Row],[Year 5 (Specified in RFO) - N/A]]+Table66[[#This Row],[Year 6 (Specified in RFO) - N/A]]</f>
        <v>0</v>
      </c>
      <c r="S768" s="402">
        <f ca="1">Table66[[#This Row],[Year 1  (Proposed)]]+Table66[[#This Row],[Year 2 (Proposed)]]+Table66[[#This Row],[Year 3 (Proposed)]]+Table66[[#This Row],[Year 4 (Proposed)]]+Table66[[#This Row],[Year 5 (Proposed)]]+Table66[[#This Row],[Year 6 (Proposed)]]</f>
        <v>0</v>
      </c>
      <c r="T768" s="403" t="b">
        <f ca="1">Table66[[#This Row],[Total Specifed in RFO - N/A]]=Table66[[#This Row],[Total Proposed]]</f>
        <v>1</v>
      </c>
      <c r="U768" s="439"/>
      <c r="V768" s="441">
        <f ca="1">Table66[[#This Row],[Year 6 (Specified in RFO) - N/A]]-Table66[[#This Row],[Column1]]</f>
        <v>0</v>
      </c>
    </row>
    <row r="769" spans="1:22" ht="16.5" thickBot="1">
      <c r="A769" s="227"/>
      <c r="B769" s="227"/>
      <c r="C769" s="227"/>
      <c r="D769" s="320"/>
      <c r="E769" s="231"/>
      <c r="F769" s="190"/>
      <c r="G7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9" s="190"/>
      <c r="I7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9" s="190"/>
      <c r="K7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9" s="190"/>
      <c r="M7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9" s="190"/>
      <c r="O7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9" s="190"/>
      <c r="Q7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9" s="192">
        <f ca="1">Table66[[#This Row],[Year 1 (Specified in RFO) - N/A]]+Table66[[#This Row],[Year 2 (Specified in RFO) - N/A]]+Table66[[#This Row],[Year 3 (Specified in RFO) - N/A]]+Table66[[#This Row],[Year 4 (Specified in RFO) - N/A]]+Table66[[#This Row],[Year 5 (Specified in RFO) - N/A]]+Table66[[#This Row],[Year 6 (Specified in RFO) - N/A]]</f>
        <v>0</v>
      </c>
      <c r="S769" s="402">
        <f ca="1">Table66[[#This Row],[Year 1  (Proposed)]]+Table66[[#This Row],[Year 2 (Proposed)]]+Table66[[#This Row],[Year 3 (Proposed)]]+Table66[[#This Row],[Year 4 (Proposed)]]+Table66[[#This Row],[Year 5 (Proposed)]]+Table66[[#This Row],[Year 6 (Proposed)]]</f>
        <v>0</v>
      </c>
      <c r="T769" s="403" t="b">
        <f ca="1">Table66[[#This Row],[Total Specifed in RFO - N/A]]=Table66[[#This Row],[Total Proposed]]</f>
        <v>1</v>
      </c>
      <c r="U769" s="439"/>
      <c r="V769" s="441">
        <f ca="1">Table66[[#This Row],[Year 6 (Specified in RFO) - N/A]]-Table66[[#This Row],[Column1]]</f>
        <v>0</v>
      </c>
    </row>
    <row r="770" spans="1:22" ht="16.5" thickBot="1">
      <c r="A770" s="227"/>
      <c r="B770" s="227"/>
      <c r="C770" s="227"/>
      <c r="D770" s="320"/>
      <c r="E770" s="231"/>
      <c r="F770" s="190"/>
      <c r="G7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0" s="190"/>
      <c r="I7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0" s="190"/>
      <c r="K7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0" s="190"/>
      <c r="M7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0" s="190"/>
      <c r="O7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0" s="190"/>
      <c r="Q7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0" s="192">
        <f ca="1">Table66[[#This Row],[Year 1 (Specified in RFO) - N/A]]+Table66[[#This Row],[Year 2 (Specified in RFO) - N/A]]+Table66[[#This Row],[Year 3 (Specified in RFO) - N/A]]+Table66[[#This Row],[Year 4 (Specified in RFO) - N/A]]+Table66[[#This Row],[Year 5 (Specified in RFO) - N/A]]+Table66[[#This Row],[Year 6 (Specified in RFO) - N/A]]</f>
        <v>0</v>
      </c>
      <c r="S770" s="402">
        <f ca="1">Table66[[#This Row],[Year 1  (Proposed)]]+Table66[[#This Row],[Year 2 (Proposed)]]+Table66[[#This Row],[Year 3 (Proposed)]]+Table66[[#This Row],[Year 4 (Proposed)]]+Table66[[#This Row],[Year 5 (Proposed)]]+Table66[[#This Row],[Year 6 (Proposed)]]</f>
        <v>0</v>
      </c>
      <c r="T770" s="403" t="b">
        <f ca="1">Table66[[#This Row],[Total Specifed in RFO - N/A]]=Table66[[#This Row],[Total Proposed]]</f>
        <v>1</v>
      </c>
      <c r="U770" s="439"/>
      <c r="V770" s="441">
        <f ca="1">Table66[[#This Row],[Year 6 (Specified in RFO) - N/A]]-Table66[[#This Row],[Column1]]</f>
        <v>0</v>
      </c>
    </row>
    <row r="771" spans="1:22" ht="16.5" thickBot="1">
      <c r="A771" s="227"/>
      <c r="B771" s="319"/>
      <c r="C771" s="319"/>
      <c r="D771" s="320"/>
      <c r="E771" s="320"/>
      <c r="F771" s="190"/>
      <c r="G7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1" s="190"/>
      <c r="I7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1" s="190"/>
      <c r="K7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1" s="190"/>
      <c r="M7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1" s="190"/>
      <c r="O7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1" s="190"/>
      <c r="Q7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1" s="192">
        <f ca="1">Table66[[#This Row],[Year 1 (Specified in RFO) - N/A]]+Table66[[#This Row],[Year 2 (Specified in RFO) - N/A]]+Table66[[#This Row],[Year 3 (Specified in RFO) - N/A]]+Table66[[#This Row],[Year 4 (Specified in RFO) - N/A]]+Table66[[#This Row],[Year 5 (Specified in RFO) - N/A]]+Table66[[#This Row],[Year 6 (Specified in RFO) - N/A]]</f>
        <v>0</v>
      </c>
      <c r="S771" s="402">
        <f ca="1">Table66[[#This Row],[Year 1  (Proposed)]]+Table66[[#This Row],[Year 2 (Proposed)]]+Table66[[#This Row],[Year 3 (Proposed)]]+Table66[[#This Row],[Year 4 (Proposed)]]+Table66[[#This Row],[Year 5 (Proposed)]]+Table66[[#This Row],[Year 6 (Proposed)]]</f>
        <v>0</v>
      </c>
      <c r="T771" s="403" t="b">
        <f ca="1">Table66[[#This Row],[Total Specifed in RFO - N/A]]=Table66[[#This Row],[Total Proposed]]</f>
        <v>1</v>
      </c>
      <c r="U771" s="439"/>
      <c r="V771" s="441">
        <f ca="1">Table66[[#This Row],[Year 6 (Specified in RFO) - N/A]]-Table66[[#This Row],[Column1]]</f>
        <v>0</v>
      </c>
    </row>
    <row r="772" spans="1:22" ht="16.5" thickBot="1">
      <c r="A772" s="227"/>
      <c r="B772" s="227"/>
      <c r="C772" s="227"/>
      <c r="D772" s="320"/>
      <c r="E772" s="231"/>
      <c r="F772" s="190"/>
      <c r="G7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2" s="190"/>
      <c r="I7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2" s="190"/>
      <c r="K7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2" s="190"/>
      <c r="M7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2" s="190"/>
      <c r="O7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2" s="190"/>
      <c r="Q7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2" s="192">
        <f ca="1">Table66[[#This Row],[Year 1 (Specified in RFO) - N/A]]+Table66[[#This Row],[Year 2 (Specified in RFO) - N/A]]+Table66[[#This Row],[Year 3 (Specified in RFO) - N/A]]+Table66[[#This Row],[Year 4 (Specified in RFO) - N/A]]+Table66[[#This Row],[Year 5 (Specified in RFO) - N/A]]+Table66[[#This Row],[Year 6 (Specified in RFO) - N/A]]</f>
        <v>0</v>
      </c>
      <c r="S772" s="402">
        <f ca="1">Table66[[#This Row],[Year 1  (Proposed)]]+Table66[[#This Row],[Year 2 (Proposed)]]+Table66[[#This Row],[Year 3 (Proposed)]]+Table66[[#This Row],[Year 4 (Proposed)]]+Table66[[#This Row],[Year 5 (Proposed)]]+Table66[[#This Row],[Year 6 (Proposed)]]</f>
        <v>0</v>
      </c>
      <c r="T772" s="403" t="b">
        <f ca="1">Table66[[#This Row],[Total Specifed in RFO - N/A]]=Table66[[#This Row],[Total Proposed]]</f>
        <v>1</v>
      </c>
      <c r="U772" s="439"/>
      <c r="V772" s="441">
        <f ca="1">Table66[[#This Row],[Year 6 (Specified in RFO) - N/A]]-Table66[[#This Row],[Column1]]</f>
        <v>0</v>
      </c>
    </row>
    <row r="773" spans="1:22" ht="16.5" thickBot="1">
      <c r="A773" s="227"/>
      <c r="B773" s="227"/>
      <c r="C773" s="227"/>
      <c r="D773" s="320"/>
      <c r="E773" s="231"/>
      <c r="F773" s="190"/>
      <c r="G7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3" s="190"/>
      <c r="I7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3" s="190"/>
      <c r="K7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3" s="190"/>
      <c r="M7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3" s="190"/>
      <c r="O7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3" s="190"/>
      <c r="Q7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3" s="192">
        <f ca="1">Table66[[#This Row],[Year 1 (Specified in RFO) - N/A]]+Table66[[#This Row],[Year 2 (Specified in RFO) - N/A]]+Table66[[#This Row],[Year 3 (Specified in RFO) - N/A]]+Table66[[#This Row],[Year 4 (Specified in RFO) - N/A]]+Table66[[#This Row],[Year 5 (Specified in RFO) - N/A]]+Table66[[#This Row],[Year 6 (Specified in RFO) - N/A]]</f>
        <v>0</v>
      </c>
      <c r="S773" s="402">
        <f ca="1">Table66[[#This Row],[Year 1  (Proposed)]]+Table66[[#This Row],[Year 2 (Proposed)]]+Table66[[#This Row],[Year 3 (Proposed)]]+Table66[[#This Row],[Year 4 (Proposed)]]+Table66[[#This Row],[Year 5 (Proposed)]]+Table66[[#This Row],[Year 6 (Proposed)]]</f>
        <v>0</v>
      </c>
      <c r="T773" s="403" t="b">
        <f ca="1">Table66[[#This Row],[Total Specifed in RFO - N/A]]=Table66[[#This Row],[Total Proposed]]</f>
        <v>1</v>
      </c>
      <c r="U773" s="439"/>
      <c r="V773" s="441">
        <f ca="1">Table66[[#This Row],[Year 6 (Specified in RFO) - N/A]]-Table66[[#This Row],[Column1]]</f>
        <v>0</v>
      </c>
    </row>
    <row r="774" spans="1:22" ht="16.5" thickBot="1">
      <c r="A774" s="227"/>
      <c r="B774" s="319"/>
      <c r="C774" s="319"/>
      <c r="D774" s="320"/>
      <c r="E774" s="320"/>
      <c r="F774" s="190"/>
      <c r="G7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4" s="190"/>
      <c r="I7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4" s="190"/>
      <c r="K7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4" s="190"/>
      <c r="M7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4" s="190"/>
      <c r="O7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4" s="190"/>
      <c r="Q7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4" s="192">
        <f ca="1">Table66[[#This Row],[Year 1 (Specified in RFO) - N/A]]+Table66[[#This Row],[Year 2 (Specified in RFO) - N/A]]+Table66[[#This Row],[Year 3 (Specified in RFO) - N/A]]+Table66[[#This Row],[Year 4 (Specified in RFO) - N/A]]+Table66[[#This Row],[Year 5 (Specified in RFO) - N/A]]+Table66[[#This Row],[Year 6 (Specified in RFO) - N/A]]</f>
        <v>0</v>
      </c>
      <c r="S774" s="402">
        <f ca="1">Table66[[#This Row],[Year 1  (Proposed)]]+Table66[[#This Row],[Year 2 (Proposed)]]+Table66[[#This Row],[Year 3 (Proposed)]]+Table66[[#This Row],[Year 4 (Proposed)]]+Table66[[#This Row],[Year 5 (Proposed)]]+Table66[[#This Row],[Year 6 (Proposed)]]</f>
        <v>0</v>
      </c>
      <c r="T774" s="403" t="b">
        <f ca="1">Table66[[#This Row],[Total Specifed in RFO - N/A]]=Table66[[#This Row],[Total Proposed]]</f>
        <v>1</v>
      </c>
      <c r="U774" s="439"/>
      <c r="V774" s="441">
        <f ca="1">Table66[[#This Row],[Year 6 (Specified in RFO) - N/A]]-Table66[[#This Row],[Column1]]</f>
        <v>0</v>
      </c>
    </row>
    <row r="775" spans="1:22" ht="16.5" thickBot="1">
      <c r="A775" s="319"/>
      <c r="B775" s="319"/>
      <c r="C775" s="319"/>
      <c r="D775" s="320"/>
      <c r="E775" s="320"/>
      <c r="F775" s="190"/>
      <c r="G7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5" s="190"/>
      <c r="I7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5" s="190"/>
      <c r="K7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5" s="190"/>
      <c r="M7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5" s="190"/>
      <c r="O7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5" s="190"/>
      <c r="Q7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5" s="192">
        <f ca="1">Table66[[#This Row],[Year 1 (Specified in RFO) - N/A]]+Table66[[#This Row],[Year 2 (Specified in RFO) - N/A]]+Table66[[#This Row],[Year 3 (Specified in RFO) - N/A]]+Table66[[#This Row],[Year 4 (Specified in RFO) - N/A]]+Table66[[#This Row],[Year 5 (Specified in RFO) - N/A]]+Table66[[#This Row],[Year 6 (Specified in RFO) - N/A]]</f>
        <v>0</v>
      </c>
      <c r="S775" s="402">
        <f ca="1">Table66[[#This Row],[Year 1  (Proposed)]]+Table66[[#This Row],[Year 2 (Proposed)]]+Table66[[#This Row],[Year 3 (Proposed)]]+Table66[[#This Row],[Year 4 (Proposed)]]+Table66[[#This Row],[Year 5 (Proposed)]]+Table66[[#This Row],[Year 6 (Proposed)]]</f>
        <v>0</v>
      </c>
      <c r="T775" s="403" t="b">
        <f ca="1">Table66[[#This Row],[Total Specifed in RFO - N/A]]=Table66[[#This Row],[Total Proposed]]</f>
        <v>1</v>
      </c>
      <c r="U775" s="439"/>
      <c r="V775" s="441">
        <f ca="1">Table66[[#This Row],[Year 6 (Specified in RFO) - N/A]]-Table66[[#This Row],[Column1]]</f>
        <v>0</v>
      </c>
    </row>
    <row r="776" spans="1:22" ht="16.5" thickBot="1">
      <c r="A776" s="319"/>
      <c r="B776" s="319"/>
      <c r="C776" s="319"/>
      <c r="D776" s="320"/>
      <c r="E776" s="320"/>
      <c r="F776" s="190"/>
      <c r="G7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6" s="190"/>
      <c r="I7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6" s="190"/>
      <c r="K7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6" s="190"/>
      <c r="M7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6" s="190"/>
      <c r="O7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6" s="190"/>
      <c r="Q7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6" s="192">
        <f ca="1">Table66[[#This Row],[Year 1 (Specified in RFO) - N/A]]+Table66[[#This Row],[Year 2 (Specified in RFO) - N/A]]+Table66[[#This Row],[Year 3 (Specified in RFO) - N/A]]+Table66[[#This Row],[Year 4 (Specified in RFO) - N/A]]+Table66[[#This Row],[Year 5 (Specified in RFO) - N/A]]+Table66[[#This Row],[Year 6 (Specified in RFO) - N/A]]</f>
        <v>0</v>
      </c>
      <c r="S776" s="402">
        <f ca="1">Table66[[#This Row],[Year 1  (Proposed)]]+Table66[[#This Row],[Year 2 (Proposed)]]+Table66[[#This Row],[Year 3 (Proposed)]]+Table66[[#This Row],[Year 4 (Proposed)]]+Table66[[#This Row],[Year 5 (Proposed)]]+Table66[[#This Row],[Year 6 (Proposed)]]</f>
        <v>0</v>
      </c>
      <c r="T776" s="403" t="b">
        <f ca="1">Table66[[#This Row],[Total Specifed in RFO - N/A]]=Table66[[#This Row],[Total Proposed]]</f>
        <v>1</v>
      </c>
      <c r="U776" s="439"/>
      <c r="V776" s="441">
        <f ca="1">Table66[[#This Row],[Year 6 (Specified in RFO) - N/A]]-Table66[[#This Row],[Column1]]</f>
        <v>0</v>
      </c>
    </row>
    <row r="777" spans="1:22" ht="16.5" thickBot="1">
      <c r="A777" s="227"/>
      <c r="B777" s="319"/>
      <c r="C777" s="319"/>
      <c r="D777" s="320"/>
      <c r="E777" s="320"/>
      <c r="F777" s="190"/>
      <c r="G7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7" s="190"/>
      <c r="I7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7" s="190"/>
      <c r="K7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7" s="190"/>
      <c r="M7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7" s="190"/>
      <c r="O7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7" s="190"/>
      <c r="Q7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7" s="192">
        <f ca="1">Table66[[#This Row],[Year 1 (Specified in RFO) - N/A]]+Table66[[#This Row],[Year 2 (Specified in RFO) - N/A]]+Table66[[#This Row],[Year 3 (Specified in RFO) - N/A]]+Table66[[#This Row],[Year 4 (Specified in RFO) - N/A]]+Table66[[#This Row],[Year 5 (Specified in RFO) - N/A]]+Table66[[#This Row],[Year 6 (Specified in RFO) - N/A]]</f>
        <v>0</v>
      </c>
      <c r="S777" s="402">
        <f ca="1">Table66[[#This Row],[Year 1  (Proposed)]]+Table66[[#This Row],[Year 2 (Proposed)]]+Table66[[#This Row],[Year 3 (Proposed)]]+Table66[[#This Row],[Year 4 (Proposed)]]+Table66[[#This Row],[Year 5 (Proposed)]]+Table66[[#This Row],[Year 6 (Proposed)]]</f>
        <v>0</v>
      </c>
      <c r="T777" s="403" t="b">
        <f ca="1">Table66[[#This Row],[Total Specifed in RFO - N/A]]=Table66[[#This Row],[Total Proposed]]</f>
        <v>1</v>
      </c>
      <c r="U777" s="439"/>
      <c r="V777" s="441">
        <f ca="1">Table66[[#This Row],[Year 6 (Specified in RFO) - N/A]]-Table66[[#This Row],[Column1]]</f>
        <v>0</v>
      </c>
    </row>
    <row r="778" spans="1:22" ht="16.5" thickBot="1">
      <c r="A778" s="319"/>
      <c r="B778" s="319"/>
      <c r="C778" s="319"/>
      <c r="D778" s="320"/>
      <c r="E778" s="320"/>
      <c r="F778" s="190"/>
      <c r="G7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8" s="190"/>
      <c r="I7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8" s="190"/>
      <c r="K7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8" s="190"/>
      <c r="M7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8" s="190"/>
      <c r="O7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8" s="190"/>
      <c r="Q7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8" s="192">
        <f ca="1">Table66[[#This Row],[Year 1 (Specified in RFO) - N/A]]+Table66[[#This Row],[Year 2 (Specified in RFO) - N/A]]+Table66[[#This Row],[Year 3 (Specified in RFO) - N/A]]+Table66[[#This Row],[Year 4 (Specified in RFO) - N/A]]+Table66[[#This Row],[Year 5 (Specified in RFO) - N/A]]+Table66[[#This Row],[Year 6 (Specified in RFO) - N/A]]</f>
        <v>0</v>
      </c>
      <c r="S778" s="402">
        <f ca="1">Table66[[#This Row],[Year 1  (Proposed)]]+Table66[[#This Row],[Year 2 (Proposed)]]+Table66[[#This Row],[Year 3 (Proposed)]]+Table66[[#This Row],[Year 4 (Proposed)]]+Table66[[#This Row],[Year 5 (Proposed)]]+Table66[[#This Row],[Year 6 (Proposed)]]</f>
        <v>0</v>
      </c>
      <c r="T778" s="403" t="b">
        <f ca="1">Table66[[#This Row],[Total Specifed in RFO - N/A]]=Table66[[#This Row],[Total Proposed]]</f>
        <v>1</v>
      </c>
      <c r="U778" s="439"/>
      <c r="V778" s="441">
        <f ca="1">Table66[[#This Row],[Year 6 (Specified in RFO) - N/A]]-Table66[[#This Row],[Column1]]</f>
        <v>0</v>
      </c>
    </row>
    <row r="779" spans="1:22" ht="16.5" thickBot="1">
      <c r="A779" s="319"/>
      <c r="B779" s="319"/>
      <c r="C779" s="319"/>
      <c r="D779" s="320"/>
      <c r="E779" s="320"/>
      <c r="F779" s="190"/>
      <c r="G7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9" s="190"/>
      <c r="I7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9" s="190"/>
      <c r="K7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9" s="190"/>
      <c r="M7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9" s="190"/>
      <c r="O7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9" s="190"/>
      <c r="Q7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9" s="192">
        <f ca="1">Table66[[#This Row],[Year 1 (Specified in RFO) - N/A]]+Table66[[#This Row],[Year 2 (Specified in RFO) - N/A]]+Table66[[#This Row],[Year 3 (Specified in RFO) - N/A]]+Table66[[#This Row],[Year 4 (Specified in RFO) - N/A]]+Table66[[#This Row],[Year 5 (Specified in RFO) - N/A]]+Table66[[#This Row],[Year 6 (Specified in RFO) - N/A]]</f>
        <v>0</v>
      </c>
      <c r="S779" s="402">
        <f ca="1">Table66[[#This Row],[Year 1  (Proposed)]]+Table66[[#This Row],[Year 2 (Proposed)]]+Table66[[#This Row],[Year 3 (Proposed)]]+Table66[[#This Row],[Year 4 (Proposed)]]+Table66[[#This Row],[Year 5 (Proposed)]]+Table66[[#This Row],[Year 6 (Proposed)]]</f>
        <v>0</v>
      </c>
      <c r="T779" s="403" t="b">
        <f ca="1">Table66[[#This Row],[Total Specifed in RFO - N/A]]=Table66[[#This Row],[Total Proposed]]</f>
        <v>1</v>
      </c>
      <c r="U779" s="439"/>
      <c r="V779" s="441">
        <f ca="1">Table66[[#This Row],[Year 6 (Specified in RFO) - N/A]]-Table66[[#This Row],[Column1]]</f>
        <v>0</v>
      </c>
    </row>
    <row r="780" spans="1:22" ht="16.5" thickBot="1">
      <c r="A780" s="227"/>
      <c r="B780" s="319"/>
      <c r="C780" s="319"/>
      <c r="D780" s="320"/>
      <c r="E780" s="320"/>
      <c r="F780" s="190"/>
      <c r="G7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0" s="190"/>
      <c r="I7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0" s="190"/>
      <c r="K7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0" s="190"/>
      <c r="M7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0" s="190"/>
      <c r="O7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0" s="190"/>
      <c r="Q7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0" s="192">
        <f ca="1">Table66[[#This Row],[Year 1 (Specified in RFO) - N/A]]+Table66[[#This Row],[Year 2 (Specified in RFO) - N/A]]+Table66[[#This Row],[Year 3 (Specified in RFO) - N/A]]+Table66[[#This Row],[Year 4 (Specified in RFO) - N/A]]+Table66[[#This Row],[Year 5 (Specified in RFO) - N/A]]+Table66[[#This Row],[Year 6 (Specified in RFO) - N/A]]</f>
        <v>0</v>
      </c>
      <c r="S780" s="402">
        <f ca="1">Table66[[#This Row],[Year 1  (Proposed)]]+Table66[[#This Row],[Year 2 (Proposed)]]+Table66[[#This Row],[Year 3 (Proposed)]]+Table66[[#This Row],[Year 4 (Proposed)]]+Table66[[#This Row],[Year 5 (Proposed)]]+Table66[[#This Row],[Year 6 (Proposed)]]</f>
        <v>0</v>
      </c>
      <c r="T780" s="403" t="b">
        <f ca="1">Table66[[#This Row],[Total Specifed in RFO - N/A]]=Table66[[#This Row],[Total Proposed]]</f>
        <v>1</v>
      </c>
      <c r="U780" s="439"/>
      <c r="V780" s="441">
        <f ca="1">Table66[[#This Row],[Year 6 (Specified in RFO) - N/A]]-Table66[[#This Row],[Column1]]</f>
        <v>0</v>
      </c>
    </row>
    <row r="781" spans="1:22" ht="16.5" thickBot="1">
      <c r="A781" s="319"/>
      <c r="B781" s="319"/>
      <c r="C781" s="319"/>
      <c r="D781" s="320"/>
      <c r="E781" s="320"/>
      <c r="F781" s="190"/>
      <c r="G7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1" s="190"/>
      <c r="I7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1" s="190"/>
      <c r="K7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1" s="190"/>
      <c r="M7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1" s="190"/>
      <c r="O7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1" s="190"/>
      <c r="Q7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1" s="192">
        <f ca="1">Table66[[#This Row],[Year 1 (Specified in RFO) - N/A]]+Table66[[#This Row],[Year 2 (Specified in RFO) - N/A]]+Table66[[#This Row],[Year 3 (Specified in RFO) - N/A]]+Table66[[#This Row],[Year 4 (Specified in RFO) - N/A]]+Table66[[#This Row],[Year 5 (Specified in RFO) - N/A]]+Table66[[#This Row],[Year 6 (Specified in RFO) - N/A]]</f>
        <v>0</v>
      </c>
      <c r="S781" s="402">
        <f ca="1">Table66[[#This Row],[Year 1  (Proposed)]]+Table66[[#This Row],[Year 2 (Proposed)]]+Table66[[#This Row],[Year 3 (Proposed)]]+Table66[[#This Row],[Year 4 (Proposed)]]+Table66[[#This Row],[Year 5 (Proposed)]]+Table66[[#This Row],[Year 6 (Proposed)]]</f>
        <v>0</v>
      </c>
      <c r="T781" s="403" t="b">
        <f ca="1">Table66[[#This Row],[Total Specifed in RFO - N/A]]=Table66[[#This Row],[Total Proposed]]</f>
        <v>1</v>
      </c>
      <c r="U781" s="439"/>
      <c r="V781" s="441">
        <f ca="1">Table66[[#This Row],[Year 6 (Specified in RFO) - N/A]]-Table66[[#This Row],[Column1]]</f>
        <v>0</v>
      </c>
    </row>
    <row r="782" spans="1:22" ht="16.5" thickBot="1">
      <c r="A782" s="319"/>
      <c r="B782" s="319"/>
      <c r="C782" s="319"/>
      <c r="D782" s="320"/>
      <c r="E782" s="320"/>
      <c r="F782" s="190"/>
      <c r="G7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2" s="190"/>
      <c r="I7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2" s="190"/>
      <c r="K7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2" s="190"/>
      <c r="M7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2" s="190"/>
      <c r="O7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2" s="190"/>
      <c r="Q7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2" s="192">
        <f ca="1">Table66[[#This Row],[Year 1 (Specified in RFO) - N/A]]+Table66[[#This Row],[Year 2 (Specified in RFO) - N/A]]+Table66[[#This Row],[Year 3 (Specified in RFO) - N/A]]+Table66[[#This Row],[Year 4 (Specified in RFO) - N/A]]+Table66[[#This Row],[Year 5 (Specified in RFO) - N/A]]+Table66[[#This Row],[Year 6 (Specified in RFO) - N/A]]</f>
        <v>0</v>
      </c>
      <c r="S782" s="402">
        <f ca="1">Table66[[#This Row],[Year 1  (Proposed)]]+Table66[[#This Row],[Year 2 (Proposed)]]+Table66[[#This Row],[Year 3 (Proposed)]]+Table66[[#This Row],[Year 4 (Proposed)]]+Table66[[#This Row],[Year 5 (Proposed)]]+Table66[[#This Row],[Year 6 (Proposed)]]</f>
        <v>0</v>
      </c>
      <c r="T782" s="403" t="b">
        <f ca="1">Table66[[#This Row],[Total Specifed in RFO - N/A]]=Table66[[#This Row],[Total Proposed]]</f>
        <v>1</v>
      </c>
      <c r="U782" s="439"/>
      <c r="V782" s="441">
        <f ca="1">Table66[[#This Row],[Year 6 (Specified in RFO) - N/A]]-Table66[[#This Row],[Column1]]</f>
        <v>0</v>
      </c>
    </row>
    <row r="783" spans="1:22" ht="16.5" thickBot="1">
      <c r="A783" s="227"/>
      <c r="B783" s="319"/>
      <c r="C783" s="319"/>
      <c r="D783" s="320"/>
      <c r="E783" s="320"/>
      <c r="F783" s="190"/>
      <c r="G7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3" s="190"/>
      <c r="I7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3" s="190"/>
      <c r="K7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3" s="190"/>
      <c r="M7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3" s="190"/>
      <c r="O7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3" s="190"/>
      <c r="Q7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3" s="192">
        <f ca="1">Table66[[#This Row],[Year 1 (Specified in RFO) - N/A]]+Table66[[#This Row],[Year 2 (Specified in RFO) - N/A]]+Table66[[#This Row],[Year 3 (Specified in RFO) - N/A]]+Table66[[#This Row],[Year 4 (Specified in RFO) - N/A]]+Table66[[#This Row],[Year 5 (Specified in RFO) - N/A]]+Table66[[#This Row],[Year 6 (Specified in RFO) - N/A]]</f>
        <v>0</v>
      </c>
      <c r="S783" s="402">
        <f ca="1">Table66[[#This Row],[Year 1  (Proposed)]]+Table66[[#This Row],[Year 2 (Proposed)]]+Table66[[#This Row],[Year 3 (Proposed)]]+Table66[[#This Row],[Year 4 (Proposed)]]+Table66[[#This Row],[Year 5 (Proposed)]]+Table66[[#This Row],[Year 6 (Proposed)]]</f>
        <v>0</v>
      </c>
      <c r="T783" s="403" t="b">
        <f ca="1">Table66[[#This Row],[Total Specifed in RFO - N/A]]=Table66[[#This Row],[Total Proposed]]</f>
        <v>1</v>
      </c>
      <c r="U783" s="439"/>
      <c r="V783" s="441">
        <f ca="1">Table66[[#This Row],[Year 6 (Specified in RFO) - N/A]]-Table66[[#This Row],[Column1]]</f>
        <v>0</v>
      </c>
    </row>
    <row r="784" spans="1:22" ht="16.5" thickBot="1">
      <c r="A784" s="319"/>
      <c r="B784" s="319"/>
      <c r="C784" s="319"/>
      <c r="D784" s="320"/>
      <c r="E784" s="320"/>
      <c r="F784" s="190"/>
      <c r="G7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4" s="190"/>
      <c r="I7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4" s="190"/>
      <c r="K7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4" s="190"/>
      <c r="M7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4" s="190"/>
      <c r="O7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4" s="190"/>
      <c r="Q7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4" s="192">
        <f ca="1">Table66[[#This Row],[Year 1 (Specified in RFO) - N/A]]+Table66[[#This Row],[Year 2 (Specified in RFO) - N/A]]+Table66[[#This Row],[Year 3 (Specified in RFO) - N/A]]+Table66[[#This Row],[Year 4 (Specified in RFO) - N/A]]+Table66[[#This Row],[Year 5 (Specified in RFO) - N/A]]+Table66[[#This Row],[Year 6 (Specified in RFO) - N/A]]</f>
        <v>0</v>
      </c>
      <c r="S784" s="402">
        <f ca="1">Table66[[#This Row],[Year 1  (Proposed)]]+Table66[[#This Row],[Year 2 (Proposed)]]+Table66[[#This Row],[Year 3 (Proposed)]]+Table66[[#This Row],[Year 4 (Proposed)]]+Table66[[#This Row],[Year 5 (Proposed)]]+Table66[[#This Row],[Year 6 (Proposed)]]</f>
        <v>0</v>
      </c>
      <c r="T784" s="403" t="b">
        <f ca="1">Table66[[#This Row],[Total Specifed in RFO - N/A]]=Table66[[#This Row],[Total Proposed]]</f>
        <v>1</v>
      </c>
      <c r="U784" s="439"/>
      <c r="V784" s="441">
        <f ca="1">Table66[[#This Row],[Year 6 (Specified in RFO) - N/A]]-Table66[[#This Row],[Column1]]</f>
        <v>0</v>
      </c>
    </row>
    <row r="785" spans="1:22" ht="16.5" thickBot="1">
      <c r="A785" s="319"/>
      <c r="B785" s="319"/>
      <c r="C785" s="319"/>
      <c r="D785" s="320"/>
      <c r="E785" s="320"/>
      <c r="F785" s="190"/>
      <c r="G7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5" s="190"/>
      <c r="I7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5" s="190"/>
      <c r="K7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5" s="190"/>
      <c r="M7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5" s="190"/>
      <c r="O7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5" s="190"/>
      <c r="Q7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5" s="192">
        <f ca="1">Table66[[#This Row],[Year 1 (Specified in RFO) - N/A]]+Table66[[#This Row],[Year 2 (Specified in RFO) - N/A]]+Table66[[#This Row],[Year 3 (Specified in RFO) - N/A]]+Table66[[#This Row],[Year 4 (Specified in RFO) - N/A]]+Table66[[#This Row],[Year 5 (Specified in RFO) - N/A]]+Table66[[#This Row],[Year 6 (Specified in RFO) - N/A]]</f>
        <v>0</v>
      </c>
      <c r="S785" s="402">
        <f ca="1">Table66[[#This Row],[Year 1  (Proposed)]]+Table66[[#This Row],[Year 2 (Proposed)]]+Table66[[#This Row],[Year 3 (Proposed)]]+Table66[[#This Row],[Year 4 (Proposed)]]+Table66[[#This Row],[Year 5 (Proposed)]]+Table66[[#This Row],[Year 6 (Proposed)]]</f>
        <v>0</v>
      </c>
      <c r="T785" s="403" t="b">
        <f ca="1">Table66[[#This Row],[Total Specifed in RFO - N/A]]=Table66[[#This Row],[Total Proposed]]</f>
        <v>1</v>
      </c>
      <c r="U785" s="439"/>
      <c r="V785" s="441">
        <f ca="1">Table66[[#This Row],[Year 6 (Specified in RFO) - N/A]]-Table66[[#This Row],[Column1]]</f>
        <v>0</v>
      </c>
    </row>
    <row r="786" spans="1:22" ht="16.5" thickBot="1">
      <c r="A786" s="227"/>
      <c r="B786" s="319"/>
      <c r="C786" s="319"/>
      <c r="D786" s="320"/>
      <c r="E786" s="320"/>
      <c r="F786" s="190"/>
      <c r="G7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6" s="190"/>
      <c r="I7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6" s="190"/>
      <c r="K7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6" s="190"/>
      <c r="M7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6" s="190"/>
      <c r="O7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6" s="190"/>
      <c r="Q7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6" s="192">
        <f ca="1">Table66[[#This Row],[Year 1 (Specified in RFO) - N/A]]+Table66[[#This Row],[Year 2 (Specified in RFO) - N/A]]+Table66[[#This Row],[Year 3 (Specified in RFO) - N/A]]+Table66[[#This Row],[Year 4 (Specified in RFO) - N/A]]+Table66[[#This Row],[Year 5 (Specified in RFO) - N/A]]+Table66[[#This Row],[Year 6 (Specified in RFO) - N/A]]</f>
        <v>0</v>
      </c>
      <c r="S786" s="402">
        <f ca="1">Table66[[#This Row],[Year 1  (Proposed)]]+Table66[[#This Row],[Year 2 (Proposed)]]+Table66[[#This Row],[Year 3 (Proposed)]]+Table66[[#This Row],[Year 4 (Proposed)]]+Table66[[#This Row],[Year 5 (Proposed)]]+Table66[[#This Row],[Year 6 (Proposed)]]</f>
        <v>0</v>
      </c>
      <c r="T786" s="403" t="b">
        <f ca="1">Table66[[#This Row],[Total Specifed in RFO - N/A]]=Table66[[#This Row],[Total Proposed]]</f>
        <v>1</v>
      </c>
      <c r="U786" s="439"/>
      <c r="V786" s="441">
        <f ca="1">Table66[[#This Row],[Year 6 (Specified in RFO) - N/A]]-Table66[[#This Row],[Column1]]</f>
        <v>0</v>
      </c>
    </row>
    <row r="787" spans="1:22" ht="16.5" thickBot="1">
      <c r="A787" s="319"/>
      <c r="B787" s="319"/>
      <c r="C787" s="319"/>
      <c r="D787" s="320"/>
      <c r="E787" s="320"/>
      <c r="F787" s="190"/>
      <c r="G7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7" s="190"/>
      <c r="I7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7" s="190"/>
      <c r="K7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7" s="190"/>
      <c r="M7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7" s="190"/>
      <c r="O7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7" s="190"/>
      <c r="Q7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7" s="192">
        <f ca="1">Table66[[#This Row],[Year 1 (Specified in RFO) - N/A]]+Table66[[#This Row],[Year 2 (Specified in RFO) - N/A]]+Table66[[#This Row],[Year 3 (Specified in RFO) - N/A]]+Table66[[#This Row],[Year 4 (Specified in RFO) - N/A]]+Table66[[#This Row],[Year 5 (Specified in RFO) - N/A]]+Table66[[#This Row],[Year 6 (Specified in RFO) - N/A]]</f>
        <v>0</v>
      </c>
      <c r="S787" s="402">
        <f ca="1">Table66[[#This Row],[Year 1  (Proposed)]]+Table66[[#This Row],[Year 2 (Proposed)]]+Table66[[#This Row],[Year 3 (Proposed)]]+Table66[[#This Row],[Year 4 (Proposed)]]+Table66[[#This Row],[Year 5 (Proposed)]]+Table66[[#This Row],[Year 6 (Proposed)]]</f>
        <v>0</v>
      </c>
      <c r="T787" s="403" t="b">
        <f ca="1">Table66[[#This Row],[Total Specifed in RFO - N/A]]=Table66[[#This Row],[Total Proposed]]</f>
        <v>1</v>
      </c>
      <c r="U787" s="439"/>
      <c r="V787" s="441">
        <f ca="1">Table66[[#This Row],[Year 6 (Specified in RFO) - N/A]]-Table66[[#This Row],[Column1]]</f>
        <v>0</v>
      </c>
    </row>
    <row r="788" spans="1:22" ht="16.5" thickBot="1">
      <c r="A788" s="319"/>
      <c r="B788" s="319"/>
      <c r="C788" s="319"/>
      <c r="D788" s="320"/>
      <c r="E788" s="320"/>
      <c r="F788" s="190"/>
      <c r="G7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8" s="190"/>
      <c r="I7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8" s="190"/>
      <c r="K7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8" s="190"/>
      <c r="M7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8" s="190"/>
      <c r="O7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8" s="190"/>
      <c r="Q7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8" s="192">
        <f ca="1">Table66[[#This Row],[Year 1 (Specified in RFO) - N/A]]+Table66[[#This Row],[Year 2 (Specified in RFO) - N/A]]+Table66[[#This Row],[Year 3 (Specified in RFO) - N/A]]+Table66[[#This Row],[Year 4 (Specified in RFO) - N/A]]+Table66[[#This Row],[Year 5 (Specified in RFO) - N/A]]+Table66[[#This Row],[Year 6 (Specified in RFO) - N/A]]</f>
        <v>0</v>
      </c>
      <c r="S788" s="402">
        <f ca="1">Table66[[#This Row],[Year 1  (Proposed)]]+Table66[[#This Row],[Year 2 (Proposed)]]+Table66[[#This Row],[Year 3 (Proposed)]]+Table66[[#This Row],[Year 4 (Proposed)]]+Table66[[#This Row],[Year 5 (Proposed)]]+Table66[[#This Row],[Year 6 (Proposed)]]</f>
        <v>0</v>
      </c>
      <c r="T788" s="403" t="b">
        <f ca="1">Table66[[#This Row],[Total Specifed in RFO - N/A]]=Table66[[#This Row],[Total Proposed]]</f>
        <v>1</v>
      </c>
      <c r="U788" s="439"/>
      <c r="V788" s="441">
        <f ca="1">Table66[[#This Row],[Year 6 (Specified in RFO) - N/A]]-Table66[[#This Row],[Column1]]</f>
        <v>0</v>
      </c>
    </row>
    <row r="789" spans="1:22" ht="16.5" thickBot="1">
      <c r="A789" s="227"/>
      <c r="B789" s="319"/>
      <c r="C789" s="319"/>
      <c r="D789" s="320"/>
      <c r="E789" s="320"/>
      <c r="F789" s="190"/>
      <c r="G7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9" s="190"/>
      <c r="I7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9" s="190"/>
      <c r="K7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9" s="190"/>
      <c r="M7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9" s="190"/>
      <c r="O7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9" s="190"/>
      <c r="Q7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9" s="192">
        <f ca="1">Table66[[#This Row],[Year 1 (Specified in RFO) - N/A]]+Table66[[#This Row],[Year 2 (Specified in RFO) - N/A]]+Table66[[#This Row],[Year 3 (Specified in RFO) - N/A]]+Table66[[#This Row],[Year 4 (Specified in RFO) - N/A]]+Table66[[#This Row],[Year 5 (Specified in RFO) - N/A]]+Table66[[#This Row],[Year 6 (Specified in RFO) - N/A]]</f>
        <v>0</v>
      </c>
      <c r="S789" s="402">
        <f ca="1">Table66[[#This Row],[Year 1  (Proposed)]]+Table66[[#This Row],[Year 2 (Proposed)]]+Table66[[#This Row],[Year 3 (Proposed)]]+Table66[[#This Row],[Year 4 (Proposed)]]+Table66[[#This Row],[Year 5 (Proposed)]]+Table66[[#This Row],[Year 6 (Proposed)]]</f>
        <v>0</v>
      </c>
      <c r="T789" s="403" t="b">
        <f ca="1">Table66[[#This Row],[Total Specifed in RFO - N/A]]=Table66[[#This Row],[Total Proposed]]</f>
        <v>1</v>
      </c>
      <c r="U789" s="439"/>
      <c r="V789" s="441">
        <f ca="1">Table66[[#This Row],[Year 6 (Specified in RFO) - N/A]]-Table66[[#This Row],[Column1]]</f>
        <v>0</v>
      </c>
    </row>
    <row r="790" spans="1:22" ht="16.5" thickBot="1">
      <c r="A790" s="227"/>
      <c r="B790" s="227"/>
      <c r="C790" s="227"/>
      <c r="D790" s="320"/>
      <c r="E790" s="231"/>
      <c r="F790" s="190"/>
      <c r="G7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0" s="190"/>
      <c r="I7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0" s="190"/>
      <c r="K7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0" s="190"/>
      <c r="M7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0" s="190"/>
      <c r="O7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0" s="190"/>
      <c r="Q7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0" s="192">
        <f ca="1">Table66[[#This Row],[Year 1 (Specified in RFO) - N/A]]+Table66[[#This Row],[Year 2 (Specified in RFO) - N/A]]+Table66[[#This Row],[Year 3 (Specified in RFO) - N/A]]+Table66[[#This Row],[Year 4 (Specified in RFO) - N/A]]+Table66[[#This Row],[Year 5 (Specified in RFO) - N/A]]+Table66[[#This Row],[Year 6 (Specified in RFO) - N/A]]</f>
        <v>0</v>
      </c>
      <c r="S790" s="402">
        <f ca="1">Table66[[#This Row],[Year 1  (Proposed)]]+Table66[[#This Row],[Year 2 (Proposed)]]+Table66[[#This Row],[Year 3 (Proposed)]]+Table66[[#This Row],[Year 4 (Proposed)]]+Table66[[#This Row],[Year 5 (Proposed)]]+Table66[[#This Row],[Year 6 (Proposed)]]</f>
        <v>0</v>
      </c>
      <c r="T790" s="403" t="b">
        <f ca="1">Table66[[#This Row],[Total Specifed in RFO - N/A]]=Table66[[#This Row],[Total Proposed]]</f>
        <v>1</v>
      </c>
      <c r="U790" s="439"/>
      <c r="V790" s="441">
        <f ca="1">Table66[[#This Row],[Year 6 (Specified in RFO) - N/A]]-Table66[[#This Row],[Column1]]</f>
        <v>0</v>
      </c>
    </row>
    <row r="791" spans="1:22" ht="16.5" thickBot="1">
      <c r="A791" s="227"/>
      <c r="B791" s="227"/>
      <c r="C791" s="227"/>
      <c r="D791" s="320"/>
      <c r="E791" s="231"/>
      <c r="F791" s="190"/>
      <c r="G7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1" s="190"/>
      <c r="I7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1" s="190"/>
      <c r="K7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1" s="190"/>
      <c r="M7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1" s="190"/>
      <c r="O7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1" s="190"/>
      <c r="Q7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1" s="192">
        <f ca="1">Table66[[#This Row],[Year 1 (Specified in RFO) - N/A]]+Table66[[#This Row],[Year 2 (Specified in RFO) - N/A]]+Table66[[#This Row],[Year 3 (Specified in RFO) - N/A]]+Table66[[#This Row],[Year 4 (Specified in RFO) - N/A]]+Table66[[#This Row],[Year 5 (Specified in RFO) - N/A]]+Table66[[#This Row],[Year 6 (Specified in RFO) - N/A]]</f>
        <v>0</v>
      </c>
      <c r="S791" s="402">
        <f ca="1">Table66[[#This Row],[Year 1  (Proposed)]]+Table66[[#This Row],[Year 2 (Proposed)]]+Table66[[#This Row],[Year 3 (Proposed)]]+Table66[[#This Row],[Year 4 (Proposed)]]+Table66[[#This Row],[Year 5 (Proposed)]]+Table66[[#This Row],[Year 6 (Proposed)]]</f>
        <v>0</v>
      </c>
      <c r="T791" s="403" t="b">
        <f ca="1">Table66[[#This Row],[Total Specifed in RFO - N/A]]=Table66[[#This Row],[Total Proposed]]</f>
        <v>1</v>
      </c>
      <c r="U791" s="439"/>
      <c r="V791" s="441">
        <f ca="1">Table66[[#This Row],[Year 6 (Specified in RFO) - N/A]]-Table66[[#This Row],[Column1]]</f>
        <v>0</v>
      </c>
    </row>
    <row r="792" spans="1:22" ht="16.5" thickBot="1">
      <c r="A792" s="227"/>
      <c r="B792" s="319"/>
      <c r="C792" s="319"/>
      <c r="D792" s="320"/>
      <c r="E792" s="320"/>
      <c r="F792" s="190"/>
      <c r="G7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2" s="190"/>
      <c r="I7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2" s="190"/>
      <c r="K7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2" s="190"/>
      <c r="M7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2" s="190"/>
      <c r="O7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2" s="190"/>
      <c r="Q7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2" s="192">
        <f ca="1">Table66[[#This Row],[Year 1 (Specified in RFO) - N/A]]+Table66[[#This Row],[Year 2 (Specified in RFO) - N/A]]+Table66[[#This Row],[Year 3 (Specified in RFO) - N/A]]+Table66[[#This Row],[Year 4 (Specified in RFO) - N/A]]+Table66[[#This Row],[Year 5 (Specified in RFO) - N/A]]+Table66[[#This Row],[Year 6 (Specified in RFO) - N/A]]</f>
        <v>0</v>
      </c>
      <c r="S792" s="402">
        <f ca="1">Table66[[#This Row],[Year 1  (Proposed)]]+Table66[[#This Row],[Year 2 (Proposed)]]+Table66[[#This Row],[Year 3 (Proposed)]]+Table66[[#This Row],[Year 4 (Proposed)]]+Table66[[#This Row],[Year 5 (Proposed)]]+Table66[[#This Row],[Year 6 (Proposed)]]</f>
        <v>0</v>
      </c>
      <c r="T792" s="403" t="b">
        <f ca="1">Table66[[#This Row],[Total Specifed in RFO - N/A]]=Table66[[#This Row],[Total Proposed]]</f>
        <v>1</v>
      </c>
      <c r="U792" s="439"/>
      <c r="V792" s="441">
        <f ca="1">Table66[[#This Row],[Year 6 (Specified in RFO) - N/A]]-Table66[[#This Row],[Column1]]</f>
        <v>0</v>
      </c>
    </row>
    <row r="793" spans="1:22" ht="16.5" thickBot="1">
      <c r="A793" s="227"/>
      <c r="B793" s="227"/>
      <c r="C793" s="227"/>
      <c r="D793" s="320"/>
      <c r="E793" s="231"/>
      <c r="F793" s="190"/>
      <c r="G7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3" s="190"/>
      <c r="I7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3" s="190"/>
      <c r="K7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3" s="190"/>
      <c r="M7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3" s="190"/>
      <c r="O7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3" s="190"/>
      <c r="Q7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3" s="192">
        <f ca="1">Table66[[#This Row],[Year 1 (Specified in RFO) - N/A]]+Table66[[#This Row],[Year 2 (Specified in RFO) - N/A]]+Table66[[#This Row],[Year 3 (Specified in RFO) - N/A]]+Table66[[#This Row],[Year 4 (Specified in RFO) - N/A]]+Table66[[#This Row],[Year 5 (Specified in RFO) - N/A]]+Table66[[#This Row],[Year 6 (Specified in RFO) - N/A]]</f>
        <v>0</v>
      </c>
      <c r="S793" s="402">
        <f ca="1">Table66[[#This Row],[Year 1  (Proposed)]]+Table66[[#This Row],[Year 2 (Proposed)]]+Table66[[#This Row],[Year 3 (Proposed)]]+Table66[[#This Row],[Year 4 (Proposed)]]+Table66[[#This Row],[Year 5 (Proposed)]]+Table66[[#This Row],[Year 6 (Proposed)]]</f>
        <v>0</v>
      </c>
      <c r="T793" s="403" t="b">
        <f ca="1">Table66[[#This Row],[Total Specifed in RFO - N/A]]=Table66[[#This Row],[Total Proposed]]</f>
        <v>1</v>
      </c>
      <c r="U793" s="439"/>
      <c r="V793" s="441">
        <f ca="1">Table66[[#This Row],[Year 6 (Specified in RFO) - N/A]]-Table66[[#This Row],[Column1]]</f>
        <v>0</v>
      </c>
    </row>
    <row r="794" spans="1:22" ht="16.5" thickBot="1">
      <c r="A794" s="227"/>
      <c r="B794" s="227"/>
      <c r="C794" s="227"/>
      <c r="D794" s="320"/>
      <c r="E794" s="231"/>
      <c r="F794" s="190"/>
      <c r="G7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4" s="190"/>
      <c r="I7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4" s="190"/>
      <c r="K7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4" s="190"/>
      <c r="M7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4" s="190"/>
      <c r="O7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4" s="190"/>
      <c r="Q7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4" s="192">
        <f ca="1">Table66[[#This Row],[Year 1 (Specified in RFO) - N/A]]+Table66[[#This Row],[Year 2 (Specified in RFO) - N/A]]+Table66[[#This Row],[Year 3 (Specified in RFO) - N/A]]+Table66[[#This Row],[Year 4 (Specified in RFO) - N/A]]+Table66[[#This Row],[Year 5 (Specified in RFO) - N/A]]+Table66[[#This Row],[Year 6 (Specified in RFO) - N/A]]</f>
        <v>0</v>
      </c>
      <c r="S794" s="402">
        <f ca="1">Table66[[#This Row],[Year 1  (Proposed)]]+Table66[[#This Row],[Year 2 (Proposed)]]+Table66[[#This Row],[Year 3 (Proposed)]]+Table66[[#This Row],[Year 4 (Proposed)]]+Table66[[#This Row],[Year 5 (Proposed)]]+Table66[[#This Row],[Year 6 (Proposed)]]</f>
        <v>0</v>
      </c>
      <c r="T794" s="403" t="b">
        <f ca="1">Table66[[#This Row],[Total Specifed in RFO - N/A]]=Table66[[#This Row],[Total Proposed]]</f>
        <v>1</v>
      </c>
      <c r="U794" s="439"/>
      <c r="V794" s="441">
        <f ca="1">Table66[[#This Row],[Year 6 (Specified in RFO) - N/A]]-Table66[[#This Row],[Column1]]</f>
        <v>0</v>
      </c>
    </row>
    <row r="795" spans="1:22" ht="16.5" thickBot="1">
      <c r="A795" s="227"/>
      <c r="B795" s="319"/>
      <c r="C795" s="319"/>
      <c r="D795" s="320"/>
      <c r="E795" s="320"/>
      <c r="F795" s="190"/>
      <c r="G7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5" s="190"/>
      <c r="I7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5" s="190"/>
      <c r="K7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5" s="190"/>
      <c r="M7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5" s="190"/>
      <c r="O7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5" s="190"/>
      <c r="Q7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5" s="192">
        <f ca="1">Table66[[#This Row],[Year 1 (Specified in RFO) - N/A]]+Table66[[#This Row],[Year 2 (Specified in RFO) - N/A]]+Table66[[#This Row],[Year 3 (Specified in RFO) - N/A]]+Table66[[#This Row],[Year 4 (Specified in RFO) - N/A]]+Table66[[#This Row],[Year 5 (Specified in RFO) - N/A]]+Table66[[#This Row],[Year 6 (Specified in RFO) - N/A]]</f>
        <v>0</v>
      </c>
      <c r="S795" s="402">
        <f ca="1">Table66[[#This Row],[Year 1  (Proposed)]]+Table66[[#This Row],[Year 2 (Proposed)]]+Table66[[#This Row],[Year 3 (Proposed)]]+Table66[[#This Row],[Year 4 (Proposed)]]+Table66[[#This Row],[Year 5 (Proposed)]]+Table66[[#This Row],[Year 6 (Proposed)]]</f>
        <v>0</v>
      </c>
      <c r="T795" s="403" t="b">
        <f ca="1">Table66[[#This Row],[Total Specifed in RFO - N/A]]=Table66[[#This Row],[Total Proposed]]</f>
        <v>1</v>
      </c>
      <c r="U795" s="439"/>
      <c r="V795" s="441">
        <f ca="1">Table66[[#This Row],[Year 6 (Specified in RFO) - N/A]]-Table66[[#This Row],[Column1]]</f>
        <v>0</v>
      </c>
    </row>
    <row r="796" spans="1:22" ht="16.5" thickBot="1">
      <c r="A796" s="227"/>
      <c r="B796" s="227"/>
      <c r="C796" s="227"/>
      <c r="D796" s="320"/>
      <c r="E796" s="231"/>
      <c r="F796" s="190"/>
      <c r="G7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6" s="190"/>
      <c r="I7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6" s="190"/>
      <c r="K7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6" s="190"/>
      <c r="M7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6" s="190"/>
      <c r="O7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6" s="190"/>
      <c r="Q7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6" s="192">
        <f ca="1">Table66[[#This Row],[Year 1 (Specified in RFO) - N/A]]+Table66[[#This Row],[Year 2 (Specified in RFO) - N/A]]+Table66[[#This Row],[Year 3 (Specified in RFO) - N/A]]+Table66[[#This Row],[Year 4 (Specified in RFO) - N/A]]+Table66[[#This Row],[Year 5 (Specified in RFO) - N/A]]+Table66[[#This Row],[Year 6 (Specified in RFO) - N/A]]</f>
        <v>0</v>
      </c>
      <c r="S796" s="402">
        <f ca="1">Table66[[#This Row],[Year 1  (Proposed)]]+Table66[[#This Row],[Year 2 (Proposed)]]+Table66[[#This Row],[Year 3 (Proposed)]]+Table66[[#This Row],[Year 4 (Proposed)]]+Table66[[#This Row],[Year 5 (Proposed)]]+Table66[[#This Row],[Year 6 (Proposed)]]</f>
        <v>0</v>
      </c>
      <c r="T796" s="403" t="b">
        <f ca="1">Table66[[#This Row],[Total Specifed in RFO - N/A]]=Table66[[#This Row],[Total Proposed]]</f>
        <v>1</v>
      </c>
      <c r="U796" s="439"/>
      <c r="V796" s="441">
        <f ca="1">Table66[[#This Row],[Year 6 (Specified in RFO) - N/A]]-Table66[[#This Row],[Column1]]</f>
        <v>0</v>
      </c>
    </row>
    <row r="797" spans="1:22" ht="16.5" thickBot="1">
      <c r="A797" s="227"/>
      <c r="B797" s="227"/>
      <c r="C797" s="227"/>
      <c r="D797" s="320"/>
      <c r="E797" s="231"/>
      <c r="F797" s="190"/>
      <c r="G7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7" s="190"/>
      <c r="I7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7" s="190"/>
      <c r="K7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7" s="190"/>
      <c r="M7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7" s="190"/>
      <c r="O7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7" s="190"/>
      <c r="Q7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7" s="192">
        <f ca="1">Table66[[#This Row],[Year 1 (Specified in RFO) - N/A]]+Table66[[#This Row],[Year 2 (Specified in RFO) - N/A]]+Table66[[#This Row],[Year 3 (Specified in RFO) - N/A]]+Table66[[#This Row],[Year 4 (Specified in RFO) - N/A]]+Table66[[#This Row],[Year 5 (Specified in RFO) - N/A]]+Table66[[#This Row],[Year 6 (Specified in RFO) - N/A]]</f>
        <v>0</v>
      </c>
      <c r="S797" s="402">
        <f ca="1">Table66[[#This Row],[Year 1  (Proposed)]]+Table66[[#This Row],[Year 2 (Proposed)]]+Table66[[#This Row],[Year 3 (Proposed)]]+Table66[[#This Row],[Year 4 (Proposed)]]+Table66[[#This Row],[Year 5 (Proposed)]]+Table66[[#This Row],[Year 6 (Proposed)]]</f>
        <v>0</v>
      </c>
      <c r="T797" s="403" t="b">
        <f ca="1">Table66[[#This Row],[Total Specifed in RFO - N/A]]=Table66[[#This Row],[Total Proposed]]</f>
        <v>1</v>
      </c>
      <c r="U797" s="439"/>
      <c r="V797" s="441">
        <f ca="1">Table66[[#This Row],[Year 6 (Specified in RFO) - N/A]]-Table66[[#This Row],[Column1]]</f>
        <v>0</v>
      </c>
    </row>
    <row r="798" spans="1:22" ht="16.5" thickBot="1">
      <c r="A798" s="227"/>
      <c r="B798" s="319"/>
      <c r="C798" s="319"/>
      <c r="D798" s="320"/>
      <c r="E798" s="320"/>
      <c r="F798" s="190"/>
      <c r="G7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8" s="190"/>
      <c r="I7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8" s="190"/>
      <c r="K7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8" s="190"/>
      <c r="M7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8" s="190"/>
      <c r="O7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8" s="190"/>
      <c r="Q7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8" s="192">
        <f ca="1">Table66[[#This Row],[Year 1 (Specified in RFO) - N/A]]+Table66[[#This Row],[Year 2 (Specified in RFO) - N/A]]+Table66[[#This Row],[Year 3 (Specified in RFO) - N/A]]+Table66[[#This Row],[Year 4 (Specified in RFO) - N/A]]+Table66[[#This Row],[Year 5 (Specified in RFO) - N/A]]+Table66[[#This Row],[Year 6 (Specified in RFO) - N/A]]</f>
        <v>0</v>
      </c>
      <c r="S798" s="402">
        <f ca="1">Table66[[#This Row],[Year 1  (Proposed)]]+Table66[[#This Row],[Year 2 (Proposed)]]+Table66[[#This Row],[Year 3 (Proposed)]]+Table66[[#This Row],[Year 4 (Proposed)]]+Table66[[#This Row],[Year 5 (Proposed)]]+Table66[[#This Row],[Year 6 (Proposed)]]</f>
        <v>0</v>
      </c>
      <c r="T798" s="403" t="b">
        <f ca="1">Table66[[#This Row],[Total Specifed in RFO - N/A]]=Table66[[#This Row],[Total Proposed]]</f>
        <v>1</v>
      </c>
      <c r="U798" s="439"/>
      <c r="V798" s="441">
        <f ca="1">Table66[[#This Row],[Year 6 (Specified in RFO) - N/A]]-Table66[[#This Row],[Column1]]</f>
        <v>0</v>
      </c>
    </row>
    <row r="799" spans="1:22" ht="16.5" thickBot="1">
      <c r="A799" s="227"/>
      <c r="B799" s="227"/>
      <c r="C799" s="227"/>
      <c r="D799" s="320"/>
      <c r="E799" s="231"/>
      <c r="F799" s="190"/>
      <c r="G7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9" s="190"/>
      <c r="I7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9" s="190"/>
      <c r="K7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9" s="190"/>
      <c r="M7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9" s="190"/>
      <c r="O7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9" s="190"/>
      <c r="Q7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9" s="192">
        <f ca="1">Table66[[#This Row],[Year 1 (Specified in RFO) - N/A]]+Table66[[#This Row],[Year 2 (Specified in RFO) - N/A]]+Table66[[#This Row],[Year 3 (Specified in RFO) - N/A]]+Table66[[#This Row],[Year 4 (Specified in RFO) - N/A]]+Table66[[#This Row],[Year 5 (Specified in RFO) - N/A]]+Table66[[#This Row],[Year 6 (Specified in RFO) - N/A]]</f>
        <v>0</v>
      </c>
      <c r="S799" s="402">
        <f ca="1">Table66[[#This Row],[Year 1  (Proposed)]]+Table66[[#This Row],[Year 2 (Proposed)]]+Table66[[#This Row],[Year 3 (Proposed)]]+Table66[[#This Row],[Year 4 (Proposed)]]+Table66[[#This Row],[Year 5 (Proposed)]]+Table66[[#This Row],[Year 6 (Proposed)]]</f>
        <v>0</v>
      </c>
      <c r="T799" s="403" t="b">
        <f ca="1">Table66[[#This Row],[Total Specifed in RFO - N/A]]=Table66[[#This Row],[Total Proposed]]</f>
        <v>1</v>
      </c>
      <c r="U799" s="439"/>
      <c r="V799" s="441">
        <f ca="1">Table66[[#This Row],[Year 6 (Specified in RFO) - N/A]]-Table66[[#This Row],[Column1]]</f>
        <v>0</v>
      </c>
    </row>
    <row r="800" spans="1:22" ht="16.5" thickBot="1">
      <c r="A800" s="227"/>
      <c r="B800" s="227"/>
      <c r="C800" s="227"/>
      <c r="D800" s="320"/>
      <c r="E800" s="231"/>
      <c r="F800" s="190"/>
      <c r="G8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0" s="190"/>
      <c r="I8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0" s="190"/>
      <c r="K8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0" s="190"/>
      <c r="M8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0" s="190"/>
      <c r="O8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0" s="190"/>
      <c r="Q8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0" s="192">
        <f ca="1">Table66[[#This Row],[Year 1 (Specified in RFO) - N/A]]+Table66[[#This Row],[Year 2 (Specified in RFO) - N/A]]+Table66[[#This Row],[Year 3 (Specified in RFO) - N/A]]+Table66[[#This Row],[Year 4 (Specified in RFO) - N/A]]+Table66[[#This Row],[Year 5 (Specified in RFO) - N/A]]+Table66[[#This Row],[Year 6 (Specified in RFO) - N/A]]</f>
        <v>0</v>
      </c>
      <c r="S800" s="402">
        <f ca="1">Table66[[#This Row],[Year 1  (Proposed)]]+Table66[[#This Row],[Year 2 (Proposed)]]+Table66[[#This Row],[Year 3 (Proposed)]]+Table66[[#This Row],[Year 4 (Proposed)]]+Table66[[#This Row],[Year 5 (Proposed)]]+Table66[[#This Row],[Year 6 (Proposed)]]</f>
        <v>0</v>
      </c>
      <c r="T800" s="403" t="b">
        <f ca="1">Table66[[#This Row],[Total Specifed in RFO - N/A]]=Table66[[#This Row],[Total Proposed]]</f>
        <v>1</v>
      </c>
      <c r="U800" s="439"/>
      <c r="V800" s="441">
        <f ca="1">Table66[[#This Row],[Year 6 (Specified in RFO) - N/A]]-Table66[[#This Row],[Column1]]</f>
        <v>0</v>
      </c>
    </row>
    <row r="801" spans="1:22" ht="16.5" thickBot="1">
      <c r="A801" s="227"/>
      <c r="B801" s="319"/>
      <c r="C801" s="319"/>
      <c r="D801" s="320"/>
      <c r="E801" s="320"/>
      <c r="F801" s="190"/>
      <c r="G8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1" s="190"/>
      <c r="I8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1" s="190"/>
      <c r="K8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1" s="190"/>
      <c r="M8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1" s="190"/>
      <c r="O8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1" s="190"/>
      <c r="Q8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1" s="192">
        <f ca="1">Table66[[#This Row],[Year 1 (Specified in RFO) - N/A]]+Table66[[#This Row],[Year 2 (Specified in RFO) - N/A]]+Table66[[#This Row],[Year 3 (Specified in RFO) - N/A]]+Table66[[#This Row],[Year 4 (Specified in RFO) - N/A]]+Table66[[#This Row],[Year 5 (Specified in RFO) - N/A]]+Table66[[#This Row],[Year 6 (Specified in RFO) - N/A]]</f>
        <v>0</v>
      </c>
      <c r="S801" s="402">
        <f ca="1">Table66[[#This Row],[Year 1  (Proposed)]]+Table66[[#This Row],[Year 2 (Proposed)]]+Table66[[#This Row],[Year 3 (Proposed)]]+Table66[[#This Row],[Year 4 (Proposed)]]+Table66[[#This Row],[Year 5 (Proposed)]]+Table66[[#This Row],[Year 6 (Proposed)]]</f>
        <v>0</v>
      </c>
      <c r="T801" s="403" t="b">
        <f ca="1">Table66[[#This Row],[Total Specifed in RFO - N/A]]=Table66[[#This Row],[Total Proposed]]</f>
        <v>1</v>
      </c>
      <c r="U801" s="439"/>
      <c r="V801" s="441">
        <f ca="1">Table66[[#This Row],[Year 6 (Specified in RFO) - N/A]]-Table66[[#This Row],[Column1]]</f>
        <v>0</v>
      </c>
    </row>
    <row r="802" spans="1:22" ht="16.5" thickBot="1">
      <c r="A802" s="227"/>
      <c r="B802" s="227"/>
      <c r="C802" s="227"/>
      <c r="D802" s="320"/>
      <c r="E802" s="231"/>
      <c r="F802" s="190"/>
      <c r="G8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2" s="190"/>
      <c r="I8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2" s="190"/>
      <c r="K8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2" s="190"/>
      <c r="M8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2" s="190"/>
      <c r="O8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2" s="190"/>
      <c r="Q8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2" s="192">
        <f ca="1">Table66[[#This Row],[Year 1 (Specified in RFO) - N/A]]+Table66[[#This Row],[Year 2 (Specified in RFO) - N/A]]+Table66[[#This Row],[Year 3 (Specified in RFO) - N/A]]+Table66[[#This Row],[Year 4 (Specified in RFO) - N/A]]+Table66[[#This Row],[Year 5 (Specified in RFO) - N/A]]+Table66[[#This Row],[Year 6 (Specified in RFO) - N/A]]</f>
        <v>0</v>
      </c>
      <c r="S802" s="402">
        <f ca="1">Table66[[#This Row],[Year 1  (Proposed)]]+Table66[[#This Row],[Year 2 (Proposed)]]+Table66[[#This Row],[Year 3 (Proposed)]]+Table66[[#This Row],[Year 4 (Proposed)]]+Table66[[#This Row],[Year 5 (Proposed)]]+Table66[[#This Row],[Year 6 (Proposed)]]</f>
        <v>0</v>
      </c>
      <c r="T802" s="403" t="b">
        <f ca="1">Table66[[#This Row],[Total Specifed in RFO - N/A]]=Table66[[#This Row],[Total Proposed]]</f>
        <v>1</v>
      </c>
      <c r="U802" s="439"/>
      <c r="V802" s="441">
        <f ca="1">Table66[[#This Row],[Year 6 (Specified in RFO) - N/A]]-Table66[[#This Row],[Column1]]</f>
        <v>0</v>
      </c>
    </row>
    <row r="803" spans="1:22" ht="16.5" thickBot="1">
      <c r="A803" s="227"/>
      <c r="B803" s="227"/>
      <c r="C803" s="227"/>
      <c r="D803" s="320"/>
      <c r="E803" s="231"/>
      <c r="F803" s="190"/>
      <c r="G8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3" s="190"/>
      <c r="I8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3" s="190"/>
      <c r="K8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3" s="190"/>
      <c r="M8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3" s="190"/>
      <c r="O8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3" s="190"/>
      <c r="Q8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3" s="192">
        <f ca="1">Table66[[#This Row],[Year 1 (Specified in RFO) - N/A]]+Table66[[#This Row],[Year 2 (Specified in RFO) - N/A]]+Table66[[#This Row],[Year 3 (Specified in RFO) - N/A]]+Table66[[#This Row],[Year 4 (Specified in RFO) - N/A]]+Table66[[#This Row],[Year 5 (Specified in RFO) - N/A]]+Table66[[#This Row],[Year 6 (Specified in RFO) - N/A]]</f>
        <v>0</v>
      </c>
      <c r="S803" s="402">
        <f ca="1">Table66[[#This Row],[Year 1  (Proposed)]]+Table66[[#This Row],[Year 2 (Proposed)]]+Table66[[#This Row],[Year 3 (Proposed)]]+Table66[[#This Row],[Year 4 (Proposed)]]+Table66[[#This Row],[Year 5 (Proposed)]]+Table66[[#This Row],[Year 6 (Proposed)]]</f>
        <v>0</v>
      </c>
      <c r="T803" s="403" t="b">
        <f ca="1">Table66[[#This Row],[Total Specifed in RFO - N/A]]=Table66[[#This Row],[Total Proposed]]</f>
        <v>1</v>
      </c>
      <c r="U803" s="439"/>
      <c r="V803" s="441">
        <f ca="1">Table66[[#This Row],[Year 6 (Specified in RFO) - N/A]]-Table66[[#This Row],[Column1]]</f>
        <v>0</v>
      </c>
    </row>
    <row r="804" spans="1:22" ht="16.5" thickBot="1">
      <c r="A804" s="227"/>
      <c r="B804" s="319"/>
      <c r="C804" s="319"/>
      <c r="D804" s="320"/>
      <c r="E804" s="320"/>
      <c r="F804" s="190"/>
      <c r="G8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4" s="190"/>
      <c r="I8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4" s="190"/>
      <c r="K8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4" s="190"/>
      <c r="M8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4" s="190"/>
      <c r="O8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4" s="190"/>
      <c r="Q8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4" s="192">
        <f ca="1">Table66[[#This Row],[Year 1 (Specified in RFO) - N/A]]+Table66[[#This Row],[Year 2 (Specified in RFO) - N/A]]+Table66[[#This Row],[Year 3 (Specified in RFO) - N/A]]+Table66[[#This Row],[Year 4 (Specified in RFO) - N/A]]+Table66[[#This Row],[Year 5 (Specified in RFO) - N/A]]+Table66[[#This Row],[Year 6 (Specified in RFO) - N/A]]</f>
        <v>0</v>
      </c>
      <c r="S804" s="402">
        <f ca="1">Table66[[#This Row],[Year 1  (Proposed)]]+Table66[[#This Row],[Year 2 (Proposed)]]+Table66[[#This Row],[Year 3 (Proposed)]]+Table66[[#This Row],[Year 4 (Proposed)]]+Table66[[#This Row],[Year 5 (Proposed)]]+Table66[[#This Row],[Year 6 (Proposed)]]</f>
        <v>0</v>
      </c>
      <c r="T804" s="403" t="b">
        <f ca="1">Table66[[#This Row],[Total Specifed in RFO - N/A]]=Table66[[#This Row],[Total Proposed]]</f>
        <v>1</v>
      </c>
      <c r="U804" s="439"/>
      <c r="V804" s="441">
        <f ca="1">Table66[[#This Row],[Year 6 (Specified in RFO) - N/A]]-Table66[[#This Row],[Column1]]</f>
        <v>0</v>
      </c>
    </row>
    <row r="805" spans="1:22" ht="16.5" thickBot="1">
      <c r="A805" s="319"/>
      <c r="B805" s="319"/>
      <c r="C805" s="319"/>
      <c r="D805" s="320"/>
      <c r="E805" s="320"/>
      <c r="F805" s="190"/>
      <c r="G8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5" s="190"/>
      <c r="I8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5" s="190"/>
      <c r="K8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5" s="190"/>
      <c r="M8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5" s="190"/>
      <c r="O8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5" s="190"/>
      <c r="Q8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5" s="192">
        <f ca="1">Table66[[#This Row],[Year 1 (Specified in RFO) - N/A]]+Table66[[#This Row],[Year 2 (Specified in RFO) - N/A]]+Table66[[#This Row],[Year 3 (Specified in RFO) - N/A]]+Table66[[#This Row],[Year 4 (Specified in RFO) - N/A]]+Table66[[#This Row],[Year 5 (Specified in RFO) - N/A]]+Table66[[#This Row],[Year 6 (Specified in RFO) - N/A]]</f>
        <v>0</v>
      </c>
      <c r="S805" s="402">
        <f ca="1">Table66[[#This Row],[Year 1  (Proposed)]]+Table66[[#This Row],[Year 2 (Proposed)]]+Table66[[#This Row],[Year 3 (Proposed)]]+Table66[[#This Row],[Year 4 (Proposed)]]+Table66[[#This Row],[Year 5 (Proposed)]]+Table66[[#This Row],[Year 6 (Proposed)]]</f>
        <v>0</v>
      </c>
      <c r="T805" s="403" t="b">
        <f ca="1">Table66[[#This Row],[Total Specifed in RFO - N/A]]=Table66[[#This Row],[Total Proposed]]</f>
        <v>1</v>
      </c>
      <c r="U805" s="439"/>
      <c r="V805" s="441">
        <f ca="1">Table66[[#This Row],[Year 6 (Specified in RFO) - N/A]]-Table66[[#This Row],[Column1]]</f>
        <v>0</v>
      </c>
    </row>
    <row r="806" spans="1:22" ht="16.5" thickBot="1">
      <c r="A806" s="319"/>
      <c r="B806" s="319"/>
      <c r="C806" s="319"/>
      <c r="D806" s="320"/>
      <c r="E806" s="320"/>
      <c r="F806" s="190"/>
      <c r="G8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6" s="190"/>
      <c r="I8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6" s="190"/>
      <c r="K8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6" s="190"/>
      <c r="M8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6" s="190"/>
      <c r="O8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6" s="190"/>
      <c r="Q8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6" s="192">
        <f ca="1">Table66[[#This Row],[Year 1 (Specified in RFO) - N/A]]+Table66[[#This Row],[Year 2 (Specified in RFO) - N/A]]+Table66[[#This Row],[Year 3 (Specified in RFO) - N/A]]+Table66[[#This Row],[Year 4 (Specified in RFO) - N/A]]+Table66[[#This Row],[Year 5 (Specified in RFO) - N/A]]+Table66[[#This Row],[Year 6 (Specified in RFO) - N/A]]</f>
        <v>0</v>
      </c>
      <c r="S806" s="402">
        <f ca="1">Table66[[#This Row],[Year 1  (Proposed)]]+Table66[[#This Row],[Year 2 (Proposed)]]+Table66[[#This Row],[Year 3 (Proposed)]]+Table66[[#This Row],[Year 4 (Proposed)]]+Table66[[#This Row],[Year 5 (Proposed)]]+Table66[[#This Row],[Year 6 (Proposed)]]</f>
        <v>0</v>
      </c>
      <c r="T806" s="403" t="b">
        <f ca="1">Table66[[#This Row],[Total Specifed in RFO - N/A]]=Table66[[#This Row],[Total Proposed]]</f>
        <v>1</v>
      </c>
      <c r="U806" s="439"/>
      <c r="V806" s="441">
        <f ca="1">Table66[[#This Row],[Year 6 (Specified in RFO) - N/A]]-Table66[[#This Row],[Column1]]</f>
        <v>0</v>
      </c>
    </row>
    <row r="807" spans="1:22" ht="16.5" thickBot="1">
      <c r="A807" s="227"/>
      <c r="B807" s="319"/>
      <c r="C807" s="319"/>
      <c r="D807" s="320"/>
      <c r="E807" s="320"/>
      <c r="F807" s="190"/>
      <c r="G8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7" s="190"/>
      <c r="I8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7" s="190"/>
      <c r="K8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7" s="190"/>
      <c r="M8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7" s="190"/>
      <c r="O8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7" s="190"/>
      <c r="Q8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7" s="192">
        <f ca="1">Table66[[#This Row],[Year 1 (Specified in RFO) - N/A]]+Table66[[#This Row],[Year 2 (Specified in RFO) - N/A]]+Table66[[#This Row],[Year 3 (Specified in RFO) - N/A]]+Table66[[#This Row],[Year 4 (Specified in RFO) - N/A]]+Table66[[#This Row],[Year 5 (Specified in RFO) - N/A]]+Table66[[#This Row],[Year 6 (Specified in RFO) - N/A]]</f>
        <v>0</v>
      </c>
      <c r="S807" s="402">
        <f ca="1">Table66[[#This Row],[Year 1  (Proposed)]]+Table66[[#This Row],[Year 2 (Proposed)]]+Table66[[#This Row],[Year 3 (Proposed)]]+Table66[[#This Row],[Year 4 (Proposed)]]+Table66[[#This Row],[Year 5 (Proposed)]]+Table66[[#This Row],[Year 6 (Proposed)]]</f>
        <v>0</v>
      </c>
      <c r="T807" s="403" t="b">
        <f ca="1">Table66[[#This Row],[Total Specifed in RFO - N/A]]=Table66[[#This Row],[Total Proposed]]</f>
        <v>1</v>
      </c>
      <c r="U807" s="439"/>
      <c r="V807" s="441">
        <f ca="1">Table66[[#This Row],[Year 6 (Specified in RFO) - N/A]]-Table66[[#This Row],[Column1]]</f>
        <v>0</v>
      </c>
    </row>
    <row r="808" spans="1:22" ht="16.5" thickBot="1">
      <c r="A808" s="319"/>
      <c r="B808" s="319"/>
      <c r="C808" s="319"/>
      <c r="D808" s="320"/>
      <c r="E808" s="320"/>
      <c r="F808" s="190"/>
      <c r="G8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8" s="190"/>
      <c r="I8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8" s="190"/>
      <c r="K8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8" s="190"/>
      <c r="M8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8" s="190"/>
      <c r="O8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8" s="190"/>
      <c r="Q8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8" s="192">
        <f ca="1">Table66[[#This Row],[Year 1 (Specified in RFO) - N/A]]+Table66[[#This Row],[Year 2 (Specified in RFO) - N/A]]+Table66[[#This Row],[Year 3 (Specified in RFO) - N/A]]+Table66[[#This Row],[Year 4 (Specified in RFO) - N/A]]+Table66[[#This Row],[Year 5 (Specified in RFO) - N/A]]+Table66[[#This Row],[Year 6 (Specified in RFO) - N/A]]</f>
        <v>0</v>
      </c>
      <c r="S808" s="402">
        <f ca="1">Table66[[#This Row],[Year 1  (Proposed)]]+Table66[[#This Row],[Year 2 (Proposed)]]+Table66[[#This Row],[Year 3 (Proposed)]]+Table66[[#This Row],[Year 4 (Proposed)]]+Table66[[#This Row],[Year 5 (Proposed)]]+Table66[[#This Row],[Year 6 (Proposed)]]</f>
        <v>0</v>
      </c>
      <c r="T808" s="403" t="b">
        <f ca="1">Table66[[#This Row],[Total Specifed in RFO - N/A]]=Table66[[#This Row],[Total Proposed]]</f>
        <v>1</v>
      </c>
      <c r="U808" s="439"/>
      <c r="V808" s="441">
        <f ca="1">Table66[[#This Row],[Year 6 (Specified in RFO) - N/A]]-Table66[[#This Row],[Column1]]</f>
        <v>0</v>
      </c>
    </row>
    <row r="809" spans="1:22" ht="16.5" thickBot="1">
      <c r="A809" s="319"/>
      <c r="B809" s="319"/>
      <c r="C809" s="319"/>
      <c r="D809" s="320"/>
      <c r="E809" s="320"/>
      <c r="F809" s="190"/>
      <c r="G8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9" s="190"/>
      <c r="I8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9" s="190"/>
      <c r="K8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9" s="190"/>
      <c r="M8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9" s="190"/>
      <c r="O8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9" s="190"/>
      <c r="Q8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9" s="192">
        <f ca="1">Table66[[#This Row],[Year 1 (Specified in RFO) - N/A]]+Table66[[#This Row],[Year 2 (Specified in RFO) - N/A]]+Table66[[#This Row],[Year 3 (Specified in RFO) - N/A]]+Table66[[#This Row],[Year 4 (Specified in RFO) - N/A]]+Table66[[#This Row],[Year 5 (Specified in RFO) - N/A]]+Table66[[#This Row],[Year 6 (Specified in RFO) - N/A]]</f>
        <v>0</v>
      </c>
      <c r="S809" s="402">
        <f ca="1">Table66[[#This Row],[Year 1  (Proposed)]]+Table66[[#This Row],[Year 2 (Proposed)]]+Table66[[#This Row],[Year 3 (Proposed)]]+Table66[[#This Row],[Year 4 (Proposed)]]+Table66[[#This Row],[Year 5 (Proposed)]]+Table66[[#This Row],[Year 6 (Proposed)]]</f>
        <v>0</v>
      </c>
      <c r="T809" s="403" t="b">
        <f ca="1">Table66[[#This Row],[Total Specifed in RFO - N/A]]=Table66[[#This Row],[Total Proposed]]</f>
        <v>1</v>
      </c>
      <c r="U809" s="439"/>
      <c r="V809" s="441">
        <f ca="1">Table66[[#This Row],[Year 6 (Specified in RFO) - N/A]]-Table66[[#This Row],[Column1]]</f>
        <v>0</v>
      </c>
    </row>
    <row r="810" spans="1:22" ht="16.5" thickBot="1">
      <c r="A810" s="227"/>
      <c r="B810" s="319"/>
      <c r="C810" s="319"/>
      <c r="D810" s="320"/>
      <c r="E810" s="320"/>
      <c r="F810" s="190"/>
      <c r="G8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0" s="190"/>
      <c r="I8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0" s="190"/>
      <c r="K8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0" s="190"/>
      <c r="M8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0" s="190"/>
      <c r="O8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0" s="190"/>
      <c r="Q8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0" s="192">
        <f ca="1">Table66[[#This Row],[Year 1 (Specified in RFO) - N/A]]+Table66[[#This Row],[Year 2 (Specified in RFO) - N/A]]+Table66[[#This Row],[Year 3 (Specified in RFO) - N/A]]+Table66[[#This Row],[Year 4 (Specified in RFO) - N/A]]+Table66[[#This Row],[Year 5 (Specified in RFO) - N/A]]+Table66[[#This Row],[Year 6 (Specified in RFO) - N/A]]</f>
        <v>0</v>
      </c>
      <c r="S810" s="402">
        <f ca="1">Table66[[#This Row],[Year 1  (Proposed)]]+Table66[[#This Row],[Year 2 (Proposed)]]+Table66[[#This Row],[Year 3 (Proposed)]]+Table66[[#This Row],[Year 4 (Proposed)]]+Table66[[#This Row],[Year 5 (Proposed)]]+Table66[[#This Row],[Year 6 (Proposed)]]</f>
        <v>0</v>
      </c>
      <c r="T810" s="403" t="b">
        <f ca="1">Table66[[#This Row],[Total Specifed in RFO - N/A]]=Table66[[#This Row],[Total Proposed]]</f>
        <v>1</v>
      </c>
      <c r="U810" s="439"/>
      <c r="V810" s="441">
        <f ca="1">Table66[[#This Row],[Year 6 (Specified in RFO) - N/A]]-Table66[[#This Row],[Column1]]</f>
        <v>0</v>
      </c>
    </row>
    <row r="811" spans="1:22" ht="16.5" thickBot="1">
      <c r="A811" s="319"/>
      <c r="B811" s="319"/>
      <c r="C811" s="319"/>
      <c r="D811" s="320"/>
      <c r="E811" s="320"/>
      <c r="F811" s="190"/>
      <c r="G8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1" s="190"/>
      <c r="I8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1" s="190"/>
      <c r="K8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1" s="190"/>
      <c r="M8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1" s="190"/>
      <c r="O8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1" s="190"/>
      <c r="Q8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1" s="192">
        <f ca="1">Table66[[#This Row],[Year 1 (Specified in RFO) - N/A]]+Table66[[#This Row],[Year 2 (Specified in RFO) - N/A]]+Table66[[#This Row],[Year 3 (Specified in RFO) - N/A]]+Table66[[#This Row],[Year 4 (Specified in RFO) - N/A]]+Table66[[#This Row],[Year 5 (Specified in RFO) - N/A]]+Table66[[#This Row],[Year 6 (Specified in RFO) - N/A]]</f>
        <v>0</v>
      </c>
      <c r="S811" s="402">
        <f ca="1">Table66[[#This Row],[Year 1  (Proposed)]]+Table66[[#This Row],[Year 2 (Proposed)]]+Table66[[#This Row],[Year 3 (Proposed)]]+Table66[[#This Row],[Year 4 (Proposed)]]+Table66[[#This Row],[Year 5 (Proposed)]]+Table66[[#This Row],[Year 6 (Proposed)]]</f>
        <v>0</v>
      </c>
      <c r="T811" s="403" t="b">
        <f ca="1">Table66[[#This Row],[Total Specifed in RFO - N/A]]=Table66[[#This Row],[Total Proposed]]</f>
        <v>1</v>
      </c>
      <c r="U811" s="439"/>
      <c r="V811" s="441">
        <f ca="1">Table66[[#This Row],[Year 6 (Specified in RFO) - N/A]]-Table66[[#This Row],[Column1]]</f>
        <v>0</v>
      </c>
    </row>
    <row r="812" spans="1:22" ht="16.5" thickBot="1">
      <c r="A812" s="319"/>
      <c r="B812" s="319"/>
      <c r="C812" s="319"/>
      <c r="D812" s="320"/>
      <c r="E812" s="320"/>
      <c r="F812" s="190"/>
      <c r="G8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2" s="190"/>
      <c r="I8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2" s="190"/>
      <c r="K8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2" s="190"/>
      <c r="M8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2" s="190"/>
      <c r="O8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2" s="190"/>
      <c r="Q8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2" s="192">
        <f ca="1">Table66[[#This Row],[Year 1 (Specified in RFO) - N/A]]+Table66[[#This Row],[Year 2 (Specified in RFO) - N/A]]+Table66[[#This Row],[Year 3 (Specified in RFO) - N/A]]+Table66[[#This Row],[Year 4 (Specified in RFO) - N/A]]+Table66[[#This Row],[Year 5 (Specified in RFO) - N/A]]+Table66[[#This Row],[Year 6 (Specified in RFO) - N/A]]</f>
        <v>0</v>
      </c>
      <c r="S812" s="402">
        <f ca="1">Table66[[#This Row],[Year 1  (Proposed)]]+Table66[[#This Row],[Year 2 (Proposed)]]+Table66[[#This Row],[Year 3 (Proposed)]]+Table66[[#This Row],[Year 4 (Proposed)]]+Table66[[#This Row],[Year 5 (Proposed)]]+Table66[[#This Row],[Year 6 (Proposed)]]</f>
        <v>0</v>
      </c>
      <c r="T812" s="403" t="b">
        <f ca="1">Table66[[#This Row],[Total Specifed in RFO - N/A]]=Table66[[#This Row],[Total Proposed]]</f>
        <v>1</v>
      </c>
      <c r="U812" s="439"/>
      <c r="V812" s="441">
        <f ca="1">Table66[[#This Row],[Year 6 (Specified in RFO) - N/A]]-Table66[[#This Row],[Column1]]</f>
        <v>0</v>
      </c>
    </row>
    <row r="813" spans="1:22" ht="16.5" thickBot="1">
      <c r="A813" s="227"/>
      <c r="B813" s="319"/>
      <c r="C813" s="319"/>
      <c r="D813" s="320"/>
      <c r="E813" s="320"/>
      <c r="F813" s="190"/>
      <c r="G8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3" s="190"/>
      <c r="I8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3" s="190"/>
      <c r="K8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3" s="190"/>
      <c r="M8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3" s="190"/>
      <c r="O8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3" s="190"/>
      <c r="Q8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3" s="192">
        <f ca="1">Table66[[#This Row],[Year 1 (Specified in RFO) - N/A]]+Table66[[#This Row],[Year 2 (Specified in RFO) - N/A]]+Table66[[#This Row],[Year 3 (Specified in RFO) - N/A]]+Table66[[#This Row],[Year 4 (Specified in RFO) - N/A]]+Table66[[#This Row],[Year 5 (Specified in RFO) - N/A]]+Table66[[#This Row],[Year 6 (Specified in RFO) - N/A]]</f>
        <v>0</v>
      </c>
      <c r="S813" s="402">
        <f ca="1">Table66[[#This Row],[Year 1  (Proposed)]]+Table66[[#This Row],[Year 2 (Proposed)]]+Table66[[#This Row],[Year 3 (Proposed)]]+Table66[[#This Row],[Year 4 (Proposed)]]+Table66[[#This Row],[Year 5 (Proposed)]]+Table66[[#This Row],[Year 6 (Proposed)]]</f>
        <v>0</v>
      </c>
      <c r="T813" s="403" t="b">
        <f ca="1">Table66[[#This Row],[Total Specifed in RFO - N/A]]=Table66[[#This Row],[Total Proposed]]</f>
        <v>1</v>
      </c>
      <c r="U813" s="439"/>
      <c r="V813" s="441">
        <f ca="1">Table66[[#This Row],[Year 6 (Specified in RFO) - N/A]]-Table66[[#This Row],[Column1]]</f>
        <v>0</v>
      </c>
    </row>
    <row r="814" spans="1:22" ht="16.5" thickBot="1">
      <c r="A814" s="319"/>
      <c r="B814" s="319"/>
      <c r="C814" s="319"/>
      <c r="D814" s="320"/>
      <c r="E814" s="320"/>
      <c r="F814" s="190"/>
      <c r="G8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4" s="190"/>
      <c r="I8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4" s="190"/>
      <c r="K8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4" s="190"/>
      <c r="M8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4" s="190"/>
      <c r="O8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4" s="190"/>
      <c r="Q8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4" s="192">
        <f ca="1">Table66[[#This Row],[Year 1 (Specified in RFO) - N/A]]+Table66[[#This Row],[Year 2 (Specified in RFO) - N/A]]+Table66[[#This Row],[Year 3 (Specified in RFO) - N/A]]+Table66[[#This Row],[Year 4 (Specified in RFO) - N/A]]+Table66[[#This Row],[Year 5 (Specified in RFO) - N/A]]+Table66[[#This Row],[Year 6 (Specified in RFO) - N/A]]</f>
        <v>0</v>
      </c>
      <c r="S814" s="402">
        <f ca="1">Table66[[#This Row],[Year 1  (Proposed)]]+Table66[[#This Row],[Year 2 (Proposed)]]+Table66[[#This Row],[Year 3 (Proposed)]]+Table66[[#This Row],[Year 4 (Proposed)]]+Table66[[#This Row],[Year 5 (Proposed)]]+Table66[[#This Row],[Year 6 (Proposed)]]</f>
        <v>0</v>
      </c>
      <c r="T814" s="403" t="b">
        <f ca="1">Table66[[#This Row],[Total Specifed in RFO - N/A]]=Table66[[#This Row],[Total Proposed]]</f>
        <v>1</v>
      </c>
      <c r="U814" s="439"/>
      <c r="V814" s="441">
        <f ca="1">Table66[[#This Row],[Year 6 (Specified in RFO) - N/A]]-Table66[[#This Row],[Column1]]</f>
        <v>0</v>
      </c>
    </row>
    <row r="815" spans="1:22" ht="16.5" thickBot="1">
      <c r="A815" s="319"/>
      <c r="B815" s="319"/>
      <c r="C815" s="319"/>
      <c r="D815" s="320"/>
      <c r="E815" s="320"/>
      <c r="F815" s="190"/>
      <c r="G8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5" s="190"/>
      <c r="I8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5" s="190"/>
      <c r="K8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5" s="190"/>
      <c r="M8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5" s="190"/>
      <c r="O8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5" s="190"/>
      <c r="Q8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5" s="192">
        <f ca="1">Table66[[#This Row],[Year 1 (Specified in RFO) - N/A]]+Table66[[#This Row],[Year 2 (Specified in RFO) - N/A]]+Table66[[#This Row],[Year 3 (Specified in RFO) - N/A]]+Table66[[#This Row],[Year 4 (Specified in RFO) - N/A]]+Table66[[#This Row],[Year 5 (Specified in RFO) - N/A]]+Table66[[#This Row],[Year 6 (Specified in RFO) - N/A]]</f>
        <v>0</v>
      </c>
      <c r="S815" s="402">
        <f ca="1">Table66[[#This Row],[Year 1  (Proposed)]]+Table66[[#This Row],[Year 2 (Proposed)]]+Table66[[#This Row],[Year 3 (Proposed)]]+Table66[[#This Row],[Year 4 (Proposed)]]+Table66[[#This Row],[Year 5 (Proposed)]]+Table66[[#This Row],[Year 6 (Proposed)]]</f>
        <v>0</v>
      </c>
      <c r="T815" s="403" t="b">
        <f ca="1">Table66[[#This Row],[Total Specifed in RFO - N/A]]=Table66[[#This Row],[Total Proposed]]</f>
        <v>1</v>
      </c>
      <c r="U815" s="439"/>
      <c r="V815" s="441">
        <f ca="1">Table66[[#This Row],[Year 6 (Specified in RFO) - N/A]]-Table66[[#This Row],[Column1]]</f>
        <v>0</v>
      </c>
    </row>
    <row r="816" spans="1:22" ht="16.5" thickBot="1">
      <c r="A816" s="227"/>
      <c r="B816" s="319"/>
      <c r="C816" s="319"/>
      <c r="D816" s="320"/>
      <c r="E816" s="320"/>
      <c r="F816" s="190"/>
      <c r="G8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6" s="190"/>
      <c r="I8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6" s="190"/>
      <c r="K8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6" s="190"/>
      <c r="M8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6" s="190"/>
      <c r="O8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6" s="190"/>
      <c r="Q8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6" s="192">
        <f ca="1">Table66[[#This Row],[Year 1 (Specified in RFO) - N/A]]+Table66[[#This Row],[Year 2 (Specified in RFO) - N/A]]+Table66[[#This Row],[Year 3 (Specified in RFO) - N/A]]+Table66[[#This Row],[Year 4 (Specified in RFO) - N/A]]+Table66[[#This Row],[Year 5 (Specified in RFO) - N/A]]+Table66[[#This Row],[Year 6 (Specified in RFO) - N/A]]</f>
        <v>0</v>
      </c>
      <c r="S816" s="402">
        <f ca="1">Table66[[#This Row],[Year 1  (Proposed)]]+Table66[[#This Row],[Year 2 (Proposed)]]+Table66[[#This Row],[Year 3 (Proposed)]]+Table66[[#This Row],[Year 4 (Proposed)]]+Table66[[#This Row],[Year 5 (Proposed)]]+Table66[[#This Row],[Year 6 (Proposed)]]</f>
        <v>0</v>
      </c>
      <c r="T816" s="403" t="b">
        <f ca="1">Table66[[#This Row],[Total Specifed in RFO - N/A]]=Table66[[#This Row],[Total Proposed]]</f>
        <v>1</v>
      </c>
      <c r="U816" s="439"/>
      <c r="V816" s="441">
        <f ca="1">Table66[[#This Row],[Year 6 (Specified in RFO) - N/A]]-Table66[[#This Row],[Column1]]</f>
        <v>0</v>
      </c>
    </row>
    <row r="817" spans="1:22" ht="16.5" thickBot="1">
      <c r="A817" s="319"/>
      <c r="B817" s="319"/>
      <c r="C817" s="319"/>
      <c r="D817" s="320"/>
      <c r="E817" s="320"/>
      <c r="F817" s="190"/>
      <c r="G8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7" s="190"/>
      <c r="I8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7" s="190"/>
      <c r="K8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7" s="190"/>
      <c r="M8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7" s="190"/>
      <c r="O8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7" s="190"/>
      <c r="Q8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7" s="192">
        <f ca="1">Table66[[#This Row],[Year 1 (Specified in RFO) - N/A]]+Table66[[#This Row],[Year 2 (Specified in RFO) - N/A]]+Table66[[#This Row],[Year 3 (Specified in RFO) - N/A]]+Table66[[#This Row],[Year 4 (Specified in RFO) - N/A]]+Table66[[#This Row],[Year 5 (Specified in RFO) - N/A]]+Table66[[#This Row],[Year 6 (Specified in RFO) - N/A]]</f>
        <v>0</v>
      </c>
      <c r="S817" s="402">
        <f ca="1">Table66[[#This Row],[Year 1  (Proposed)]]+Table66[[#This Row],[Year 2 (Proposed)]]+Table66[[#This Row],[Year 3 (Proposed)]]+Table66[[#This Row],[Year 4 (Proposed)]]+Table66[[#This Row],[Year 5 (Proposed)]]+Table66[[#This Row],[Year 6 (Proposed)]]</f>
        <v>0</v>
      </c>
      <c r="T817" s="403" t="b">
        <f ca="1">Table66[[#This Row],[Total Specifed in RFO - N/A]]=Table66[[#This Row],[Total Proposed]]</f>
        <v>1</v>
      </c>
      <c r="U817" s="439"/>
      <c r="V817" s="441">
        <f ca="1">Table66[[#This Row],[Year 6 (Specified in RFO) - N/A]]-Table66[[#This Row],[Column1]]</f>
        <v>0</v>
      </c>
    </row>
    <row r="818" spans="1:22" ht="16.5" thickBot="1">
      <c r="A818" s="319"/>
      <c r="B818" s="319"/>
      <c r="C818" s="319"/>
      <c r="D818" s="320"/>
      <c r="E818" s="320"/>
      <c r="F818" s="190"/>
      <c r="G8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8" s="190"/>
      <c r="I8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8" s="190"/>
      <c r="K8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8" s="190"/>
      <c r="M8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8" s="190"/>
      <c r="O8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8" s="190"/>
      <c r="Q8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8" s="192">
        <f ca="1">Table66[[#This Row],[Year 1 (Specified in RFO) - N/A]]+Table66[[#This Row],[Year 2 (Specified in RFO) - N/A]]+Table66[[#This Row],[Year 3 (Specified in RFO) - N/A]]+Table66[[#This Row],[Year 4 (Specified in RFO) - N/A]]+Table66[[#This Row],[Year 5 (Specified in RFO) - N/A]]+Table66[[#This Row],[Year 6 (Specified in RFO) - N/A]]</f>
        <v>0</v>
      </c>
      <c r="S818" s="402">
        <f ca="1">Table66[[#This Row],[Year 1  (Proposed)]]+Table66[[#This Row],[Year 2 (Proposed)]]+Table66[[#This Row],[Year 3 (Proposed)]]+Table66[[#This Row],[Year 4 (Proposed)]]+Table66[[#This Row],[Year 5 (Proposed)]]+Table66[[#This Row],[Year 6 (Proposed)]]</f>
        <v>0</v>
      </c>
      <c r="T818" s="403" t="b">
        <f ca="1">Table66[[#This Row],[Total Specifed in RFO - N/A]]=Table66[[#This Row],[Total Proposed]]</f>
        <v>1</v>
      </c>
      <c r="U818" s="439"/>
      <c r="V818" s="441">
        <f ca="1">Table66[[#This Row],[Year 6 (Specified in RFO) - N/A]]-Table66[[#This Row],[Column1]]</f>
        <v>0</v>
      </c>
    </row>
    <row r="819" spans="1:22" ht="16.5" thickBot="1">
      <c r="A819" s="227"/>
      <c r="B819" s="319"/>
      <c r="C819" s="319"/>
      <c r="D819" s="320"/>
      <c r="E819" s="320"/>
      <c r="F819" s="190"/>
      <c r="G8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9" s="190"/>
      <c r="I8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9" s="190"/>
      <c r="K8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9" s="190"/>
      <c r="M8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9" s="190"/>
      <c r="O8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9" s="190"/>
      <c r="Q8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9" s="192">
        <f ca="1">Table66[[#This Row],[Year 1 (Specified in RFO) - N/A]]+Table66[[#This Row],[Year 2 (Specified in RFO) - N/A]]+Table66[[#This Row],[Year 3 (Specified in RFO) - N/A]]+Table66[[#This Row],[Year 4 (Specified in RFO) - N/A]]+Table66[[#This Row],[Year 5 (Specified in RFO) - N/A]]+Table66[[#This Row],[Year 6 (Specified in RFO) - N/A]]</f>
        <v>0</v>
      </c>
      <c r="S819" s="402">
        <f ca="1">Table66[[#This Row],[Year 1  (Proposed)]]+Table66[[#This Row],[Year 2 (Proposed)]]+Table66[[#This Row],[Year 3 (Proposed)]]+Table66[[#This Row],[Year 4 (Proposed)]]+Table66[[#This Row],[Year 5 (Proposed)]]+Table66[[#This Row],[Year 6 (Proposed)]]</f>
        <v>0</v>
      </c>
      <c r="T819" s="403" t="b">
        <f ca="1">Table66[[#This Row],[Total Specifed in RFO - N/A]]=Table66[[#This Row],[Total Proposed]]</f>
        <v>1</v>
      </c>
      <c r="U819" s="439"/>
      <c r="V819" s="441">
        <f ca="1">Table66[[#This Row],[Year 6 (Specified in RFO) - N/A]]-Table66[[#This Row],[Column1]]</f>
        <v>0</v>
      </c>
    </row>
    <row r="820" spans="1:22" ht="16.5" thickBot="1">
      <c r="A820" s="227"/>
      <c r="B820" s="227"/>
      <c r="C820" s="227"/>
      <c r="D820" s="320"/>
      <c r="E820" s="231"/>
      <c r="F820" s="190"/>
      <c r="G8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0" s="190"/>
      <c r="I8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0" s="190"/>
      <c r="K8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0" s="190"/>
      <c r="M8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0" s="190"/>
      <c r="O8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0" s="190"/>
      <c r="Q8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0" s="192">
        <f ca="1">Table66[[#This Row],[Year 1 (Specified in RFO) - N/A]]+Table66[[#This Row],[Year 2 (Specified in RFO) - N/A]]+Table66[[#This Row],[Year 3 (Specified in RFO) - N/A]]+Table66[[#This Row],[Year 4 (Specified in RFO) - N/A]]+Table66[[#This Row],[Year 5 (Specified in RFO) - N/A]]+Table66[[#This Row],[Year 6 (Specified in RFO) - N/A]]</f>
        <v>0</v>
      </c>
      <c r="S820" s="402">
        <f ca="1">Table66[[#This Row],[Year 1  (Proposed)]]+Table66[[#This Row],[Year 2 (Proposed)]]+Table66[[#This Row],[Year 3 (Proposed)]]+Table66[[#This Row],[Year 4 (Proposed)]]+Table66[[#This Row],[Year 5 (Proposed)]]+Table66[[#This Row],[Year 6 (Proposed)]]</f>
        <v>0</v>
      </c>
      <c r="T820" s="403" t="b">
        <f ca="1">Table66[[#This Row],[Total Specifed in RFO - N/A]]=Table66[[#This Row],[Total Proposed]]</f>
        <v>1</v>
      </c>
      <c r="U820" s="439"/>
      <c r="V820" s="441">
        <f ca="1">Table66[[#This Row],[Year 6 (Specified in RFO) - N/A]]-Table66[[#This Row],[Column1]]</f>
        <v>0</v>
      </c>
    </row>
    <row r="821" spans="1:22" ht="16.5" thickBot="1">
      <c r="A821" s="227"/>
      <c r="B821" s="227"/>
      <c r="C821" s="227"/>
      <c r="D821" s="320"/>
      <c r="E821" s="231"/>
      <c r="F821" s="190"/>
      <c r="G8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1" s="190"/>
      <c r="I8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1" s="190"/>
      <c r="K8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1" s="190"/>
      <c r="M8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1" s="190"/>
      <c r="O8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1" s="190"/>
      <c r="Q8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1" s="192">
        <f ca="1">Table66[[#This Row],[Year 1 (Specified in RFO) - N/A]]+Table66[[#This Row],[Year 2 (Specified in RFO) - N/A]]+Table66[[#This Row],[Year 3 (Specified in RFO) - N/A]]+Table66[[#This Row],[Year 4 (Specified in RFO) - N/A]]+Table66[[#This Row],[Year 5 (Specified in RFO) - N/A]]+Table66[[#This Row],[Year 6 (Specified in RFO) - N/A]]</f>
        <v>0</v>
      </c>
      <c r="S821" s="402">
        <f ca="1">Table66[[#This Row],[Year 1  (Proposed)]]+Table66[[#This Row],[Year 2 (Proposed)]]+Table66[[#This Row],[Year 3 (Proposed)]]+Table66[[#This Row],[Year 4 (Proposed)]]+Table66[[#This Row],[Year 5 (Proposed)]]+Table66[[#This Row],[Year 6 (Proposed)]]</f>
        <v>0</v>
      </c>
      <c r="T821" s="403" t="b">
        <f ca="1">Table66[[#This Row],[Total Specifed in RFO - N/A]]=Table66[[#This Row],[Total Proposed]]</f>
        <v>1</v>
      </c>
      <c r="U821" s="439"/>
      <c r="V821" s="441">
        <f ca="1">Table66[[#This Row],[Year 6 (Specified in RFO) - N/A]]-Table66[[#This Row],[Column1]]</f>
        <v>0</v>
      </c>
    </row>
    <row r="822" spans="1:22" ht="16.5" thickBot="1">
      <c r="A822" s="227"/>
      <c r="B822" s="319"/>
      <c r="C822" s="319"/>
      <c r="D822" s="320"/>
      <c r="E822" s="320"/>
      <c r="F822" s="190"/>
      <c r="G8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2" s="190"/>
      <c r="I8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2" s="190"/>
      <c r="K8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2" s="190"/>
      <c r="M8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2" s="190"/>
      <c r="O8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2" s="190"/>
      <c r="Q8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2" s="192">
        <f ca="1">Table66[[#This Row],[Year 1 (Specified in RFO) - N/A]]+Table66[[#This Row],[Year 2 (Specified in RFO) - N/A]]+Table66[[#This Row],[Year 3 (Specified in RFO) - N/A]]+Table66[[#This Row],[Year 4 (Specified in RFO) - N/A]]+Table66[[#This Row],[Year 5 (Specified in RFO) - N/A]]+Table66[[#This Row],[Year 6 (Specified in RFO) - N/A]]</f>
        <v>0</v>
      </c>
      <c r="S822" s="402">
        <f ca="1">Table66[[#This Row],[Year 1  (Proposed)]]+Table66[[#This Row],[Year 2 (Proposed)]]+Table66[[#This Row],[Year 3 (Proposed)]]+Table66[[#This Row],[Year 4 (Proposed)]]+Table66[[#This Row],[Year 5 (Proposed)]]+Table66[[#This Row],[Year 6 (Proposed)]]</f>
        <v>0</v>
      </c>
      <c r="T822" s="403" t="b">
        <f ca="1">Table66[[#This Row],[Total Specifed in RFO - N/A]]=Table66[[#This Row],[Total Proposed]]</f>
        <v>1</v>
      </c>
      <c r="U822" s="439"/>
      <c r="V822" s="441">
        <f ca="1">Table66[[#This Row],[Year 6 (Specified in RFO) - N/A]]-Table66[[#This Row],[Column1]]</f>
        <v>0</v>
      </c>
    </row>
    <row r="823" spans="1:22" ht="16.5" thickBot="1">
      <c r="A823" s="227"/>
      <c r="B823" s="227"/>
      <c r="C823" s="227"/>
      <c r="D823" s="320"/>
      <c r="E823" s="231"/>
      <c r="F823" s="190"/>
      <c r="G8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3" s="190"/>
      <c r="I8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3" s="190"/>
      <c r="K8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3" s="190"/>
      <c r="M8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3" s="190"/>
      <c r="O8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3" s="190"/>
      <c r="Q8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3" s="192">
        <f ca="1">Table66[[#This Row],[Year 1 (Specified in RFO) - N/A]]+Table66[[#This Row],[Year 2 (Specified in RFO) - N/A]]+Table66[[#This Row],[Year 3 (Specified in RFO) - N/A]]+Table66[[#This Row],[Year 4 (Specified in RFO) - N/A]]+Table66[[#This Row],[Year 5 (Specified in RFO) - N/A]]+Table66[[#This Row],[Year 6 (Specified in RFO) - N/A]]</f>
        <v>0</v>
      </c>
      <c r="S823" s="402">
        <f ca="1">Table66[[#This Row],[Year 1  (Proposed)]]+Table66[[#This Row],[Year 2 (Proposed)]]+Table66[[#This Row],[Year 3 (Proposed)]]+Table66[[#This Row],[Year 4 (Proposed)]]+Table66[[#This Row],[Year 5 (Proposed)]]+Table66[[#This Row],[Year 6 (Proposed)]]</f>
        <v>0</v>
      </c>
      <c r="T823" s="403" t="b">
        <f ca="1">Table66[[#This Row],[Total Specifed in RFO - N/A]]=Table66[[#This Row],[Total Proposed]]</f>
        <v>1</v>
      </c>
      <c r="U823" s="439"/>
      <c r="V823" s="441">
        <f ca="1">Table66[[#This Row],[Year 6 (Specified in RFO) - N/A]]-Table66[[#This Row],[Column1]]</f>
        <v>0</v>
      </c>
    </row>
    <row r="824" spans="1:22" ht="16.5" thickBot="1">
      <c r="A824" s="227"/>
      <c r="B824" s="227"/>
      <c r="C824" s="227"/>
      <c r="D824" s="320"/>
      <c r="E824" s="231"/>
      <c r="F824" s="190"/>
      <c r="G8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4" s="190"/>
      <c r="I8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4" s="190"/>
      <c r="K8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4" s="190"/>
      <c r="M8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4" s="190"/>
      <c r="O8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4" s="190"/>
      <c r="Q8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4" s="192">
        <f ca="1">Table66[[#This Row],[Year 1 (Specified in RFO) - N/A]]+Table66[[#This Row],[Year 2 (Specified in RFO) - N/A]]+Table66[[#This Row],[Year 3 (Specified in RFO) - N/A]]+Table66[[#This Row],[Year 4 (Specified in RFO) - N/A]]+Table66[[#This Row],[Year 5 (Specified in RFO) - N/A]]+Table66[[#This Row],[Year 6 (Specified in RFO) - N/A]]</f>
        <v>0</v>
      </c>
      <c r="S824" s="402">
        <f ca="1">Table66[[#This Row],[Year 1  (Proposed)]]+Table66[[#This Row],[Year 2 (Proposed)]]+Table66[[#This Row],[Year 3 (Proposed)]]+Table66[[#This Row],[Year 4 (Proposed)]]+Table66[[#This Row],[Year 5 (Proposed)]]+Table66[[#This Row],[Year 6 (Proposed)]]</f>
        <v>0</v>
      </c>
      <c r="T824" s="403" t="b">
        <f ca="1">Table66[[#This Row],[Total Specifed in RFO - N/A]]=Table66[[#This Row],[Total Proposed]]</f>
        <v>1</v>
      </c>
      <c r="U824" s="439"/>
      <c r="V824" s="441">
        <f ca="1">Table66[[#This Row],[Year 6 (Specified in RFO) - N/A]]-Table66[[#This Row],[Column1]]</f>
        <v>0</v>
      </c>
    </row>
    <row r="825" spans="1:22" ht="16.5" thickBot="1">
      <c r="A825" s="227"/>
      <c r="B825" s="319"/>
      <c r="C825" s="319"/>
      <c r="D825" s="320"/>
      <c r="E825" s="320"/>
      <c r="F825" s="190"/>
      <c r="G8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5" s="190"/>
      <c r="I8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5" s="190"/>
      <c r="K8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5" s="190"/>
      <c r="M8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5" s="190"/>
      <c r="O8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5" s="190"/>
      <c r="Q8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5" s="192">
        <f ca="1">Table66[[#This Row],[Year 1 (Specified in RFO) - N/A]]+Table66[[#This Row],[Year 2 (Specified in RFO) - N/A]]+Table66[[#This Row],[Year 3 (Specified in RFO) - N/A]]+Table66[[#This Row],[Year 4 (Specified in RFO) - N/A]]+Table66[[#This Row],[Year 5 (Specified in RFO) - N/A]]+Table66[[#This Row],[Year 6 (Specified in RFO) - N/A]]</f>
        <v>0</v>
      </c>
      <c r="S825" s="402">
        <f ca="1">Table66[[#This Row],[Year 1  (Proposed)]]+Table66[[#This Row],[Year 2 (Proposed)]]+Table66[[#This Row],[Year 3 (Proposed)]]+Table66[[#This Row],[Year 4 (Proposed)]]+Table66[[#This Row],[Year 5 (Proposed)]]+Table66[[#This Row],[Year 6 (Proposed)]]</f>
        <v>0</v>
      </c>
      <c r="T825" s="403" t="b">
        <f ca="1">Table66[[#This Row],[Total Specifed in RFO - N/A]]=Table66[[#This Row],[Total Proposed]]</f>
        <v>1</v>
      </c>
      <c r="U825" s="439"/>
      <c r="V825" s="441">
        <f ca="1">Table66[[#This Row],[Year 6 (Specified in RFO) - N/A]]-Table66[[#This Row],[Column1]]</f>
        <v>0</v>
      </c>
    </row>
    <row r="826" spans="1:22" ht="16.5" thickBot="1">
      <c r="A826" s="227"/>
      <c r="B826" s="227"/>
      <c r="C826" s="227"/>
      <c r="D826" s="320"/>
      <c r="E826" s="231"/>
      <c r="F826" s="190"/>
      <c r="G8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6" s="190"/>
      <c r="I8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6" s="190"/>
      <c r="K8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6" s="190"/>
      <c r="M8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6" s="190"/>
      <c r="O8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6" s="190"/>
      <c r="Q8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6" s="192">
        <f ca="1">Table66[[#This Row],[Year 1 (Specified in RFO) - N/A]]+Table66[[#This Row],[Year 2 (Specified in RFO) - N/A]]+Table66[[#This Row],[Year 3 (Specified in RFO) - N/A]]+Table66[[#This Row],[Year 4 (Specified in RFO) - N/A]]+Table66[[#This Row],[Year 5 (Specified in RFO) - N/A]]+Table66[[#This Row],[Year 6 (Specified in RFO) - N/A]]</f>
        <v>0</v>
      </c>
      <c r="S826" s="402">
        <f ca="1">Table66[[#This Row],[Year 1  (Proposed)]]+Table66[[#This Row],[Year 2 (Proposed)]]+Table66[[#This Row],[Year 3 (Proposed)]]+Table66[[#This Row],[Year 4 (Proposed)]]+Table66[[#This Row],[Year 5 (Proposed)]]+Table66[[#This Row],[Year 6 (Proposed)]]</f>
        <v>0</v>
      </c>
      <c r="T826" s="403" t="b">
        <f ca="1">Table66[[#This Row],[Total Specifed in RFO - N/A]]=Table66[[#This Row],[Total Proposed]]</f>
        <v>1</v>
      </c>
      <c r="U826" s="439"/>
      <c r="V826" s="441">
        <f ca="1">Table66[[#This Row],[Year 6 (Specified in RFO) - N/A]]-Table66[[#This Row],[Column1]]</f>
        <v>0</v>
      </c>
    </row>
    <row r="827" spans="1:22" ht="16.5" thickBot="1">
      <c r="A827" s="227"/>
      <c r="B827" s="227"/>
      <c r="C827" s="227"/>
      <c r="D827" s="320"/>
      <c r="E827" s="231"/>
      <c r="F827" s="190"/>
      <c r="G8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7" s="190"/>
      <c r="I8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7" s="190"/>
      <c r="K8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7" s="190"/>
      <c r="M8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7" s="190"/>
      <c r="O8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7" s="190"/>
      <c r="Q8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7" s="192">
        <f ca="1">Table66[[#This Row],[Year 1 (Specified in RFO) - N/A]]+Table66[[#This Row],[Year 2 (Specified in RFO) - N/A]]+Table66[[#This Row],[Year 3 (Specified in RFO) - N/A]]+Table66[[#This Row],[Year 4 (Specified in RFO) - N/A]]+Table66[[#This Row],[Year 5 (Specified in RFO) - N/A]]+Table66[[#This Row],[Year 6 (Specified in RFO) - N/A]]</f>
        <v>0</v>
      </c>
      <c r="S827" s="402">
        <f ca="1">Table66[[#This Row],[Year 1  (Proposed)]]+Table66[[#This Row],[Year 2 (Proposed)]]+Table66[[#This Row],[Year 3 (Proposed)]]+Table66[[#This Row],[Year 4 (Proposed)]]+Table66[[#This Row],[Year 5 (Proposed)]]+Table66[[#This Row],[Year 6 (Proposed)]]</f>
        <v>0</v>
      </c>
      <c r="T827" s="403" t="b">
        <f ca="1">Table66[[#This Row],[Total Specifed in RFO - N/A]]=Table66[[#This Row],[Total Proposed]]</f>
        <v>1</v>
      </c>
      <c r="U827" s="439"/>
      <c r="V827" s="441">
        <f ca="1">Table66[[#This Row],[Year 6 (Specified in RFO) - N/A]]-Table66[[#This Row],[Column1]]</f>
        <v>0</v>
      </c>
    </row>
    <row r="828" spans="1:22" ht="16.5" thickBot="1">
      <c r="A828" s="227"/>
      <c r="B828" s="319"/>
      <c r="C828" s="319"/>
      <c r="D828" s="320"/>
      <c r="E828" s="320"/>
      <c r="F828" s="190"/>
      <c r="G8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8" s="190"/>
      <c r="I8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8" s="190"/>
      <c r="K8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8" s="190"/>
      <c r="M8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8" s="190"/>
      <c r="O8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8" s="190"/>
      <c r="Q8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8" s="192">
        <f ca="1">Table66[[#This Row],[Year 1 (Specified in RFO) - N/A]]+Table66[[#This Row],[Year 2 (Specified in RFO) - N/A]]+Table66[[#This Row],[Year 3 (Specified in RFO) - N/A]]+Table66[[#This Row],[Year 4 (Specified in RFO) - N/A]]+Table66[[#This Row],[Year 5 (Specified in RFO) - N/A]]+Table66[[#This Row],[Year 6 (Specified in RFO) - N/A]]</f>
        <v>0</v>
      </c>
      <c r="S828" s="402">
        <f ca="1">Table66[[#This Row],[Year 1  (Proposed)]]+Table66[[#This Row],[Year 2 (Proposed)]]+Table66[[#This Row],[Year 3 (Proposed)]]+Table66[[#This Row],[Year 4 (Proposed)]]+Table66[[#This Row],[Year 5 (Proposed)]]+Table66[[#This Row],[Year 6 (Proposed)]]</f>
        <v>0</v>
      </c>
      <c r="T828" s="403" t="b">
        <f ca="1">Table66[[#This Row],[Total Specifed in RFO - N/A]]=Table66[[#This Row],[Total Proposed]]</f>
        <v>1</v>
      </c>
      <c r="U828" s="439"/>
      <c r="V828" s="441">
        <f ca="1">Table66[[#This Row],[Year 6 (Specified in RFO) - N/A]]-Table66[[#This Row],[Column1]]</f>
        <v>0</v>
      </c>
    </row>
    <row r="829" spans="1:22" ht="16.5" thickBot="1">
      <c r="A829" s="227"/>
      <c r="B829" s="227"/>
      <c r="C829" s="227"/>
      <c r="D829" s="320"/>
      <c r="E829" s="231"/>
      <c r="F829" s="190"/>
      <c r="G8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9" s="190"/>
      <c r="I8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9" s="190"/>
      <c r="K8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9" s="190"/>
      <c r="M8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9" s="190"/>
      <c r="O8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9" s="190"/>
      <c r="Q8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9" s="192">
        <f ca="1">Table66[[#This Row],[Year 1 (Specified in RFO) - N/A]]+Table66[[#This Row],[Year 2 (Specified in RFO) - N/A]]+Table66[[#This Row],[Year 3 (Specified in RFO) - N/A]]+Table66[[#This Row],[Year 4 (Specified in RFO) - N/A]]+Table66[[#This Row],[Year 5 (Specified in RFO) - N/A]]+Table66[[#This Row],[Year 6 (Specified in RFO) - N/A]]</f>
        <v>0</v>
      </c>
      <c r="S829" s="402">
        <f ca="1">Table66[[#This Row],[Year 1  (Proposed)]]+Table66[[#This Row],[Year 2 (Proposed)]]+Table66[[#This Row],[Year 3 (Proposed)]]+Table66[[#This Row],[Year 4 (Proposed)]]+Table66[[#This Row],[Year 5 (Proposed)]]+Table66[[#This Row],[Year 6 (Proposed)]]</f>
        <v>0</v>
      </c>
      <c r="T829" s="403" t="b">
        <f ca="1">Table66[[#This Row],[Total Specifed in RFO - N/A]]=Table66[[#This Row],[Total Proposed]]</f>
        <v>1</v>
      </c>
      <c r="U829" s="439"/>
      <c r="V829" s="441">
        <f ca="1">Table66[[#This Row],[Year 6 (Specified in RFO) - N/A]]-Table66[[#This Row],[Column1]]</f>
        <v>0</v>
      </c>
    </row>
    <row r="830" spans="1:22" ht="16.5" thickBot="1">
      <c r="A830" s="227"/>
      <c r="B830" s="227"/>
      <c r="C830" s="227"/>
      <c r="D830" s="320"/>
      <c r="E830" s="231"/>
      <c r="F830" s="190"/>
      <c r="G8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0" s="190"/>
      <c r="I8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0" s="190"/>
      <c r="K8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0" s="190"/>
      <c r="M8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0" s="190"/>
      <c r="O8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0" s="190"/>
      <c r="Q8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0" s="192">
        <f ca="1">Table66[[#This Row],[Year 1 (Specified in RFO) - N/A]]+Table66[[#This Row],[Year 2 (Specified in RFO) - N/A]]+Table66[[#This Row],[Year 3 (Specified in RFO) - N/A]]+Table66[[#This Row],[Year 4 (Specified in RFO) - N/A]]+Table66[[#This Row],[Year 5 (Specified in RFO) - N/A]]+Table66[[#This Row],[Year 6 (Specified in RFO) - N/A]]</f>
        <v>0</v>
      </c>
      <c r="S830" s="402">
        <f ca="1">Table66[[#This Row],[Year 1  (Proposed)]]+Table66[[#This Row],[Year 2 (Proposed)]]+Table66[[#This Row],[Year 3 (Proposed)]]+Table66[[#This Row],[Year 4 (Proposed)]]+Table66[[#This Row],[Year 5 (Proposed)]]+Table66[[#This Row],[Year 6 (Proposed)]]</f>
        <v>0</v>
      </c>
      <c r="T830" s="403" t="b">
        <f ca="1">Table66[[#This Row],[Total Specifed in RFO - N/A]]=Table66[[#This Row],[Total Proposed]]</f>
        <v>1</v>
      </c>
      <c r="U830" s="439"/>
      <c r="V830" s="441">
        <f ca="1">Table66[[#This Row],[Year 6 (Specified in RFO) - N/A]]-Table66[[#This Row],[Column1]]</f>
        <v>0</v>
      </c>
    </row>
    <row r="831" spans="1:22" ht="16.5" thickBot="1">
      <c r="A831" s="227"/>
      <c r="B831" s="319"/>
      <c r="C831" s="319"/>
      <c r="D831" s="320"/>
      <c r="E831" s="320"/>
      <c r="F831" s="190"/>
      <c r="G8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1" s="190"/>
      <c r="I8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1" s="190"/>
      <c r="K8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1" s="190"/>
      <c r="M8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1" s="190"/>
      <c r="O8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1" s="190"/>
      <c r="Q8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1" s="192">
        <f ca="1">Table66[[#This Row],[Year 1 (Specified in RFO) - N/A]]+Table66[[#This Row],[Year 2 (Specified in RFO) - N/A]]+Table66[[#This Row],[Year 3 (Specified in RFO) - N/A]]+Table66[[#This Row],[Year 4 (Specified in RFO) - N/A]]+Table66[[#This Row],[Year 5 (Specified in RFO) - N/A]]+Table66[[#This Row],[Year 6 (Specified in RFO) - N/A]]</f>
        <v>0</v>
      </c>
      <c r="S831" s="402">
        <f ca="1">Table66[[#This Row],[Year 1  (Proposed)]]+Table66[[#This Row],[Year 2 (Proposed)]]+Table66[[#This Row],[Year 3 (Proposed)]]+Table66[[#This Row],[Year 4 (Proposed)]]+Table66[[#This Row],[Year 5 (Proposed)]]+Table66[[#This Row],[Year 6 (Proposed)]]</f>
        <v>0</v>
      </c>
      <c r="T831" s="403" t="b">
        <f ca="1">Table66[[#This Row],[Total Specifed in RFO - N/A]]=Table66[[#This Row],[Total Proposed]]</f>
        <v>1</v>
      </c>
      <c r="U831" s="439"/>
      <c r="V831" s="441">
        <f ca="1">Table66[[#This Row],[Year 6 (Specified in RFO) - N/A]]-Table66[[#This Row],[Column1]]</f>
        <v>0</v>
      </c>
    </row>
    <row r="832" spans="1:22" ht="16.5" thickBot="1">
      <c r="A832" s="227"/>
      <c r="B832" s="227"/>
      <c r="C832" s="227"/>
      <c r="D832" s="320"/>
      <c r="E832" s="231"/>
      <c r="F832" s="190"/>
      <c r="G8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2" s="190"/>
      <c r="I8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2" s="190"/>
      <c r="K8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2" s="190"/>
      <c r="M8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2" s="190"/>
      <c r="O8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2" s="190"/>
      <c r="Q8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2" s="192">
        <f ca="1">Table66[[#This Row],[Year 1 (Specified in RFO) - N/A]]+Table66[[#This Row],[Year 2 (Specified in RFO) - N/A]]+Table66[[#This Row],[Year 3 (Specified in RFO) - N/A]]+Table66[[#This Row],[Year 4 (Specified in RFO) - N/A]]+Table66[[#This Row],[Year 5 (Specified in RFO) - N/A]]+Table66[[#This Row],[Year 6 (Specified in RFO) - N/A]]</f>
        <v>0</v>
      </c>
      <c r="S832" s="402">
        <f ca="1">Table66[[#This Row],[Year 1  (Proposed)]]+Table66[[#This Row],[Year 2 (Proposed)]]+Table66[[#This Row],[Year 3 (Proposed)]]+Table66[[#This Row],[Year 4 (Proposed)]]+Table66[[#This Row],[Year 5 (Proposed)]]+Table66[[#This Row],[Year 6 (Proposed)]]</f>
        <v>0</v>
      </c>
      <c r="T832" s="403" t="b">
        <f ca="1">Table66[[#This Row],[Total Specifed in RFO - N/A]]=Table66[[#This Row],[Total Proposed]]</f>
        <v>1</v>
      </c>
      <c r="U832" s="439"/>
      <c r="V832" s="441">
        <f ca="1">Table66[[#This Row],[Year 6 (Specified in RFO) - N/A]]-Table66[[#This Row],[Column1]]</f>
        <v>0</v>
      </c>
    </row>
    <row r="833" spans="1:22" ht="16.5" thickBot="1">
      <c r="A833" s="227"/>
      <c r="B833" s="227"/>
      <c r="C833" s="227"/>
      <c r="D833" s="320"/>
      <c r="E833" s="231"/>
      <c r="F833" s="190"/>
      <c r="G8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3" s="190"/>
      <c r="I8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3" s="190"/>
      <c r="K8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3" s="190"/>
      <c r="M8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3" s="190"/>
      <c r="O8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3" s="190"/>
      <c r="Q8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3" s="192">
        <f ca="1">Table66[[#This Row],[Year 1 (Specified in RFO) - N/A]]+Table66[[#This Row],[Year 2 (Specified in RFO) - N/A]]+Table66[[#This Row],[Year 3 (Specified in RFO) - N/A]]+Table66[[#This Row],[Year 4 (Specified in RFO) - N/A]]+Table66[[#This Row],[Year 5 (Specified in RFO) - N/A]]+Table66[[#This Row],[Year 6 (Specified in RFO) - N/A]]</f>
        <v>0</v>
      </c>
      <c r="S833" s="402">
        <f ca="1">Table66[[#This Row],[Year 1  (Proposed)]]+Table66[[#This Row],[Year 2 (Proposed)]]+Table66[[#This Row],[Year 3 (Proposed)]]+Table66[[#This Row],[Year 4 (Proposed)]]+Table66[[#This Row],[Year 5 (Proposed)]]+Table66[[#This Row],[Year 6 (Proposed)]]</f>
        <v>0</v>
      </c>
      <c r="T833" s="403" t="b">
        <f ca="1">Table66[[#This Row],[Total Specifed in RFO - N/A]]=Table66[[#This Row],[Total Proposed]]</f>
        <v>1</v>
      </c>
      <c r="U833" s="439"/>
      <c r="V833" s="441">
        <f ca="1">Table66[[#This Row],[Year 6 (Specified in RFO) - N/A]]-Table66[[#This Row],[Column1]]</f>
        <v>0</v>
      </c>
    </row>
    <row r="834" spans="1:22" ht="16.5" thickBot="1">
      <c r="A834" s="227"/>
      <c r="B834" s="319"/>
      <c r="C834" s="319"/>
      <c r="D834" s="320"/>
      <c r="E834" s="320"/>
      <c r="F834" s="190"/>
      <c r="G8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4" s="190"/>
      <c r="I8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4" s="190"/>
      <c r="K8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4" s="190"/>
      <c r="M8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4" s="190"/>
      <c r="O8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4" s="190"/>
      <c r="Q8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4" s="192">
        <f ca="1">Table66[[#This Row],[Year 1 (Specified in RFO) - N/A]]+Table66[[#This Row],[Year 2 (Specified in RFO) - N/A]]+Table66[[#This Row],[Year 3 (Specified in RFO) - N/A]]+Table66[[#This Row],[Year 4 (Specified in RFO) - N/A]]+Table66[[#This Row],[Year 5 (Specified in RFO) - N/A]]+Table66[[#This Row],[Year 6 (Specified in RFO) - N/A]]</f>
        <v>0</v>
      </c>
      <c r="S834" s="402">
        <f ca="1">Table66[[#This Row],[Year 1  (Proposed)]]+Table66[[#This Row],[Year 2 (Proposed)]]+Table66[[#This Row],[Year 3 (Proposed)]]+Table66[[#This Row],[Year 4 (Proposed)]]+Table66[[#This Row],[Year 5 (Proposed)]]+Table66[[#This Row],[Year 6 (Proposed)]]</f>
        <v>0</v>
      </c>
      <c r="T834" s="403" t="b">
        <f ca="1">Table66[[#This Row],[Total Specifed in RFO - N/A]]=Table66[[#This Row],[Total Proposed]]</f>
        <v>1</v>
      </c>
      <c r="U834" s="439"/>
      <c r="V834" s="441">
        <f ca="1">Table66[[#This Row],[Year 6 (Specified in RFO) - N/A]]-Table66[[#This Row],[Column1]]</f>
        <v>0</v>
      </c>
    </row>
    <row r="835" spans="1:22" ht="16.5" thickBot="1">
      <c r="A835" s="227"/>
      <c r="B835" s="319"/>
      <c r="C835" s="319"/>
      <c r="D835" s="320"/>
      <c r="E835" s="320"/>
      <c r="F835" s="190"/>
      <c r="G8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5" s="190"/>
      <c r="I8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5" s="190"/>
      <c r="K8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5" s="190"/>
      <c r="M8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5" s="190"/>
      <c r="O8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5" s="190"/>
      <c r="Q8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5" s="192">
        <f ca="1">Table66[[#This Row],[Year 1 (Specified in RFO) - N/A]]+Table66[[#This Row],[Year 2 (Specified in RFO) - N/A]]+Table66[[#This Row],[Year 3 (Specified in RFO) - N/A]]+Table66[[#This Row],[Year 4 (Specified in RFO) - N/A]]+Table66[[#This Row],[Year 5 (Specified in RFO) - N/A]]+Table66[[#This Row],[Year 6 (Specified in RFO) - N/A]]</f>
        <v>0</v>
      </c>
      <c r="S835" s="402">
        <f ca="1">Table66[[#This Row],[Year 1  (Proposed)]]+Table66[[#This Row],[Year 2 (Proposed)]]+Table66[[#This Row],[Year 3 (Proposed)]]+Table66[[#This Row],[Year 4 (Proposed)]]+Table66[[#This Row],[Year 5 (Proposed)]]+Table66[[#This Row],[Year 6 (Proposed)]]</f>
        <v>0</v>
      </c>
      <c r="T835" s="403" t="b">
        <f ca="1">Table66[[#This Row],[Total Specifed in RFO - N/A]]=Table66[[#This Row],[Total Proposed]]</f>
        <v>1</v>
      </c>
      <c r="U835" s="439"/>
      <c r="V835" s="441">
        <f ca="1">Table66[[#This Row],[Year 6 (Specified in RFO) - N/A]]-Table66[[#This Row],[Column1]]</f>
        <v>0</v>
      </c>
    </row>
    <row r="836" spans="1:22" ht="16.5" thickBot="1">
      <c r="A836" s="227"/>
      <c r="B836" s="319"/>
      <c r="C836" s="319"/>
      <c r="D836" s="320"/>
      <c r="E836" s="320"/>
      <c r="F836" s="190"/>
      <c r="G8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6" s="190"/>
      <c r="I8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6" s="190"/>
      <c r="K8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6" s="190"/>
      <c r="M8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6" s="190"/>
      <c r="O8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6" s="190"/>
      <c r="Q8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6" s="192">
        <f ca="1">Table66[[#This Row],[Year 1 (Specified in RFO) - N/A]]+Table66[[#This Row],[Year 2 (Specified in RFO) - N/A]]+Table66[[#This Row],[Year 3 (Specified in RFO) - N/A]]+Table66[[#This Row],[Year 4 (Specified in RFO) - N/A]]+Table66[[#This Row],[Year 5 (Specified in RFO) - N/A]]+Table66[[#This Row],[Year 6 (Specified in RFO) - N/A]]</f>
        <v>0</v>
      </c>
      <c r="S836" s="402">
        <f ca="1">Table66[[#This Row],[Year 1  (Proposed)]]+Table66[[#This Row],[Year 2 (Proposed)]]+Table66[[#This Row],[Year 3 (Proposed)]]+Table66[[#This Row],[Year 4 (Proposed)]]+Table66[[#This Row],[Year 5 (Proposed)]]+Table66[[#This Row],[Year 6 (Proposed)]]</f>
        <v>0</v>
      </c>
      <c r="T836" s="403" t="b">
        <f ca="1">Table66[[#This Row],[Total Specifed in RFO - N/A]]=Table66[[#This Row],[Total Proposed]]</f>
        <v>1</v>
      </c>
      <c r="U836" s="439"/>
      <c r="V836" s="441">
        <f ca="1">Table66[[#This Row],[Year 6 (Specified in RFO) - N/A]]-Table66[[#This Row],[Column1]]</f>
        <v>0</v>
      </c>
    </row>
    <row r="837" spans="1:22" ht="16.5" thickBot="1">
      <c r="A837" s="227"/>
      <c r="B837" s="319"/>
      <c r="C837" s="319"/>
      <c r="D837" s="320"/>
      <c r="E837" s="320"/>
      <c r="F837" s="190"/>
      <c r="G8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7" s="190"/>
      <c r="I8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7" s="190"/>
      <c r="K8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7" s="190"/>
      <c r="M8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7" s="190"/>
      <c r="O8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7" s="190"/>
      <c r="Q8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7" s="192">
        <f ca="1">Table66[[#This Row],[Year 1 (Specified in RFO) - N/A]]+Table66[[#This Row],[Year 2 (Specified in RFO) - N/A]]+Table66[[#This Row],[Year 3 (Specified in RFO) - N/A]]+Table66[[#This Row],[Year 4 (Specified in RFO) - N/A]]+Table66[[#This Row],[Year 5 (Specified in RFO) - N/A]]+Table66[[#This Row],[Year 6 (Specified in RFO) - N/A]]</f>
        <v>0</v>
      </c>
      <c r="S837" s="402">
        <f ca="1">Table66[[#This Row],[Year 1  (Proposed)]]+Table66[[#This Row],[Year 2 (Proposed)]]+Table66[[#This Row],[Year 3 (Proposed)]]+Table66[[#This Row],[Year 4 (Proposed)]]+Table66[[#This Row],[Year 5 (Proposed)]]+Table66[[#This Row],[Year 6 (Proposed)]]</f>
        <v>0</v>
      </c>
      <c r="T837" s="403" t="b">
        <f ca="1">Table66[[#This Row],[Total Specifed in RFO - N/A]]=Table66[[#This Row],[Total Proposed]]</f>
        <v>1</v>
      </c>
      <c r="U837" s="439"/>
      <c r="V837" s="441">
        <f ca="1">Table66[[#This Row],[Year 6 (Specified in RFO) - N/A]]-Table66[[#This Row],[Column1]]</f>
        <v>0</v>
      </c>
    </row>
    <row r="838" spans="1:22" ht="16.5" thickBot="1">
      <c r="A838" s="227"/>
      <c r="B838" s="319"/>
      <c r="C838" s="319"/>
      <c r="D838" s="320"/>
      <c r="E838" s="320"/>
      <c r="F838" s="190"/>
      <c r="G8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8" s="190"/>
      <c r="I8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8" s="190"/>
      <c r="K8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8" s="190"/>
      <c r="M8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8" s="190"/>
      <c r="O8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8" s="190"/>
      <c r="Q8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8" s="192">
        <f ca="1">Table66[[#This Row],[Year 1 (Specified in RFO) - N/A]]+Table66[[#This Row],[Year 2 (Specified in RFO) - N/A]]+Table66[[#This Row],[Year 3 (Specified in RFO) - N/A]]+Table66[[#This Row],[Year 4 (Specified in RFO) - N/A]]+Table66[[#This Row],[Year 5 (Specified in RFO) - N/A]]+Table66[[#This Row],[Year 6 (Specified in RFO) - N/A]]</f>
        <v>0</v>
      </c>
      <c r="S838" s="402">
        <f ca="1">Table66[[#This Row],[Year 1  (Proposed)]]+Table66[[#This Row],[Year 2 (Proposed)]]+Table66[[#This Row],[Year 3 (Proposed)]]+Table66[[#This Row],[Year 4 (Proposed)]]+Table66[[#This Row],[Year 5 (Proposed)]]+Table66[[#This Row],[Year 6 (Proposed)]]</f>
        <v>0</v>
      </c>
      <c r="T838" s="403" t="b">
        <f ca="1">Table66[[#This Row],[Total Specifed in RFO - N/A]]=Table66[[#This Row],[Total Proposed]]</f>
        <v>1</v>
      </c>
      <c r="U838" s="439"/>
      <c r="V838" s="441">
        <f ca="1">Table66[[#This Row],[Year 6 (Specified in RFO) - N/A]]-Table66[[#This Row],[Column1]]</f>
        <v>0</v>
      </c>
    </row>
    <row r="839" spans="1:22" ht="16.5" thickBot="1">
      <c r="A839" s="227"/>
      <c r="B839" s="319"/>
      <c r="C839" s="319"/>
      <c r="D839" s="320"/>
      <c r="E839" s="320"/>
      <c r="F839" s="190"/>
      <c r="G8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9" s="190"/>
      <c r="I8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9" s="190"/>
      <c r="K8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9" s="190"/>
      <c r="M8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9" s="190"/>
      <c r="O8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9" s="190"/>
      <c r="Q8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9" s="192">
        <f ca="1">Table66[[#This Row],[Year 1 (Specified in RFO) - N/A]]+Table66[[#This Row],[Year 2 (Specified in RFO) - N/A]]+Table66[[#This Row],[Year 3 (Specified in RFO) - N/A]]+Table66[[#This Row],[Year 4 (Specified in RFO) - N/A]]+Table66[[#This Row],[Year 5 (Specified in RFO) - N/A]]+Table66[[#This Row],[Year 6 (Specified in RFO) - N/A]]</f>
        <v>0</v>
      </c>
      <c r="S839" s="402">
        <f ca="1">Table66[[#This Row],[Year 1  (Proposed)]]+Table66[[#This Row],[Year 2 (Proposed)]]+Table66[[#This Row],[Year 3 (Proposed)]]+Table66[[#This Row],[Year 4 (Proposed)]]+Table66[[#This Row],[Year 5 (Proposed)]]+Table66[[#This Row],[Year 6 (Proposed)]]</f>
        <v>0</v>
      </c>
      <c r="T839" s="403" t="b">
        <f ca="1">Table66[[#This Row],[Total Specifed in RFO - N/A]]=Table66[[#This Row],[Total Proposed]]</f>
        <v>1</v>
      </c>
      <c r="U839" s="439"/>
      <c r="V839" s="441">
        <f ca="1">Table66[[#This Row],[Year 6 (Specified in RFO) - N/A]]-Table66[[#This Row],[Column1]]</f>
        <v>0</v>
      </c>
    </row>
    <row r="840" spans="1:22" ht="16.5" thickBot="1">
      <c r="A840" s="227"/>
      <c r="B840" s="319"/>
      <c r="C840" s="319"/>
      <c r="D840" s="320"/>
      <c r="E840" s="320"/>
      <c r="F840" s="190"/>
      <c r="G8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0" s="190"/>
      <c r="I8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0" s="190"/>
      <c r="K8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0" s="190"/>
      <c r="M8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0" s="190"/>
      <c r="O8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0" s="190"/>
      <c r="Q8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0" s="192">
        <f ca="1">Table66[[#This Row],[Year 1 (Specified in RFO) - N/A]]+Table66[[#This Row],[Year 2 (Specified in RFO) - N/A]]+Table66[[#This Row],[Year 3 (Specified in RFO) - N/A]]+Table66[[#This Row],[Year 4 (Specified in RFO) - N/A]]+Table66[[#This Row],[Year 5 (Specified in RFO) - N/A]]+Table66[[#This Row],[Year 6 (Specified in RFO) - N/A]]</f>
        <v>0</v>
      </c>
      <c r="S840" s="402">
        <f ca="1">Table66[[#This Row],[Year 1  (Proposed)]]+Table66[[#This Row],[Year 2 (Proposed)]]+Table66[[#This Row],[Year 3 (Proposed)]]+Table66[[#This Row],[Year 4 (Proposed)]]+Table66[[#This Row],[Year 5 (Proposed)]]+Table66[[#This Row],[Year 6 (Proposed)]]</f>
        <v>0</v>
      </c>
      <c r="T840" s="403" t="b">
        <f ca="1">Table66[[#This Row],[Total Specifed in RFO - N/A]]=Table66[[#This Row],[Total Proposed]]</f>
        <v>1</v>
      </c>
      <c r="U840" s="439"/>
      <c r="V840" s="441">
        <f ca="1">Table66[[#This Row],[Year 6 (Specified in RFO) - N/A]]-Table66[[#This Row],[Column1]]</f>
        <v>0</v>
      </c>
    </row>
    <row r="841" spans="1:22" ht="16.5" thickBot="1">
      <c r="A841" s="227"/>
      <c r="B841" s="319"/>
      <c r="C841" s="319"/>
      <c r="D841" s="320"/>
      <c r="E841" s="320"/>
      <c r="F841" s="190"/>
      <c r="G8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1" s="190"/>
      <c r="I8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1" s="190"/>
      <c r="K8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1" s="190"/>
      <c r="M8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1" s="190"/>
      <c r="O8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1" s="190"/>
      <c r="Q8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1" s="192">
        <f ca="1">Table66[[#This Row],[Year 1 (Specified in RFO) - N/A]]+Table66[[#This Row],[Year 2 (Specified in RFO) - N/A]]+Table66[[#This Row],[Year 3 (Specified in RFO) - N/A]]+Table66[[#This Row],[Year 4 (Specified in RFO) - N/A]]+Table66[[#This Row],[Year 5 (Specified in RFO) - N/A]]+Table66[[#This Row],[Year 6 (Specified in RFO) - N/A]]</f>
        <v>0</v>
      </c>
      <c r="S841" s="402">
        <f ca="1">Table66[[#This Row],[Year 1  (Proposed)]]+Table66[[#This Row],[Year 2 (Proposed)]]+Table66[[#This Row],[Year 3 (Proposed)]]+Table66[[#This Row],[Year 4 (Proposed)]]+Table66[[#This Row],[Year 5 (Proposed)]]+Table66[[#This Row],[Year 6 (Proposed)]]</f>
        <v>0</v>
      </c>
      <c r="T841" s="403" t="b">
        <f ca="1">Table66[[#This Row],[Total Specifed in RFO - N/A]]=Table66[[#This Row],[Total Proposed]]</f>
        <v>1</v>
      </c>
      <c r="U841" s="439"/>
      <c r="V841" s="441">
        <f ca="1">Table66[[#This Row],[Year 6 (Specified in RFO) - N/A]]-Table66[[#This Row],[Column1]]</f>
        <v>0</v>
      </c>
    </row>
    <row r="842" spans="1:22" ht="16.5" thickBot="1">
      <c r="A842" s="227"/>
      <c r="B842" s="319"/>
      <c r="C842" s="319"/>
      <c r="D842" s="320"/>
      <c r="E842" s="320"/>
      <c r="F842" s="190"/>
      <c r="G8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2" s="190"/>
      <c r="I8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2" s="190"/>
      <c r="K8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2" s="190"/>
      <c r="M8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2" s="190"/>
      <c r="O8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2" s="190"/>
      <c r="Q8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2" s="192">
        <f ca="1">Table66[[#This Row],[Year 1 (Specified in RFO) - N/A]]+Table66[[#This Row],[Year 2 (Specified in RFO) - N/A]]+Table66[[#This Row],[Year 3 (Specified in RFO) - N/A]]+Table66[[#This Row],[Year 4 (Specified in RFO) - N/A]]+Table66[[#This Row],[Year 5 (Specified in RFO) - N/A]]+Table66[[#This Row],[Year 6 (Specified in RFO) - N/A]]</f>
        <v>0</v>
      </c>
      <c r="S842" s="402">
        <f ca="1">Table66[[#This Row],[Year 1  (Proposed)]]+Table66[[#This Row],[Year 2 (Proposed)]]+Table66[[#This Row],[Year 3 (Proposed)]]+Table66[[#This Row],[Year 4 (Proposed)]]+Table66[[#This Row],[Year 5 (Proposed)]]+Table66[[#This Row],[Year 6 (Proposed)]]</f>
        <v>0</v>
      </c>
      <c r="T842" s="403" t="b">
        <f ca="1">Table66[[#This Row],[Total Specifed in RFO - N/A]]=Table66[[#This Row],[Total Proposed]]</f>
        <v>1</v>
      </c>
      <c r="U842" s="439"/>
      <c r="V842" s="441">
        <f ca="1">Table66[[#This Row],[Year 6 (Specified in RFO) - N/A]]-Table66[[#This Row],[Column1]]</f>
        <v>0</v>
      </c>
    </row>
    <row r="843" spans="1:22" ht="16.5" thickBot="1">
      <c r="A843" s="227"/>
      <c r="B843" s="319"/>
      <c r="C843" s="319"/>
      <c r="D843" s="320"/>
      <c r="E843" s="320"/>
      <c r="F843" s="190"/>
      <c r="G8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3" s="190"/>
      <c r="I8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3" s="190"/>
      <c r="K8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3" s="190"/>
      <c r="M8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3" s="190"/>
      <c r="O8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3" s="190"/>
      <c r="Q8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3" s="192">
        <f ca="1">Table66[[#This Row],[Year 1 (Specified in RFO) - N/A]]+Table66[[#This Row],[Year 2 (Specified in RFO) - N/A]]+Table66[[#This Row],[Year 3 (Specified in RFO) - N/A]]+Table66[[#This Row],[Year 4 (Specified in RFO) - N/A]]+Table66[[#This Row],[Year 5 (Specified in RFO) - N/A]]+Table66[[#This Row],[Year 6 (Specified in RFO) - N/A]]</f>
        <v>0</v>
      </c>
      <c r="S843" s="402">
        <f ca="1">Table66[[#This Row],[Year 1  (Proposed)]]+Table66[[#This Row],[Year 2 (Proposed)]]+Table66[[#This Row],[Year 3 (Proposed)]]+Table66[[#This Row],[Year 4 (Proposed)]]+Table66[[#This Row],[Year 5 (Proposed)]]+Table66[[#This Row],[Year 6 (Proposed)]]</f>
        <v>0</v>
      </c>
      <c r="T843" s="403" t="b">
        <f ca="1">Table66[[#This Row],[Total Specifed in RFO - N/A]]=Table66[[#This Row],[Total Proposed]]</f>
        <v>1</v>
      </c>
      <c r="U843" s="439"/>
      <c r="V843" s="441">
        <f ca="1">Table66[[#This Row],[Year 6 (Specified in RFO) - N/A]]-Table66[[#This Row],[Column1]]</f>
        <v>0</v>
      </c>
    </row>
    <row r="844" spans="1:22" ht="16.5" thickBot="1">
      <c r="A844" s="227"/>
      <c r="B844" s="319"/>
      <c r="C844" s="319"/>
      <c r="D844" s="320"/>
      <c r="E844" s="320"/>
      <c r="F844" s="190"/>
      <c r="G8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4" s="190"/>
      <c r="I8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4" s="190"/>
      <c r="K8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4" s="190"/>
      <c r="M8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4" s="190"/>
      <c r="O8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4" s="190"/>
      <c r="Q8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4" s="192">
        <f ca="1">Table66[[#This Row],[Year 1 (Specified in RFO) - N/A]]+Table66[[#This Row],[Year 2 (Specified in RFO) - N/A]]+Table66[[#This Row],[Year 3 (Specified in RFO) - N/A]]+Table66[[#This Row],[Year 4 (Specified in RFO) - N/A]]+Table66[[#This Row],[Year 5 (Specified in RFO) - N/A]]+Table66[[#This Row],[Year 6 (Specified in RFO) - N/A]]</f>
        <v>0</v>
      </c>
      <c r="S844" s="402">
        <f ca="1">Table66[[#This Row],[Year 1  (Proposed)]]+Table66[[#This Row],[Year 2 (Proposed)]]+Table66[[#This Row],[Year 3 (Proposed)]]+Table66[[#This Row],[Year 4 (Proposed)]]+Table66[[#This Row],[Year 5 (Proposed)]]+Table66[[#This Row],[Year 6 (Proposed)]]</f>
        <v>0</v>
      </c>
      <c r="T844" s="403" t="b">
        <f ca="1">Table66[[#This Row],[Total Specifed in RFO - N/A]]=Table66[[#This Row],[Total Proposed]]</f>
        <v>1</v>
      </c>
      <c r="U844" s="439"/>
      <c r="V844" s="441">
        <f ca="1">Table66[[#This Row],[Year 6 (Specified in RFO) - N/A]]-Table66[[#This Row],[Column1]]</f>
        <v>0</v>
      </c>
    </row>
    <row r="845" spans="1:22" ht="16.5" thickBot="1">
      <c r="A845" s="227"/>
      <c r="B845" s="319"/>
      <c r="C845" s="319"/>
      <c r="D845" s="320"/>
      <c r="E845" s="320"/>
      <c r="F845" s="190"/>
      <c r="G8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5" s="190"/>
      <c r="I8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5" s="190"/>
      <c r="K8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5" s="190"/>
      <c r="M8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5" s="190"/>
      <c r="O8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5" s="190"/>
      <c r="Q8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5" s="192">
        <f ca="1">Table66[[#This Row],[Year 1 (Specified in RFO) - N/A]]+Table66[[#This Row],[Year 2 (Specified in RFO) - N/A]]+Table66[[#This Row],[Year 3 (Specified in RFO) - N/A]]+Table66[[#This Row],[Year 4 (Specified in RFO) - N/A]]+Table66[[#This Row],[Year 5 (Specified in RFO) - N/A]]+Table66[[#This Row],[Year 6 (Specified in RFO) - N/A]]</f>
        <v>0</v>
      </c>
      <c r="S845" s="402">
        <f ca="1">Table66[[#This Row],[Year 1  (Proposed)]]+Table66[[#This Row],[Year 2 (Proposed)]]+Table66[[#This Row],[Year 3 (Proposed)]]+Table66[[#This Row],[Year 4 (Proposed)]]+Table66[[#This Row],[Year 5 (Proposed)]]+Table66[[#This Row],[Year 6 (Proposed)]]</f>
        <v>0</v>
      </c>
      <c r="T845" s="403" t="b">
        <f ca="1">Table66[[#This Row],[Total Specifed in RFO - N/A]]=Table66[[#This Row],[Total Proposed]]</f>
        <v>1</v>
      </c>
      <c r="U845" s="439"/>
      <c r="V845" s="441">
        <f ca="1">Table66[[#This Row],[Year 6 (Specified in RFO) - N/A]]-Table66[[#This Row],[Column1]]</f>
        <v>0</v>
      </c>
    </row>
    <row r="846" spans="1:22" ht="16.5" thickBot="1">
      <c r="A846" s="227"/>
      <c r="B846" s="319"/>
      <c r="C846" s="319"/>
      <c r="D846" s="320"/>
      <c r="E846" s="320"/>
      <c r="F846" s="190"/>
      <c r="G8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6" s="190"/>
      <c r="I8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6" s="190"/>
      <c r="K8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6" s="190"/>
      <c r="M8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6" s="190"/>
      <c r="O8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6" s="190"/>
      <c r="Q8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6" s="192">
        <f ca="1">Table66[[#This Row],[Year 1 (Specified in RFO) - N/A]]+Table66[[#This Row],[Year 2 (Specified in RFO) - N/A]]+Table66[[#This Row],[Year 3 (Specified in RFO) - N/A]]+Table66[[#This Row],[Year 4 (Specified in RFO) - N/A]]+Table66[[#This Row],[Year 5 (Specified in RFO) - N/A]]+Table66[[#This Row],[Year 6 (Specified in RFO) - N/A]]</f>
        <v>0</v>
      </c>
      <c r="S846" s="402">
        <f ca="1">Table66[[#This Row],[Year 1  (Proposed)]]+Table66[[#This Row],[Year 2 (Proposed)]]+Table66[[#This Row],[Year 3 (Proposed)]]+Table66[[#This Row],[Year 4 (Proposed)]]+Table66[[#This Row],[Year 5 (Proposed)]]+Table66[[#This Row],[Year 6 (Proposed)]]</f>
        <v>0</v>
      </c>
      <c r="T846" s="403" t="b">
        <f ca="1">Table66[[#This Row],[Total Specifed in RFO - N/A]]=Table66[[#This Row],[Total Proposed]]</f>
        <v>1</v>
      </c>
      <c r="U846" s="439"/>
      <c r="V846" s="441">
        <f ca="1">Table66[[#This Row],[Year 6 (Specified in RFO) - N/A]]-Table66[[#This Row],[Column1]]</f>
        <v>0</v>
      </c>
    </row>
    <row r="847" spans="1:22" ht="16.5" thickBot="1">
      <c r="A847" s="227"/>
      <c r="B847" s="319"/>
      <c r="C847" s="319"/>
      <c r="D847" s="320"/>
      <c r="E847" s="320"/>
      <c r="F847" s="190"/>
      <c r="G8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7" s="190"/>
      <c r="I8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7" s="190"/>
      <c r="K8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7" s="190"/>
      <c r="M8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7" s="190"/>
      <c r="O8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7" s="190"/>
      <c r="Q8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7" s="192">
        <f ca="1">Table66[[#This Row],[Year 1 (Specified in RFO) - N/A]]+Table66[[#This Row],[Year 2 (Specified in RFO) - N/A]]+Table66[[#This Row],[Year 3 (Specified in RFO) - N/A]]+Table66[[#This Row],[Year 4 (Specified in RFO) - N/A]]+Table66[[#This Row],[Year 5 (Specified in RFO) - N/A]]+Table66[[#This Row],[Year 6 (Specified in RFO) - N/A]]</f>
        <v>0</v>
      </c>
      <c r="S847" s="402">
        <f ca="1">Table66[[#This Row],[Year 1  (Proposed)]]+Table66[[#This Row],[Year 2 (Proposed)]]+Table66[[#This Row],[Year 3 (Proposed)]]+Table66[[#This Row],[Year 4 (Proposed)]]+Table66[[#This Row],[Year 5 (Proposed)]]+Table66[[#This Row],[Year 6 (Proposed)]]</f>
        <v>0</v>
      </c>
      <c r="T847" s="403" t="b">
        <f ca="1">Table66[[#This Row],[Total Specifed in RFO - N/A]]=Table66[[#This Row],[Total Proposed]]</f>
        <v>1</v>
      </c>
      <c r="U847" s="439"/>
      <c r="V847" s="441">
        <f ca="1">Table66[[#This Row],[Year 6 (Specified in RFO) - N/A]]-Table66[[#This Row],[Column1]]</f>
        <v>0</v>
      </c>
    </row>
    <row r="848" spans="1:22" ht="16.5" thickBot="1">
      <c r="A848" s="227"/>
      <c r="B848" s="319"/>
      <c r="C848" s="319"/>
      <c r="D848" s="320"/>
      <c r="E848" s="320"/>
      <c r="F848" s="190"/>
      <c r="G8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8" s="190"/>
      <c r="I8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8" s="190"/>
      <c r="K8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8" s="190"/>
      <c r="M8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8" s="190"/>
      <c r="O8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8" s="190"/>
      <c r="Q8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8" s="192">
        <f ca="1">Table66[[#This Row],[Year 1 (Specified in RFO) - N/A]]+Table66[[#This Row],[Year 2 (Specified in RFO) - N/A]]+Table66[[#This Row],[Year 3 (Specified in RFO) - N/A]]+Table66[[#This Row],[Year 4 (Specified in RFO) - N/A]]+Table66[[#This Row],[Year 5 (Specified in RFO) - N/A]]+Table66[[#This Row],[Year 6 (Specified in RFO) - N/A]]</f>
        <v>0</v>
      </c>
      <c r="S848" s="402">
        <f ca="1">Table66[[#This Row],[Year 1  (Proposed)]]+Table66[[#This Row],[Year 2 (Proposed)]]+Table66[[#This Row],[Year 3 (Proposed)]]+Table66[[#This Row],[Year 4 (Proposed)]]+Table66[[#This Row],[Year 5 (Proposed)]]+Table66[[#This Row],[Year 6 (Proposed)]]</f>
        <v>0</v>
      </c>
      <c r="T848" s="403" t="b">
        <f ca="1">Table66[[#This Row],[Total Specifed in RFO - N/A]]=Table66[[#This Row],[Total Proposed]]</f>
        <v>1</v>
      </c>
      <c r="U848" s="439"/>
      <c r="V848" s="441">
        <f ca="1">Table66[[#This Row],[Year 6 (Specified in RFO) - N/A]]-Table66[[#This Row],[Column1]]</f>
        <v>0</v>
      </c>
    </row>
    <row r="849" spans="1:22" ht="16.5" thickBot="1">
      <c r="A849" s="227"/>
      <c r="B849" s="319"/>
      <c r="C849" s="319"/>
      <c r="D849" s="320"/>
      <c r="E849" s="320"/>
      <c r="F849" s="190"/>
      <c r="G8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9" s="190"/>
      <c r="I8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9" s="190"/>
      <c r="K8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9" s="190"/>
      <c r="M8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9" s="190"/>
      <c r="O8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9" s="190"/>
      <c r="Q8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9" s="192">
        <f ca="1">Table66[[#This Row],[Year 1 (Specified in RFO) - N/A]]+Table66[[#This Row],[Year 2 (Specified in RFO) - N/A]]+Table66[[#This Row],[Year 3 (Specified in RFO) - N/A]]+Table66[[#This Row],[Year 4 (Specified in RFO) - N/A]]+Table66[[#This Row],[Year 5 (Specified in RFO) - N/A]]+Table66[[#This Row],[Year 6 (Specified in RFO) - N/A]]</f>
        <v>0</v>
      </c>
      <c r="S849" s="402">
        <f ca="1">Table66[[#This Row],[Year 1  (Proposed)]]+Table66[[#This Row],[Year 2 (Proposed)]]+Table66[[#This Row],[Year 3 (Proposed)]]+Table66[[#This Row],[Year 4 (Proposed)]]+Table66[[#This Row],[Year 5 (Proposed)]]+Table66[[#This Row],[Year 6 (Proposed)]]</f>
        <v>0</v>
      </c>
      <c r="T849" s="403" t="b">
        <f ca="1">Table66[[#This Row],[Total Specifed in RFO - N/A]]=Table66[[#This Row],[Total Proposed]]</f>
        <v>1</v>
      </c>
      <c r="U849" s="439"/>
      <c r="V849" s="441">
        <f ca="1">Table66[[#This Row],[Year 6 (Specified in RFO) - N/A]]-Table66[[#This Row],[Column1]]</f>
        <v>0</v>
      </c>
    </row>
    <row r="850" spans="1:22" ht="16.5" thickBot="1">
      <c r="A850" s="227"/>
      <c r="B850" s="319"/>
      <c r="C850" s="319"/>
      <c r="D850" s="320"/>
      <c r="E850" s="320"/>
      <c r="F850" s="190"/>
      <c r="G8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0" s="190"/>
      <c r="I8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0" s="190"/>
      <c r="K8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0" s="190"/>
      <c r="M8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0" s="190"/>
      <c r="O8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0" s="190"/>
      <c r="Q8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0" s="192">
        <f ca="1">Table66[[#This Row],[Year 1 (Specified in RFO) - N/A]]+Table66[[#This Row],[Year 2 (Specified in RFO) - N/A]]+Table66[[#This Row],[Year 3 (Specified in RFO) - N/A]]+Table66[[#This Row],[Year 4 (Specified in RFO) - N/A]]+Table66[[#This Row],[Year 5 (Specified in RFO) - N/A]]+Table66[[#This Row],[Year 6 (Specified in RFO) - N/A]]</f>
        <v>0</v>
      </c>
      <c r="S850" s="402">
        <f ca="1">Table66[[#This Row],[Year 1  (Proposed)]]+Table66[[#This Row],[Year 2 (Proposed)]]+Table66[[#This Row],[Year 3 (Proposed)]]+Table66[[#This Row],[Year 4 (Proposed)]]+Table66[[#This Row],[Year 5 (Proposed)]]+Table66[[#This Row],[Year 6 (Proposed)]]</f>
        <v>0</v>
      </c>
      <c r="T850" s="403" t="b">
        <f ca="1">Table66[[#This Row],[Total Specifed in RFO - N/A]]=Table66[[#This Row],[Total Proposed]]</f>
        <v>1</v>
      </c>
      <c r="U850" s="439"/>
      <c r="V850" s="441">
        <f ca="1">Table66[[#This Row],[Year 6 (Specified in RFO) - N/A]]-Table66[[#This Row],[Column1]]</f>
        <v>0</v>
      </c>
    </row>
    <row r="851" spans="1:22" ht="16.5" thickBot="1">
      <c r="A851" s="227"/>
      <c r="B851" s="319"/>
      <c r="C851" s="319"/>
      <c r="D851" s="320"/>
      <c r="E851" s="320"/>
      <c r="F851" s="190"/>
      <c r="G8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1" s="190"/>
      <c r="I8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1" s="190"/>
      <c r="K8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1" s="190"/>
      <c r="M8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1" s="190"/>
      <c r="O8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1" s="190"/>
      <c r="Q8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1" s="192">
        <f ca="1">Table66[[#This Row],[Year 1 (Specified in RFO) - N/A]]+Table66[[#This Row],[Year 2 (Specified in RFO) - N/A]]+Table66[[#This Row],[Year 3 (Specified in RFO) - N/A]]+Table66[[#This Row],[Year 4 (Specified in RFO) - N/A]]+Table66[[#This Row],[Year 5 (Specified in RFO) - N/A]]+Table66[[#This Row],[Year 6 (Specified in RFO) - N/A]]</f>
        <v>0</v>
      </c>
      <c r="S851" s="402">
        <f ca="1">Table66[[#This Row],[Year 1  (Proposed)]]+Table66[[#This Row],[Year 2 (Proposed)]]+Table66[[#This Row],[Year 3 (Proposed)]]+Table66[[#This Row],[Year 4 (Proposed)]]+Table66[[#This Row],[Year 5 (Proposed)]]+Table66[[#This Row],[Year 6 (Proposed)]]</f>
        <v>0</v>
      </c>
      <c r="T851" s="403" t="b">
        <f ca="1">Table66[[#This Row],[Total Specifed in RFO - N/A]]=Table66[[#This Row],[Total Proposed]]</f>
        <v>1</v>
      </c>
      <c r="U851" s="439"/>
      <c r="V851" s="441">
        <f ca="1">Table66[[#This Row],[Year 6 (Specified in RFO) - N/A]]-Table66[[#This Row],[Column1]]</f>
        <v>0</v>
      </c>
    </row>
    <row r="852" spans="1:22" ht="16.5" thickBot="1">
      <c r="A852" s="227"/>
      <c r="B852" s="319"/>
      <c r="C852" s="319"/>
      <c r="D852" s="320"/>
      <c r="E852" s="320"/>
      <c r="F852" s="190"/>
      <c r="G8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2" s="190"/>
      <c r="I8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2" s="190"/>
      <c r="K8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2" s="190"/>
      <c r="M8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2" s="190"/>
      <c r="O8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2" s="190"/>
      <c r="Q8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2" s="192">
        <f ca="1">Table66[[#This Row],[Year 1 (Specified in RFO) - N/A]]+Table66[[#This Row],[Year 2 (Specified in RFO) - N/A]]+Table66[[#This Row],[Year 3 (Specified in RFO) - N/A]]+Table66[[#This Row],[Year 4 (Specified in RFO) - N/A]]+Table66[[#This Row],[Year 5 (Specified in RFO) - N/A]]+Table66[[#This Row],[Year 6 (Specified in RFO) - N/A]]</f>
        <v>0</v>
      </c>
      <c r="S852" s="402">
        <f ca="1">Table66[[#This Row],[Year 1  (Proposed)]]+Table66[[#This Row],[Year 2 (Proposed)]]+Table66[[#This Row],[Year 3 (Proposed)]]+Table66[[#This Row],[Year 4 (Proposed)]]+Table66[[#This Row],[Year 5 (Proposed)]]+Table66[[#This Row],[Year 6 (Proposed)]]</f>
        <v>0</v>
      </c>
      <c r="T852" s="403" t="b">
        <f ca="1">Table66[[#This Row],[Total Specifed in RFO - N/A]]=Table66[[#This Row],[Total Proposed]]</f>
        <v>1</v>
      </c>
      <c r="U852" s="439"/>
      <c r="V852" s="441">
        <f ca="1">Table66[[#This Row],[Year 6 (Specified in RFO) - N/A]]-Table66[[#This Row],[Column1]]</f>
        <v>0</v>
      </c>
    </row>
    <row r="853" spans="1:22" ht="16.5" thickBot="1">
      <c r="A853" s="227"/>
      <c r="B853" s="319"/>
      <c r="C853" s="319"/>
      <c r="D853" s="320"/>
      <c r="E853" s="320"/>
      <c r="F853" s="190"/>
      <c r="G8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3" s="190"/>
      <c r="I8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3" s="190"/>
      <c r="K8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3" s="190"/>
      <c r="M8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3" s="190"/>
      <c r="O8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3" s="190"/>
      <c r="Q8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3" s="192">
        <f ca="1">Table66[[#This Row],[Year 1 (Specified in RFO) - N/A]]+Table66[[#This Row],[Year 2 (Specified in RFO) - N/A]]+Table66[[#This Row],[Year 3 (Specified in RFO) - N/A]]+Table66[[#This Row],[Year 4 (Specified in RFO) - N/A]]+Table66[[#This Row],[Year 5 (Specified in RFO) - N/A]]+Table66[[#This Row],[Year 6 (Specified in RFO) - N/A]]</f>
        <v>0</v>
      </c>
      <c r="S853" s="402">
        <f ca="1">Table66[[#This Row],[Year 1  (Proposed)]]+Table66[[#This Row],[Year 2 (Proposed)]]+Table66[[#This Row],[Year 3 (Proposed)]]+Table66[[#This Row],[Year 4 (Proposed)]]+Table66[[#This Row],[Year 5 (Proposed)]]+Table66[[#This Row],[Year 6 (Proposed)]]</f>
        <v>0</v>
      </c>
      <c r="T853" s="403" t="b">
        <f ca="1">Table66[[#This Row],[Total Specifed in RFO - N/A]]=Table66[[#This Row],[Total Proposed]]</f>
        <v>1</v>
      </c>
      <c r="U853" s="439"/>
      <c r="V853" s="441">
        <f ca="1">Table66[[#This Row],[Year 6 (Specified in RFO) - N/A]]-Table66[[#This Row],[Column1]]</f>
        <v>0</v>
      </c>
    </row>
    <row r="854" spans="1:22" ht="16.5" thickBot="1">
      <c r="A854" s="227"/>
      <c r="B854" s="319"/>
      <c r="C854" s="319"/>
      <c r="D854" s="320"/>
      <c r="E854" s="320"/>
      <c r="F854" s="190"/>
      <c r="G8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4" s="190"/>
      <c r="I8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4" s="190"/>
      <c r="K8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4" s="190"/>
      <c r="M8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4" s="190"/>
      <c r="O8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4" s="190"/>
      <c r="Q8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4" s="192">
        <f ca="1">Table66[[#This Row],[Year 1 (Specified in RFO) - N/A]]+Table66[[#This Row],[Year 2 (Specified in RFO) - N/A]]+Table66[[#This Row],[Year 3 (Specified in RFO) - N/A]]+Table66[[#This Row],[Year 4 (Specified in RFO) - N/A]]+Table66[[#This Row],[Year 5 (Specified in RFO) - N/A]]+Table66[[#This Row],[Year 6 (Specified in RFO) - N/A]]</f>
        <v>0</v>
      </c>
      <c r="S854" s="402">
        <f ca="1">Table66[[#This Row],[Year 1  (Proposed)]]+Table66[[#This Row],[Year 2 (Proposed)]]+Table66[[#This Row],[Year 3 (Proposed)]]+Table66[[#This Row],[Year 4 (Proposed)]]+Table66[[#This Row],[Year 5 (Proposed)]]+Table66[[#This Row],[Year 6 (Proposed)]]</f>
        <v>0</v>
      </c>
      <c r="T854" s="403" t="b">
        <f ca="1">Table66[[#This Row],[Total Specifed in RFO - N/A]]=Table66[[#This Row],[Total Proposed]]</f>
        <v>1</v>
      </c>
      <c r="U854" s="439"/>
      <c r="V854" s="441">
        <f ca="1">Table66[[#This Row],[Year 6 (Specified in RFO) - N/A]]-Table66[[#This Row],[Column1]]</f>
        <v>0</v>
      </c>
    </row>
    <row r="855" spans="1:22" ht="16.5" thickBot="1">
      <c r="A855" s="227"/>
      <c r="B855" s="319"/>
      <c r="C855" s="319"/>
      <c r="D855" s="320"/>
      <c r="E855" s="320"/>
      <c r="F855" s="190"/>
      <c r="G8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5" s="190"/>
      <c r="I8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5" s="190"/>
      <c r="K8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5" s="190"/>
      <c r="M8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5" s="190"/>
      <c r="O8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5" s="190"/>
      <c r="Q8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5" s="192">
        <f ca="1">Table66[[#This Row],[Year 1 (Specified in RFO) - N/A]]+Table66[[#This Row],[Year 2 (Specified in RFO) - N/A]]+Table66[[#This Row],[Year 3 (Specified in RFO) - N/A]]+Table66[[#This Row],[Year 4 (Specified in RFO) - N/A]]+Table66[[#This Row],[Year 5 (Specified in RFO) - N/A]]+Table66[[#This Row],[Year 6 (Specified in RFO) - N/A]]</f>
        <v>0</v>
      </c>
      <c r="S855" s="402">
        <f ca="1">Table66[[#This Row],[Year 1  (Proposed)]]+Table66[[#This Row],[Year 2 (Proposed)]]+Table66[[#This Row],[Year 3 (Proposed)]]+Table66[[#This Row],[Year 4 (Proposed)]]+Table66[[#This Row],[Year 5 (Proposed)]]+Table66[[#This Row],[Year 6 (Proposed)]]</f>
        <v>0</v>
      </c>
      <c r="T855" s="403" t="b">
        <f ca="1">Table66[[#This Row],[Total Specifed in RFO - N/A]]=Table66[[#This Row],[Total Proposed]]</f>
        <v>1</v>
      </c>
      <c r="U855" s="439"/>
      <c r="V855" s="441">
        <f ca="1">Table66[[#This Row],[Year 6 (Specified in RFO) - N/A]]-Table66[[#This Row],[Column1]]</f>
        <v>0</v>
      </c>
    </row>
    <row r="856" spans="1:22" ht="16.5" thickBot="1">
      <c r="A856" s="227"/>
      <c r="B856" s="319"/>
      <c r="C856" s="319"/>
      <c r="D856" s="320"/>
      <c r="E856" s="320"/>
      <c r="F856" s="190"/>
      <c r="G8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6" s="190"/>
      <c r="I8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6" s="190"/>
      <c r="K8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6" s="190"/>
      <c r="M8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6" s="190"/>
      <c r="O8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6" s="190"/>
      <c r="Q8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6" s="192">
        <f ca="1">Table66[[#This Row],[Year 1 (Specified in RFO) - N/A]]+Table66[[#This Row],[Year 2 (Specified in RFO) - N/A]]+Table66[[#This Row],[Year 3 (Specified in RFO) - N/A]]+Table66[[#This Row],[Year 4 (Specified in RFO) - N/A]]+Table66[[#This Row],[Year 5 (Specified in RFO) - N/A]]+Table66[[#This Row],[Year 6 (Specified in RFO) - N/A]]</f>
        <v>0</v>
      </c>
      <c r="S856" s="402">
        <f ca="1">Table66[[#This Row],[Year 1  (Proposed)]]+Table66[[#This Row],[Year 2 (Proposed)]]+Table66[[#This Row],[Year 3 (Proposed)]]+Table66[[#This Row],[Year 4 (Proposed)]]+Table66[[#This Row],[Year 5 (Proposed)]]+Table66[[#This Row],[Year 6 (Proposed)]]</f>
        <v>0</v>
      </c>
      <c r="T856" s="403" t="b">
        <f ca="1">Table66[[#This Row],[Total Specifed in RFO - N/A]]=Table66[[#This Row],[Total Proposed]]</f>
        <v>1</v>
      </c>
      <c r="U856" s="439"/>
      <c r="V856" s="441">
        <f ca="1">Table66[[#This Row],[Year 6 (Specified in RFO) - N/A]]-Table66[[#This Row],[Column1]]</f>
        <v>0</v>
      </c>
    </row>
    <row r="857" spans="1:22" ht="16.5" thickBot="1">
      <c r="A857" s="227"/>
      <c r="B857" s="319"/>
      <c r="C857" s="319"/>
      <c r="D857" s="320"/>
      <c r="E857" s="320"/>
      <c r="F857" s="190"/>
      <c r="G8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7" s="190"/>
      <c r="I8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7" s="190"/>
      <c r="K8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7" s="190"/>
      <c r="M8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7" s="190"/>
      <c r="O8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7" s="190"/>
      <c r="Q8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7" s="192">
        <f ca="1">Table66[[#This Row],[Year 1 (Specified in RFO) - N/A]]+Table66[[#This Row],[Year 2 (Specified in RFO) - N/A]]+Table66[[#This Row],[Year 3 (Specified in RFO) - N/A]]+Table66[[#This Row],[Year 4 (Specified in RFO) - N/A]]+Table66[[#This Row],[Year 5 (Specified in RFO) - N/A]]+Table66[[#This Row],[Year 6 (Specified in RFO) - N/A]]</f>
        <v>0</v>
      </c>
      <c r="S857" s="402">
        <f ca="1">Table66[[#This Row],[Year 1  (Proposed)]]+Table66[[#This Row],[Year 2 (Proposed)]]+Table66[[#This Row],[Year 3 (Proposed)]]+Table66[[#This Row],[Year 4 (Proposed)]]+Table66[[#This Row],[Year 5 (Proposed)]]+Table66[[#This Row],[Year 6 (Proposed)]]</f>
        <v>0</v>
      </c>
      <c r="T857" s="403" t="b">
        <f ca="1">Table66[[#This Row],[Total Specifed in RFO - N/A]]=Table66[[#This Row],[Total Proposed]]</f>
        <v>1</v>
      </c>
      <c r="U857" s="439"/>
      <c r="V857" s="441">
        <f ca="1">Table66[[#This Row],[Year 6 (Specified in RFO) - N/A]]-Table66[[#This Row],[Column1]]</f>
        <v>0</v>
      </c>
    </row>
    <row r="858" spans="1:22" ht="16.5" thickBot="1">
      <c r="A858" s="227"/>
      <c r="B858" s="319"/>
      <c r="C858" s="319"/>
      <c r="D858" s="320"/>
      <c r="E858" s="320"/>
      <c r="F858" s="190"/>
      <c r="G8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8" s="190"/>
      <c r="I8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8" s="190"/>
      <c r="K8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8" s="190"/>
      <c r="M8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8" s="190"/>
      <c r="O8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8" s="190"/>
      <c r="Q8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8" s="192">
        <f ca="1">Table66[[#This Row],[Year 1 (Specified in RFO) - N/A]]+Table66[[#This Row],[Year 2 (Specified in RFO) - N/A]]+Table66[[#This Row],[Year 3 (Specified in RFO) - N/A]]+Table66[[#This Row],[Year 4 (Specified in RFO) - N/A]]+Table66[[#This Row],[Year 5 (Specified in RFO) - N/A]]+Table66[[#This Row],[Year 6 (Specified in RFO) - N/A]]</f>
        <v>0</v>
      </c>
      <c r="S858" s="402">
        <f ca="1">Table66[[#This Row],[Year 1  (Proposed)]]+Table66[[#This Row],[Year 2 (Proposed)]]+Table66[[#This Row],[Year 3 (Proposed)]]+Table66[[#This Row],[Year 4 (Proposed)]]+Table66[[#This Row],[Year 5 (Proposed)]]+Table66[[#This Row],[Year 6 (Proposed)]]</f>
        <v>0</v>
      </c>
      <c r="T858" s="403" t="b">
        <f ca="1">Table66[[#This Row],[Total Specifed in RFO - N/A]]=Table66[[#This Row],[Total Proposed]]</f>
        <v>1</v>
      </c>
      <c r="U858" s="439"/>
      <c r="V858" s="441">
        <f ca="1">Table66[[#This Row],[Year 6 (Specified in RFO) - N/A]]-Table66[[#This Row],[Column1]]</f>
        <v>0</v>
      </c>
    </row>
    <row r="859" spans="1:22" ht="16.5" thickBot="1">
      <c r="A859" s="227"/>
      <c r="B859" s="319"/>
      <c r="C859" s="319"/>
      <c r="D859" s="320"/>
      <c r="E859" s="320"/>
      <c r="F859" s="190"/>
      <c r="G8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9" s="190"/>
      <c r="I8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9" s="190"/>
      <c r="K8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9" s="190"/>
      <c r="M8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9" s="190"/>
      <c r="O8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9" s="190"/>
      <c r="Q8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9" s="192">
        <f ca="1">Table66[[#This Row],[Year 1 (Specified in RFO) - N/A]]+Table66[[#This Row],[Year 2 (Specified in RFO) - N/A]]+Table66[[#This Row],[Year 3 (Specified in RFO) - N/A]]+Table66[[#This Row],[Year 4 (Specified in RFO) - N/A]]+Table66[[#This Row],[Year 5 (Specified in RFO) - N/A]]+Table66[[#This Row],[Year 6 (Specified in RFO) - N/A]]</f>
        <v>0</v>
      </c>
      <c r="S859" s="402">
        <f ca="1">Table66[[#This Row],[Year 1  (Proposed)]]+Table66[[#This Row],[Year 2 (Proposed)]]+Table66[[#This Row],[Year 3 (Proposed)]]+Table66[[#This Row],[Year 4 (Proposed)]]+Table66[[#This Row],[Year 5 (Proposed)]]+Table66[[#This Row],[Year 6 (Proposed)]]</f>
        <v>0</v>
      </c>
      <c r="T859" s="403" t="b">
        <f ca="1">Table66[[#This Row],[Total Specifed in RFO - N/A]]=Table66[[#This Row],[Total Proposed]]</f>
        <v>1</v>
      </c>
      <c r="U859" s="439"/>
      <c r="V859" s="441">
        <f ca="1">Table66[[#This Row],[Year 6 (Specified in RFO) - N/A]]-Table66[[#This Row],[Column1]]</f>
        <v>0</v>
      </c>
    </row>
    <row r="860" spans="1:22" ht="16.5" thickBot="1">
      <c r="A860" s="227"/>
      <c r="B860" s="319"/>
      <c r="C860" s="319"/>
      <c r="D860" s="320"/>
      <c r="E860" s="320"/>
      <c r="F860" s="190"/>
      <c r="G8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0" s="190"/>
      <c r="I8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0" s="190"/>
      <c r="K8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0" s="190"/>
      <c r="M8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0" s="190"/>
      <c r="O8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0" s="190"/>
      <c r="Q8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0" s="192">
        <f ca="1">Table66[[#This Row],[Year 1 (Specified in RFO) - N/A]]+Table66[[#This Row],[Year 2 (Specified in RFO) - N/A]]+Table66[[#This Row],[Year 3 (Specified in RFO) - N/A]]+Table66[[#This Row],[Year 4 (Specified in RFO) - N/A]]+Table66[[#This Row],[Year 5 (Specified in RFO) - N/A]]+Table66[[#This Row],[Year 6 (Specified in RFO) - N/A]]</f>
        <v>0</v>
      </c>
      <c r="S860" s="402">
        <f ca="1">Table66[[#This Row],[Year 1  (Proposed)]]+Table66[[#This Row],[Year 2 (Proposed)]]+Table66[[#This Row],[Year 3 (Proposed)]]+Table66[[#This Row],[Year 4 (Proposed)]]+Table66[[#This Row],[Year 5 (Proposed)]]+Table66[[#This Row],[Year 6 (Proposed)]]</f>
        <v>0</v>
      </c>
      <c r="T860" s="403" t="b">
        <f ca="1">Table66[[#This Row],[Total Specifed in RFO - N/A]]=Table66[[#This Row],[Total Proposed]]</f>
        <v>1</v>
      </c>
      <c r="U860" s="439"/>
      <c r="V860" s="441">
        <f ca="1">Table66[[#This Row],[Year 6 (Specified in RFO) - N/A]]-Table66[[#This Row],[Column1]]</f>
        <v>0</v>
      </c>
    </row>
    <row r="861" spans="1:22" ht="16.5" thickBot="1">
      <c r="A861" s="227"/>
      <c r="B861" s="319"/>
      <c r="C861" s="319"/>
      <c r="D861" s="320"/>
      <c r="E861" s="320"/>
      <c r="F861" s="190"/>
      <c r="G8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1" s="190"/>
      <c r="I8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1" s="190"/>
      <c r="K8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1" s="190"/>
      <c r="M8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1" s="190"/>
      <c r="O8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1" s="190"/>
      <c r="Q8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1" s="192">
        <f ca="1">Table66[[#This Row],[Year 1 (Specified in RFO) - N/A]]+Table66[[#This Row],[Year 2 (Specified in RFO) - N/A]]+Table66[[#This Row],[Year 3 (Specified in RFO) - N/A]]+Table66[[#This Row],[Year 4 (Specified in RFO) - N/A]]+Table66[[#This Row],[Year 5 (Specified in RFO) - N/A]]+Table66[[#This Row],[Year 6 (Specified in RFO) - N/A]]</f>
        <v>0</v>
      </c>
      <c r="S861" s="402">
        <f ca="1">Table66[[#This Row],[Year 1  (Proposed)]]+Table66[[#This Row],[Year 2 (Proposed)]]+Table66[[#This Row],[Year 3 (Proposed)]]+Table66[[#This Row],[Year 4 (Proposed)]]+Table66[[#This Row],[Year 5 (Proposed)]]+Table66[[#This Row],[Year 6 (Proposed)]]</f>
        <v>0</v>
      </c>
      <c r="T861" s="403" t="b">
        <f ca="1">Table66[[#This Row],[Total Specifed in RFO - N/A]]=Table66[[#This Row],[Total Proposed]]</f>
        <v>1</v>
      </c>
      <c r="U861" s="439"/>
      <c r="V861" s="441">
        <f ca="1">Table66[[#This Row],[Year 6 (Specified in RFO) - N/A]]-Table66[[#This Row],[Column1]]</f>
        <v>0</v>
      </c>
    </row>
    <row r="862" spans="1:22" ht="16.5" thickBot="1">
      <c r="A862" s="227"/>
      <c r="B862" s="319"/>
      <c r="C862" s="319"/>
      <c r="D862" s="320"/>
      <c r="E862" s="320"/>
      <c r="F862" s="190"/>
      <c r="G8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2" s="190"/>
      <c r="I8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2" s="190"/>
      <c r="K8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2" s="190"/>
      <c r="M8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2" s="190"/>
      <c r="O8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2" s="190"/>
      <c r="Q8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2" s="192">
        <f ca="1">Table66[[#This Row],[Year 1 (Specified in RFO) - N/A]]+Table66[[#This Row],[Year 2 (Specified in RFO) - N/A]]+Table66[[#This Row],[Year 3 (Specified in RFO) - N/A]]+Table66[[#This Row],[Year 4 (Specified in RFO) - N/A]]+Table66[[#This Row],[Year 5 (Specified in RFO) - N/A]]+Table66[[#This Row],[Year 6 (Specified in RFO) - N/A]]</f>
        <v>0</v>
      </c>
      <c r="S862" s="402">
        <f ca="1">Table66[[#This Row],[Year 1  (Proposed)]]+Table66[[#This Row],[Year 2 (Proposed)]]+Table66[[#This Row],[Year 3 (Proposed)]]+Table66[[#This Row],[Year 4 (Proposed)]]+Table66[[#This Row],[Year 5 (Proposed)]]+Table66[[#This Row],[Year 6 (Proposed)]]</f>
        <v>0</v>
      </c>
      <c r="T862" s="403" t="b">
        <f ca="1">Table66[[#This Row],[Total Specifed in RFO - N/A]]=Table66[[#This Row],[Total Proposed]]</f>
        <v>1</v>
      </c>
      <c r="U862" s="439"/>
      <c r="V862" s="441">
        <f ca="1">Table66[[#This Row],[Year 6 (Specified in RFO) - N/A]]-Table66[[#This Row],[Column1]]</f>
        <v>0</v>
      </c>
    </row>
    <row r="863" spans="1:22" ht="16.5" thickBot="1">
      <c r="A863" s="227"/>
      <c r="B863" s="319"/>
      <c r="C863" s="319"/>
      <c r="D863" s="320"/>
      <c r="E863" s="320"/>
      <c r="F863" s="190"/>
      <c r="G8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3" s="190"/>
      <c r="I8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3" s="190"/>
      <c r="K8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3" s="190"/>
      <c r="M8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3" s="190"/>
      <c r="O8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3" s="190"/>
      <c r="Q8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3" s="192">
        <f ca="1">Table66[[#This Row],[Year 1 (Specified in RFO) - N/A]]+Table66[[#This Row],[Year 2 (Specified in RFO) - N/A]]+Table66[[#This Row],[Year 3 (Specified in RFO) - N/A]]+Table66[[#This Row],[Year 4 (Specified in RFO) - N/A]]+Table66[[#This Row],[Year 5 (Specified in RFO) - N/A]]+Table66[[#This Row],[Year 6 (Specified in RFO) - N/A]]</f>
        <v>0</v>
      </c>
      <c r="S863" s="402">
        <f ca="1">Table66[[#This Row],[Year 1  (Proposed)]]+Table66[[#This Row],[Year 2 (Proposed)]]+Table66[[#This Row],[Year 3 (Proposed)]]+Table66[[#This Row],[Year 4 (Proposed)]]+Table66[[#This Row],[Year 5 (Proposed)]]+Table66[[#This Row],[Year 6 (Proposed)]]</f>
        <v>0</v>
      </c>
      <c r="T863" s="403" t="b">
        <f ca="1">Table66[[#This Row],[Total Specifed in RFO - N/A]]=Table66[[#This Row],[Total Proposed]]</f>
        <v>1</v>
      </c>
      <c r="U863" s="439"/>
      <c r="V863" s="441">
        <f ca="1">Table66[[#This Row],[Year 6 (Specified in RFO) - N/A]]-Table66[[#This Row],[Column1]]</f>
        <v>0</v>
      </c>
    </row>
    <row r="864" spans="1:22" ht="16.5" thickBot="1">
      <c r="A864" s="227"/>
      <c r="B864" s="319"/>
      <c r="C864" s="319"/>
      <c r="D864" s="320"/>
      <c r="E864" s="320"/>
      <c r="F864" s="190"/>
      <c r="G8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4" s="190"/>
      <c r="I8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4" s="190"/>
      <c r="K8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4" s="190"/>
      <c r="M8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4" s="190"/>
      <c r="O8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4" s="190"/>
      <c r="Q8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4" s="192">
        <f ca="1">Table66[[#This Row],[Year 1 (Specified in RFO) - N/A]]+Table66[[#This Row],[Year 2 (Specified in RFO) - N/A]]+Table66[[#This Row],[Year 3 (Specified in RFO) - N/A]]+Table66[[#This Row],[Year 4 (Specified in RFO) - N/A]]+Table66[[#This Row],[Year 5 (Specified in RFO) - N/A]]+Table66[[#This Row],[Year 6 (Specified in RFO) - N/A]]</f>
        <v>0</v>
      </c>
      <c r="S864" s="402">
        <f ca="1">Table66[[#This Row],[Year 1  (Proposed)]]+Table66[[#This Row],[Year 2 (Proposed)]]+Table66[[#This Row],[Year 3 (Proposed)]]+Table66[[#This Row],[Year 4 (Proposed)]]+Table66[[#This Row],[Year 5 (Proposed)]]+Table66[[#This Row],[Year 6 (Proposed)]]</f>
        <v>0</v>
      </c>
      <c r="T864" s="403" t="b">
        <f ca="1">Table66[[#This Row],[Total Specifed in RFO - N/A]]=Table66[[#This Row],[Total Proposed]]</f>
        <v>1</v>
      </c>
      <c r="U864" s="439"/>
      <c r="V864" s="441">
        <f ca="1">Table66[[#This Row],[Year 6 (Specified in RFO) - N/A]]-Table66[[#This Row],[Column1]]</f>
        <v>0</v>
      </c>
    </row>
    <row r="865" spans="1:22" ht="16.5" thickBot="1">
      <c r="A865" s="319"/>
      <c r="B865" s="319"/>
      <c r="C865" s="319"/>
      <c r="D865" s="320"/>
      <c r="E865" s="320"/>
      <c r="F865" s="190"/>
      <c r="G8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5" s="190"/>
      <c r="I8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5" s="190"/>
      <c r="K8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5" s="190"/>
      <c r="M8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5" s="190"/>
      <c r="O8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5" s="190"/>
      <c r="Q8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5" s="192">
        <f ca="1">Table66[[#This Row],[Year 1 (Specified in RFO) - N/A]]+Table66[[#This Row],[Year 2 (Specified in RFO) - N/A]]+Table66[[#This Row],[Year 3 (Specified in RFO) - N/A]]+Table66[[#This Row],[Year 4 (Specified in RFO) - N/A]]+Table66[[#This Row],[Year 5 (Specified in RFO) - N/A]]+Table66[[#This Row],[Year 6 (Specified in RFO) - N/A]]</f>
        <v>0</v>
      </c>
      <c r="S865" s="402">
        <f ca="1">Table66[[#This Row],[Year 1  (Proposed)]]+Table66[[#This Row],[Year 2 (Proposed)]]+Table66[[#This Row],[Year 3 (Proposed)]]+Table66[[#This Row],[Year 4 (Proposed)]]+Table66[[#This Row],[Year 5 (Proposed)]]+Table66[[#This Row],[Year 6 (Proposed)]]</f>
        <v>0</v>
      </c>
      <c r="T865" s="403" t="b">
        <f ca="1">Table66[[#This Row],[Total Specifed in RFO - N/A]]=Table66[[#This Row],[Total Proposed]]</f>
        <v>1</v>
      </c>
      <c r="U865" s="439"/>
      <c r="V865" s="441">
        <f ca="1">Table66[[#This Row],[Year 6 (Specified in RFO) - N/A]]-Table66[[#This Row],[Column1]]</f>
        <v>0</v>
      </c>
    </row>
    <row r="866" spans="1:22" ht="16.5" thickBot="1">
      <c r="A866" s="227"/>
      <c r="B866" s="227"/>
      <c r="C866" s="227"/>
      <c r="D866" s="320"/>
      <c r="E866" s="231"/>
      <c r="F866" s="190"/>
      <c r="G8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6" s="190"/>
      <c r="I8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6" s="190"/>
      <c r="K8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6" s="190"/>
      <c r="M8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6" s="190"/>
      <c r="O8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6" s="190"/>
      <c r="Q8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6" s="192">
        <f ca="1">Table66[[#This Row],[Year 1 (Specified in RFO) - N/A]]+Table66[[#This Row],[Year 2 (Specified in RFO) - N/A]]+Table66[[#This Row],[Year 3 (Specified in RFO) - N/A]]+Table66[[#This Row],[Year 4 (Specified in RFO) - N/A]]+Table66[[#This Row],[Year 5 (Specified in RFO) - N/A]]+Table66[[#This Row],[Year 6 (Specified in RFO) - N/A]]</f>
        <v>0</v>
      </c>
      <c r="S866" s="402">
        <f ca="1">Table66[[#This Row],[Year 1  (Proposed)]]+Table66[[#This Row],[Year 2 (Proposed)]]+Table66[[#This Row],[Year 3 (Proposed)]]+Table66[[#This Row],[Year 4 (Proposed)]]+Table66[[#This Row],[Year 5 (Proposed)]]+Table66[[#This Row],[Year 6 (Proposed)]]</f>
        <v>0</v>
      </c>
      <c r="T866" s="403" t="b">
        <f ca="1">Table66[[#This Row],[Total Specifed in RFO - N/A]]=Table66[[#This Row],[Total Proposed]]</f>
        <v>1</v>
      </c>
      <c r="U866" s="439"/>
      <c r="V866" s="441">
        <f ca="1">Table66[[#This Row],[Year 6 (Specified in RFO) - N/A]]-Table66[[#This Row],[Column1]]</f>
        <v>0</v>
      </c>
    </row>
    <row r="867" spans="1:22" ht="16.5" thickBot="1">
      <c r="A867" s="227"/>
      <c r="B867" s="319"/>
      <c r="C867" s="319"/>
      <c r="D867" s="320"/>
      <c r="E867" s="320"/>
      <c r="F867" s="190"/>
      <c r="G8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7" s="190"/>
      <c r="I8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7" s="190"/>
      <c r="K8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7" s="190"/>
      <c r="M8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7" s="190"/>
      <c r="O8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7" s="190"/>
      <c r="Q8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7" s="192">
        <f ca="1">Table66[[#This Row],[Year 1 (Specified in RFO) - N/A]]+Table66[[#This Row],[Year 2 (Specified in RFO) - N/A]]+Table66[[#This Row],[Year 3 (Specified in RFO) - N/A]]+Table66[[#This Row],[Year 4 (Specified in RFO) - N/A]]+Table66[[#This Row],[Year 5 (Specified in RFO) - N/A]]+Table66[[#This Row],[Year 6 (Specified in RFO) - N/A]]</f>
        <v>0</v>
      </c>
      <c r="S867" s="402">
        <f ca="1">Table66[[#This Row],[Year 1  (Proposed)]]+Table66[[#This Row],[Year 2 (Proposed)]]+Table66[[#This Row],[Year 3 (Proposed)]]+Table66[[#This Row],[Year 4 (Proposed)]]+Table66[[#This Row],[Year 5 (Proposed)]]+Table66[[#This Row],[Year 6 (Proposed)]]</f>
        <v>0</v>
      </c>
      <c r="T867" s="403" t="b">
        <f ca="1">Table66[[#This Row],[Total Specifed in RFO - N/A]]=Table66[[#This Row],[Total Proposed]]</f>
        <v>1</v>
      </c>
      <c r="U867" s="439"/>
      <c r="V867" s="441">
        <f ca="1">Table66[[#This Row],[Year 6 (Specified in RFO) - N/A]]-Table66[[#This Row],[Column1]]</f>
        <v>0</v>
      </c>
    </row>
    <row r="868" spans="1:22" ht="16.5" thickBot="1">
      <c r="A868" s="319"/>
      <c r="B868" s="319"/>
      <c r="C868" s="319"/>
      <c r="D868" s="320"/>
      <c r="E868" s="320"/>
      <c r="F868" s="190"/>
      <c r="G8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8" s="190"/>
      <c r="I8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8" s="190"/>
      <c r="K8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8" s="190"/>
      <c r="M8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8" s="190"/>
      <c r="O8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8" s="190"/>
      <c r="Q8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8" s="192">
        <f ca="1">Table66[[#This Row],[Year 1 (Specified in RFO) - N/A]]+Table66[[#This Row],[Year 2 (Specified in RFO) - N/A]]+Table66[[#This Row],[Year 3 (Specified in RFO) - N/A]]+Table66[[#This Row],[Year 4 (Specified in RFO) - N/A]]+Table66[[#This Row],[Year 5 (Specified in RFO) - N/A]]+Table66[[#This Row],[Year 6 (Specified in RFO) - N/A]]</f>
        <v>0</v>
      </c>
      <c r="S868" s="402">
        <f ca="1">Table66[[#This Row],[Year 1  (Proposed)]]+Table66[[#This Row],[Year 2 (Proposed)]]+Table66[[#This Row],[Year 3 (Proposed)]]+Table66[[#This Row],[Year 4 (Proposed)]]+Table66[[#This Row],[Year 5 (Proposed)]]+Table66[[#This Row],[Year 6 (Proposed)]]</f>
        <v>0</v>
      </c>
      <c r="T868" s="403" t="b">
        <f ca="1">Table66[[#This Row],[Total Specifed in RFO - N/A]]=Table66[[#This Row],[Total Proposed]]</f>
        <v>1</v>
      </c>
      <c r="U868" s="439"/>
      <c r="V868" s="441">
        <f ca="1">Table66[[#This Row],[Year 6 (Specified in RFO) - N/A]]-Table66[[#This Row],[Column1]]</f>
        <v>0</v>
      </c>
    </row>
    <row r="869" spans="1:22" ht="16.5" thickBot="1">
      <c r="A869" s="227"/>
      <c r="B869" s="227"/>
      <c r="C869" s="227"/>
      <c r="D869" s="320"/>
      <c r="E869" s="231"/>
      <c r="F869" s="190"/>
      <c r="G8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9" s="190"/>
      <c r="I8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9" s="190"/>
      <c r="K8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9" s="190"/>
      <c r="M8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9" s="190"/>
      <c r="O8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9" s="190"/>
      <c r="Q8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9" s="192">
        <f ca="1">Table66[[#This Row],[Year 1 (Specified in RFO) - N/A]]+Table66[[#This Row],[Year 2 (Specified in RFO) - N/A]]+Table66[[#This Row],[Year 3 (Specified in RFO) - N/A]]+Table66[[#This Row],[Year 4 (Specified in RFO) - N/A]]+Table66[[#This Row],[Year 5 (Specified in RFO) - N/A]]+Table66[[#This Row],[Year 6 (Specified in RFO) - N/A]]</f>
        <v>0</v>
      </c>
      <c r="S869" s="402">
        <f ca="1">Table66[[#This Row],[Year 1  (Proposed)]]+Table66[[#This Row],[Year 2 (Proposed)]]+Table66[[#This Row],[Year 3 (Proposed)]]+Table66[[#This Row],[Year 4 (Proposed)]]+Table66[[#This Row],[Year 5 (Proposed)]]+Table66[[#This Row],[Year 6 (Proposed)]]</f>
        <v>0</v>
      </c>
      <c r="T869" s="403" t="b">
        <f ca="1">Table66[[#This Row],[Total Specifed in RFO - N/A]]=Table66[[#This Row],[Total Proposed]]</f>
        <v>1</v>
      </c>
      <c r="U869" s="439"/>
      <c r="V869" s="441">
        <f ca="1">Table66[[#This Row],[Year 6 (Specified in RFO) - N/A]]-Table66[[#This Row],[Column1]]</f>
        <v>0</v>
      </c>
    </row>
    <row r="870" spans="1:22" ht="16.5" thickBot="1">
      <c r="A870" s="227"/>
      <c r="B870" s="319"/>
      <c r="C870" s="319"/>
      <c r="D870" s="320"/>
      <c r="E870" s="320"/>
      <c r="F870" s="190"/>
      <c r="G8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0" s="190"/>
      <c r="I8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0" s="190"/>
      <c r="K8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0" s="190"/>
      <c r="M8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0" s="190"/>
      <c r="O8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0" s="190"/>
      <c r="Q8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0" s="192">
        <f ca="1">Table66[[#This Row],[Year 1 (Specified in RFO) - N/A]]+Table66[[#This Row],[Year 2 (Specified in RFO) - N/A]]+Table66[[#This Row],[Year 3 (Specified in RFO) - N/A]]+Table66[[#This Row],[Year 4 (Specified in RFO) - N/A]]+Table66[[#This Row],[Year 5 (Specified in RFO) - N/A]]+Table66[[#This Row],[Year 6 (Specified in RFO) - N/A]]</f>
        <v>0</v>
      </c>
      <c r="S870" s="402">
        <f ca="1">Table66[[#This Row],[Year 1  (Proposed)]]+Table66[[#This Row],[Year 2 (Proposed)]]+Table66[[#This Row],[Year 3 (Proposed)]]+Table66[[#This Row],[Year 4 (Proposed)]]+Table66[[#This Row],[Year 5 (Proposed)]]+Table66[[#This Row],[Year 6 (Proposed)]]</f>
        <v>0</v>
      </c>
      <c r="T870" s="403" t="b">
        <f ca="1">Table66[[#This Row],[Total Specifed in RFO - N/A]]=Table66[[#This Row],[Total Proposed]]</f>
        <v>1</v>
      </c>
      <c r="U870" s="439"/>
      <c r="V870" s="441">
        <f ca="1">Table66[[#This Row],[Year 6 (Specified in RFO) - N/A]]-Table66[[#This Row],[Column1]]</f>
        <v>0</v>
      </c>
    </row>
    <row r="871" spans="1:22" ht="16.5" thickBot="1">
      <c r="A871" s="319"/>
      <c r="B871" s="319"/>
      <c r="C871" s="319"/>
      <c r="D871" s="320"/>
      <c r="E871" s="320"/>
      <c r="F871" s="190"/>
      <c r="G8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1" s="190"/>
      <c r="I8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1" s="190"/>
      <c r="K8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1" s="190"/>
      <c r="M8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1" s="190"/>
      <c r="O8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1" s="190"/>
      <c r="Q8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1" s="192">
        <f ca="1">Table66[[#This Row],[Year 1 (Specified in RFO) - N/A]]+Table66[[#This Row],[Year 2 (Specified in RFO) - N/A]]+Table66[[#This Row],[Year 3 (Specified in RFO) - N/A]]+Table66[[#This Row],[Year 4 (Specified in RFO) - N/A]]+Table66[[#This Row],[Year 5 (Specified in RFO) - N/A]]+Table66[[#This Row],[Year 6 (Specified in RFO) - N/A]]</f>
        <v>0</v>
      </c>
      <c r="S871" s="402">
        <f ca="1">Table66[[#This Row],[Year 1  (Proposed)]]+Table66[[#This Row],[Year 2 (Proposed)]]+Table66[[#This Row],[Year 3 (Proposed)]]+Table66[[#This Row],[Year 4 (Proposed)]]+Table66[[#This Row],[Year 5 (Proposed)]]+Table66[[#This Row],[Year 6 (Proposed)]]</f>
        <v>0</v>
      </c>
      <c r="T871" s="403" t="b">
        <f ca="1">Table66[[#This Row],[Total Specifed in RFO - N/A]]=Table66[[#This Row],[Total Proposed]]</f>
        <v>1</v>
      </c>
      <c r="U871" s="439"/>
      <c r="V871" s="441">
        <f ca="1">Table66[[#This Row],[Year 6 (Specified in RFO) - N/A]]-Table66[[#This Row],[Column1]]</f>
        <v>0</v>
      </c>
    </row>
    <row r="872" spans="1:22" ht="16.5" thickBot="1">
      <c r="A872" s="227"/>
      <c r="B872" s="227"/>
      <c r="C872" s="227"/>
      <c r="D872" s="320"/>
      <c r="E872" s="231"/>
      <c r="F872" s="190"/>
      <c r="G8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2" s="190"/>
      <c r="I8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2" s="190"/>
      <c r="K8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2" s="190"/>
      <c r="M8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2" s="190"/>
      <c r="O8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2" s="190"/>
      <c r="Q8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2" s="192">
        <f ca="1">Table66[[#This Row],[Year 1 (Specified in RFO) - N/A]]+Table66[[#This Row],[Year 2 (Specified in RFO) - N/A]]+Table66[[#This Row],[Year 3 (Specified in RFO) - N/A]]+Table66[[#This Row],[Year 4 (Specified in RFO) - N/A]]+Table66[[#This Row],[Year 5 (Specified in RFO) - N/A]]+Table66[[#This Row],[Year 6 (Specified in RFO) - N/A]]</f>
        <v>0</v>
      </c>
      <c r="S872" s="402">
        <f ca="1">Table66[[#This Row],[Year 1  (Proposed)]]+Table66[[#This Row],[Year 2 (Proposed)]]+Table66[[#This Row],[Year 3 (Proposed)]]+Table66[[#This Row],[Year 4 (Proposed)]]+Table66[[#This Row],[Year 5 (Proposed)]]+Table66[[#This Row],[Year 6 (Proposed)]]</f>
        <v>0</v>
      </c>
      <c r="T872" s="403" t="b">
        <f ca="1">Table66[[#This Row],[Total Specifed in RFO - N/A]]=Table66[[#This Row],[Total Proposed]]</f>
        <v>1</v>
      </c>
      <c r="U872" s="439"/>
      <c r="V872" s="441">
        <f ca="1">Table66[[#This Row],[Year 6 (Specified in RFO) - N/A]]-Table66[[#This Row],[Column1]]</f>
        <v>0</v>
      </c>
    </row>
    <row r="873" spans="1:22" ht="16.5" thickBot="1">
      <c r="A873" s="227"/>
      <c r="B873" s="319"/>
      <c r="C873" s="319"/>
      <c r="D873" s="320"/>
      <c r="E873" s="320"/>
      <c r="F873" s="190"/>
      <c r="G8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3" s="190"/>
      <c r="I8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3" s="190"/>
      <c r="K8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3" s="190"/>
      <c r="M8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3" s="190"/>
      <c r="O8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3" s="190"/>
      <c r="Q8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3" s="192">
        <f ca="1">Table66[[#This Row],[Year 1 (Specified in RFO) - N/A]]+Table66[[#This Row],[Year 2 (Specified in RFO) - N/A]]+Table66[[#This Row],[Year 3 (Specified in RFO) - N/A]]+Table66[[#This Row],[Year 4 (Specified in RFO) - N/A]]+Table66[[#This Row],[Year 5 (Specified in RFO) - N/A]]+Table66[[#This Row],[Year 6 (Specified in RFO) - N/A]]</f>
        <v>0</v>
      </c>
      <c r="S873" s="402">
        <f ca="1">Table66[[#This Row],[Year 1  (Proposed)]]+Table66[[#This Row],[Year 2 (Proposed)]]+Table66[[#This Row],[Year 3 (Proposed)]]+Table66[[#This Row],[Year 4 (Proposed)]]+Table66[[#This Row],[Year 5 (Proposed)]]+Table66[[#This Row],[Year 6 (Proposed)]]</f>
        <v>0</v>
      </c>
      <c r="T873" s="403" t="b">
        <f ca="1">Table66[[#This Row],[Total Specifed in RFO - N/A]]=Table66[[#This Row],[Total Proposed]]</f>
        <v>1</v>
      </c>
      <c r="U873" s="439"/>
      <c r="V873" s="441">
        <f ca="1">Table66[[#This Row],[Year 6 (Specified in RFO) - N/A]]-Table66[[#This Row],[Column1]]</f>
        <v>0</v>
      </c>
    </row>
    <row r="874" spans="1:22" ht="16.5" thickBot="1">
      <c r="A874" s="319"/>
      <c r="B874" s="319"/>
      <c r="C874" s="319"/>
      <c r="D874" s="320"/>
      <c r="E874" s="320"/>
      <c r="F874" s="190"/>
      <c r="G8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4" s="190"/>
      <c r="I8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4" s="190"/>
      <c r="K8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4" s="190"/>
      <c r="M8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4" s="190"/>
      <c r="O8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4" s="190"/>
      <c r="Q8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4" s="192">
        <f ca="1">Table66[[#This Row],[Year 1 (Specified in RFO) - N/A]]+Table66[[#This Row],[Year 2 (Specified in RFO) - N/A]]+Table66[[#This Row],[Year 3 (Specified in RFO) - N/A]]+Table66[[#This Row],[Year 4 (Specified in RFO) - N/A]]+Table66[[#This Row],[Year 5 (Specified in RFO) - N/A]]+Table66[[#This Row],[Year 6 (Specified in RFO) - N/A]]</f>
        <v>0</v>
      </c>
      <c r="S874" s="402">
        <f ca="1">Table66[[#This Row],[Year 1  (Proposed)]]+Table66[[#This Row],[Year 2 (Proposed)]]+Table66[[#This Row],[Year 3 (Proposed)]]+Table66[[#This Row],[Year 4 (Proposed)]]+Table66[[#This Row],[Year 5 (Proposed)]]+Table66[[#This Row],[Year 6 (Proposed)]]</f>
        <v>0</v>
      </c>
      <c r="T874" s="403" t="b">
        <f ca="1">Table66[[#This Row],[Total Specifed in RFO - N/A]]=Table66[[#This Row],[Total Proposed]]</f>
        <v>1</v>
      </c>
      <c r="U874" s="439"/>
      <c r="V874" s="441">
        <f ca="1">Table66[[#This Row],[Year 6 (Specified in RFO) - N/A]]-Table66[[#This Row],[Column1]]</f>
        <v>0</v>
      </c>
    </row>
    <row r="875" spans="1:22" ht="16.5" thickBot="1">
      <c r="A875" s="227"/>
      <c r="B875" s="227"/>
      <c r="C875" s="227"/>
      <c r="D875" s="320"/>
      <c r="E875" s="231"/>
      <c r="F875" s="190"/>
      <c r="G8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5" s="190"/>
      <c r="I8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5" s="190"/>
      <c r="K8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5" s="190"/>
      <c r="M8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5" s="190"/>
      <c r="O8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5" s="190"/>
      <c r="Q8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5" s="192">
        <f ca="1">Table66[[#This Row],[Year 1 (Specified in RFO) - N/A]]+Table66[[#This Row],[Year 2 (Specified in RFO) - N/A]]+Table66[[#This Row],[Year 3 (Specified in RFO) - N/A]]+Table66[[#This Row],[Year 4 (Specified in RFO) - N/A]]+Table66[[#This Row],[Year 5 (Specified in RFO) - N/A]]+Table66[[#This Row],[Year 6 (Specified in RFO) - N/A]]</f>
        <v>0</v>
      </c>
      <c r="S875" s="402">
        <f ca="1">Table66[[#This Row],[Year 1  (Proposed)]]+Table66[[#This Row],[Year 2 (Proposed)]]+Table66[[#This Row],[Year 3 (Proposed)]]+Table66[[#This Row],[Year 4 (Proposed)]]+Table66[[#This Row],[Year 5 (Proposed)]]+Table66[[#This Row],[Year 6 (Proposed)]]</f>
        <v>0</v>
      </c>
      <c r="T875" s="403" t="b">
        <f ca="1">Table66[[#This Row],[Total Specifed in RFO - N/A]]=Table66[[#This Row],[Total Proposed]]</f>
        <v>1</v>
      </c>
      <c r="U875" s="439"/>
      <c r="V875" s="441">
        <f ca="1">Table66[[#This Row],[Year 6 (Specified in RFO) - N/A]]-Table66[[#This Row],[Column1]]</f>
        <v>0</v>
      </c>
    </row>
    <row r="876" spans="1:22" ht="16.5" thickBot="1">
      <c r="A876" s="227"/>
      <c r="B876" s="319"/>
      <c r="C876" s="319"/>
      <c r="D876" s="320"/>
      <c r="E876" s="320"/>
      <c r="F876" s="190"/>
      <c r="G8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6" s="190"/>
      <c r="I8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6" s="190"/>
      <c r="K8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6" s="190"/>
      <c r="M8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6" s="190"/>
      <c r="O8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6" s="190"/>
      <c r="Q8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6" s="192">
        <f ca="1">Table66[[#This Row],[Year 1 (Specified in RFO) - N/A]]+Table66[[#This Row],[Year 2 (Specified in RFO) - N/A]]+Table66[[#This Row],[Year 3 (Specified in RFO) - N/A]]+Table66[[#This Row],[Year 4 (Specified in RFO) - N/A]]+Table66[[#This Row],[Year 5 (Specified in RFO) - N/A]]+Table66[[#This Row],[Year 6 (Specified in RFO) - N/A]]</f>
        <v>0</v>
      </c>
      <c r="S876" s="402">
        <f ca="1">Table66[[#This Row],[Year 1  (Proposed)]]+Table66[[#This Row],[Year 2 (Proposed)]]+Table66[[#This Row],[Year 3 (Proposed)]]+Table66[[#This Row],[Year 4 (Proposed)]]+Table66[[#This Row],[Year 5 (Proposed)]]+Table66[[#This Row],[Year 6 (Proposed)]]</f>
        <v>0</v>
      </c>
      <c r="T876" s="403" t="b">
        <f ca="1">Table66[[#This Row],[Total Specifed in RFO - N/A]]=Table66[[#This Row],[Total Proposed]]</f>
        <v>1</v>
      </c>
      <c r="U876" s="439"/>
      <c r="V876" s="441">
        <f ca="1">Table66[[#This Row],[Year 6 (Specified in RFO) - N/A]]-Table66[[#This Row],[Column1]]</f>
        <v>0</v>
      </c>
    </row>
    <row r="877" spans="1:22" ht="16.5" thickBot="1">
      <c r="A877" s="319"/>
      <c r="B877" s="319"/>
      <c r="C877" s="319"/>
      <c r="D877" s="320"/>
      <c r="E877" s="320"/>
      <c r="F877" s="190"/>
      <c r="G8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7" s="190"/>
      <c r="I8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7" s="190"/>
      <c r="K8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7" s="190"/>
      <c r="M8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7" s="190"/>
      <c r="O8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7" s="190"/>
      <c r="Q8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7" s="192">
        <f ca="1">Table66[[#This Row],[Year 1 (Specified in RFO) - N/A]]+Table66[[#This Row],[Year 2 (Specified in RFO) - N/A]]+Table66[[#This Row],[Year 3 (Specified in RFO) - N/A]]+Table66[[#This Row],[Year 4 (Specified in RFO) - N/A]]+Table66[[#This Row],[Year 5 (Specified in RFO) - N/A]]+Table66[[#This Row],[Year 6 (Specified in RFO) - N/A]]</f>
        <v>0</v>
      </c>
      <c r="S877" s="402">
        <f ca="1">Table66[[#This Row],[Year 1  (Proposed)]]+Table66[[#This Row],[Year 2 (Proposed)]]+Table66[[#This Row],[Year 3 (Proposed)]]+Table66[[#This Row],[Year 4 (Proposed)]]+Table66[[#This Row],[Year 5 (Proposed)]]+Table66[[#This Row],[Year 6 (Proposed)]]</f>
        <v>0</v>
      </c>
      <c r="T877" s="403" t="b">
        <f ca="1">Table66[[#This Row],[Total Specifed in RFO - N/A]]=Table66[[#This Row],[Total Proposed]]</f>
        <v>1</v>
      </c>
      <c r="U877" s="439"/>
      <c r="V877" s="441">
        <f ca="1">Table66[[#This Row],[Year 6 (Specified in RFO) - N/A]]-Table66[[#This Row],[Column1]]</f>
        <v>0</v>
      </c>
    </row>
    <row r="878" spans="1:22" ht="16.5" thickBot="1">
      <c r="A878" s="227"/>
      <c r="B878" s="227"/>
      <c r="C878" s="227"/>
      <c r="D878" s="320"/>
      <c r="E878" s="231"/>
      <c r="F878" s="190"/>
      <c r="G8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8" s="190"/>
      <c r="I8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8" s="190"/>
      <c r="K8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8" s="190"/>
      <c r="M8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8" s="190"/>
      <c r="O8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8" s="190"/>
      <c r="Q8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8" s="192">
        <f ca="1">Table66[[#This Row],[Year 1 (Specified in RFO) - N/A]]+Table66[[#This Row],[Year 2 (Specified in RFO) - N/A]]+Table66[[#This Row],[Year 3 (Specified in RFO) - N/A]]+Table66[[#This Row],[Year 4 (Specified in RFO) - N/A]]+Table66[[#This Row],[Year 5 (Specified in RFO) - N/A]]+Table66[[#This Row],[Year 6 (Specified in RFO) - N/A]]</f>
        <v>0</v>
      </c>
      <c r="S878" s="402">
        <f ca="1">Table66[[#This Row],[Year 1  (Proposed)]]+Table66[[#This Row],[Year 2 (Proposed)]]+Table66[[#This Row],[Year 3 (Proposed)]]+Table66[[#This Row],[Year 4 (Proposed)]]+Table66[[#This Row],[Year 5 (Proposed)]]+Table66[[#This Row],[Year 6 (Proposed)]]</f>
        <v>0</v>
      </c>
      <c r="T878" s="403" t="b">
        <f ca="1">Table66[[#This Row],[Total Specifed in RFO - N/A]]=Table66[[#This Row],[Total Proposed]]</f>
        <v>1</v>
      </c>
      <c r="U878" s="439"/>
      <c r="V878" s="441">
        <f ca="1">Table66[[#This Row],[Year 6 (Specified in RFO) - N/A]]-Table66[[#This Row],[Column1]]</f>
        <v>0</v>
      </c>
    </row>
    <row r="879" spans="1:22" ht="16.5" thickBot="1">
      <c r="A879" s="227"/>
      <c r="B879" s="319"/>
      <c r="C879" s="319"/>
      <c r="D879" s="320"/>
      <c r="E879" s="320"/>
      <c r="F879" s="190"/>
      <c r="G8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9" s="190"/>
      <c r="I8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9" s="190"/>
      <c r="K8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9" s="190"/>
      <c r="M8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9" s="190"/>
      <c r="O8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9" s="190"/>
      <c r="Q8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9" s="192">
        <f ca="1">Table66[[#This Row],[Year 1 (Specified in RFO) - N/A]]+Table66[[#This Row],[Year 2 (Specified in RFO) - N/A]]+Table66[[#This Row],[Year 3 (Specified in RFO) - N/A]]+Table66[[#This Row],[Year 4 (Specified in RFO) - N/A]]+Table66[[#This Row],[Year 5 (Specified in RFO) - N/A]]+Table66[[#This Row],[Year 6 (Specified in RFO) - N/A]]</f>
        <v>0</v>
      </c>
      <c r="S879" s="402">
        <f ca="1">Table66[[#This Row],[Year 1  (Proposed)]]+Table66[[#This Row],[Year 2 (Proposed)]]+Table66[[#This Row],[Year 3 (Proposed)]]+Table66[[#This Row],[Year 4 (Proposed)]]+Table66[[#This Row],[Year 5 (Proposed)]]+Table66[[#This Row],[Year 6 (Proposed)]]</f>
        <v>0</v>
      </c>
      <c r="T879" s="403" t="b">
        <f ca="1">Table66[[#This Row],[Total Specifed in RFO - N/A]]=Table66[[#This Row],[Total Proposed]]</f>
        <v>1</v>
      </c>
      <c r="U879" s="439"/>
      <c r="V879" s="441">
        <f ca="1">Table66[[#This Row],[Year 6 (Specified in RFO) - N/A]]-Table66[[#This Row],[Column1]]</f>
        <v>0</v>
      </c>
    </row>
    <row r="880" spans="1:22" ht="16.5" thickBot="1">
      <c r="A880" s="319"/>
      <c r="B880" s="319"/>
      <c r="C880" s="319"/>
      <c r="D880" s="320"/>
      <c r="E880" s="320"/>
      <c r="F880" s="190"/>
      <c r="G8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0" s="190"/>
      <c r="I8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0" s="190"/>
      <c r="K8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0" s="190"/>
      <c r="M8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0" s="190"/>
      <c r="O8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0" s="190"/>
      <c r="Q8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0" s="192">
        <f ca="1">Table66[[#This Row],[Year 1 (Specified in RFO) - N/A]]+Table66[[#This Row],[Year 2 (Specified in RFO) - N/A]]+Table66[[#This Row],[Year 3 (Specified in RFO) - N/A]]+Table66[[#This Row],[Year 4 (Specified in RFO) - N/A]]+Table66[[#This Row],[Year 5 (Specified in RFO) - N/A]]+Table66[[#This Row],[Year 6 (Specified in RFO) - N/A]]</f>
        <v>0</v>
      </c>
      <c r="S880" s="402">
        <f ca="1">Table66[[#This Row],[Year 1  (Proposed)]]+Table66[[#This Row],[Year 2 (Proposed)]]+Table66[[#This Row],[Year 3 (Proposed)]]+Table66[[#This Row],[Year 4 (Proposed)]]+Table66[[#This Row],[Year 5 (Proposed)]]+Table66[[#This Row],[Year 6 (Proposed)]]</f>
        <v>0</v>
      </c>
      <c r="T880" s="403" t="b">
        <f ca="1">Table66[[#This Row],[Total Specifed in RFO - N/A]]=Table66[[#This Row],[Total Proposed]]</f>
        <v>1</v>
      </c>
      <c r="U880" s="439"/>
      <c r="V880" s="441">
        <f ca="1">Table66[[#This Row],[Year 6 (Specified in RFO) - N/A]]-Table66[[#This Row],[Column1]]</f>
        <v>0</v>
      </c>
    </row>
    <row r="881" spans="1:22" ht="16.5" thickBot="1">
      <c r="A881" s="227"/>
      <c r="B881" s="227"/>
      <c r="C881" s="227"/>
      <c r="D881" s="320"/>
      <c r="E881" s="231"/>
      <c r="F881" s="190"/>
      <c r="G8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1" s="190"/>
      <c r="I8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1" s="190"/>
      <c r="K8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1" s="190"/>
      <c r="M8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1" s="190"/>
      <c r="O8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1" s="190"/>
      <c r="Q8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1" s="192">
        <f ca="1">Table66[[#This Row],[Year 1 (Specified in RFO) - N/A]]+Table66[[#This Row],[Year 2 (Specified in RFO) - N/A]]+Table66[[#This Row],[Year 3 (Specified in RFO) - N/A]]+Table66[[#This Row],[Year 4 (Specified in RFO) - N/A]]+Table66[[#This Row],[Year 5 (Specified in RFO) - N/A]]+Table66[[#This Row],[Year 6 (Specified in RFO) - N/A]]</f>
        <v>0</v>
      </c>
      <c r="S881" s="402">
        <f ca="1">Table66[[#This Row],[Year 1  (Proposed)]]+Table66[[#This Row],[Year 2 (Proposed)]]+Table66[[#This Row],[Year 3 (Proposed)]]+Table66[[#This Row],[Year 4 (Proposed)]]+Table66[[#This Row],[Year 5 (Proposed)]]+Table66[[#This Row],[Year 6 (Proposed)]]</f>
        <v>0</v>
      </c>
      <c r="T881" s="403" t="b">
        <f ca="1">Table66[[#This Row],[Total Specifed in RFO - N/A]]=Table66[[#This Row],[Total Proposed]]</f>
        <v>1</v>
      </c>
      <c r="U881" s="439"/>
      <c r="V881" s="441">
        <f ca="1">Table66[[#This Row],[Year 6 (Specified in RFO) - N/A]]-Table66[[#This Row],[Column1]]</f>
        <v>0</v>
      </c>
    </row>
    <row r="882" spans="1:22" ht="16.5" thickBot="1">
      <c r="A882" s="227"/>
      <c r="B882" s="319"/>
      <c r="C882" s="319"/>
      <c r="D882" s="320"/>
      <c r="E882" s="320"/>
      <c r="F882" s="190"/>
      <c r="G8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2" s="190"/>
      <c r="I8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2" s="190"/>
      <c r="K8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2" s="190"/>
      <c r="M8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2" s="190"/>
      <c r="O8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2" s="190"/>
      <c r="Q8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2" s="192">
        <f ca="1">Table66[[#This Row],[Year 1 (Specified in RFO) - N/A]]+Table66[[#This Row],[Year 2 (Specified in RFO) - N/A]]+Table66[[#This Row],[Year 3 (Specified in RFO) - N/A]]+Table66[[#This Row],[Year 4 (Specified in RFO) - N/A]]+Table66[[#This Row],[Year 5 (Specified in RFO) - N/A]]+Table66[[#This Row],[Year 6 (Specified in RFO) - N/A]]</f>
        <v>0</v>
      </c>
      <c r="S882" s="402">
        <f ca="1">Table66[[#This Row],[Year 1  (Proposed)]]+Table66[[#This Row],[Year 2 (Proposed)]]+Table66[[#This Row],[Year 3 (Proposed)]]+Table66[[#This Row],[Year 4 (Proposed)]]+Table66[[#This Row],[Year 5 (Proposed)]]+Table66[[#This Row],[Year 6 (Proposed)]]</f>
        <v>0</v>
      </c>
      <c r="T882" s="403" t="b">
        <f ca="1">Table66[[#This Row],[Total Specifed in RFO - N/A]]=Table66[[#This Row],[Total Proposed]]</f>
        <v>1</v>
      </c>
      <c r="U882" s="439"/>
      <c r="V882" s="441">
        <f ca="1">Table66[[#This Row],[Year 6 (Specified in RFO) - N/A]]-Table66[[#This Row],[Column1]]</f>
        <v>0</v>
      </c>
    </row>
    <row r="883" spans="1:22" ht="16.5" thickBot="1">
      <c r="A883" s="319"/>
      <c r="B883" s="319"/>
      <c r="C883" s="319"/>
      <c r="D883" s="320"/>
      <c r="E883" s="320"/>
      <c r="F883" s="190"/>
      <c r="G8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3" s="190"/>
      <c r="I8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3" s="190"/>
      <c r="K8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3" s="190"/>
      <c r="M8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3" s="190"/>
      <c r="O8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3" s="190"/>
      <c r="Q8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3" s="192">
        <f ca="1">Table66[[#This Row],[Year 1 (Specified in RFO) - N/A]]+Table66[[#This Row],[Year 2 (Specified in RFO) - N/A]]+Table66[[#This Row],[Year 3 (Specified in RFO) - N/A]]+Table66[[#This Row],[Year 4 (Specified in RFO) - N/A]]+Table66[[#This Row],[Year 5 (Specified in RFO) - N/A]]+Table66[[#This Row],[Year 6 (Specified in RFO) - N/A]]</f>
        <v>0</v>
      </c>
      <c r="S883" s="402">
        <f ca="1">Table66[[#This Row],[Year 1  (Proposed)]]+Table66[[#This Row],[Year 2 (Proposed)]]+Table66[[#This Row],[Year 3 (Proposed)]]+Table66[[#This Row],[Year 4 (Proposed)]]+Table66[[#This Row],[Year 5 (Proposed)]]+Table66[[#This Row],[Year 6 (Proposed)]]</f>
        <v>0</v>
      </c>
      <c r="T883" s="403" t="b">
        <f ca="1">Table66[[#This Row],[Total Specifed in RFO - N/A]]=Table66[[#This Row],[Total Proposed]]</f>
        <v>1</v>
      </c>
      <c r="U883" s="439"/>
      <c r="V883" s="441">
        <f ca="1">Table66[[#This Row],[Year 6 (Specified in RFO) - N/A]]-Table66[[#This Row],[Column1]]</f>
        <v>0</v>
      </c>
    </row>
    <row r="884" spans="1:22" ht="16.5" thickBot="1">
      <c r="A884" s="227"/>
      <c r="B884" s="227"/>
      <c r="C884" s="227"/>
      <c r="D884" s="320"/>
      <c r="E884" s="231"/>
      <c r="F884" s="190"/>
      <c r="G8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4" s="190"/>
      <c r="I8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4" s="190"/>
      <c r="K8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4" s="190"/>
      <c r="M8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4" s="190"/>
      <c r="O8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4" s="190"/>
      <c r="Q8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4" s="192">
        <f ca="1">Table66[[#This Row],[Year 1 (Specified in RFO) - N/A]]+Table66[[#This Row],[Year 2 (Specified in RFO) - N/A]]+Table66[[#This Row],[Year 3 (Specified in RFO) - N/A]]+Table66[[#This Row],[Year 4 (Specified in RFO) - N/A]]+Table66[[#This Row],[Year 5 (Specified in RFO) - N/A]]+Table66[[#This Row],[Year 6 (Specified in RFO) - N/A]]</f>
        <v>0</v>
      </c>
      <c r="S884" s="402">
        <f ca="1">Table66[[#This Row],[Year 1  (Proposed)]]+Table66[[#This Row],[Year 2 (Proposed)]]+Table66[[#This Row],[Year 3 (Proposed)]]+Table66[[#This Row],[Year 4 (Proposed)]]+Table66[[#This Row],[Year 5 (Proposed)]]+Table66[[#This Row],[Year 6 (Proposed)]]</f>
        <v>0</v>
      </c>
      <c r="T884" s="403" t="b">
        <f ca="1">Table66[[#This Row],[Total Specifed in RFO - N/A]]=Table66[[#This Row],[Total Proposed]]</f>
        <v>1</v>
      </c>
      <c r="U884" s="439"/>
      <c r="V884" s="441">
        <f ca="1">Table66[[#This Row],[Year 6 (Specified in RFO) - N/A]]-Table66[[#This Row],[Column1]]</f>
        <v>0</v>
      </c>
    </row>
    <row r="885" spans="1:22" ht="16.5" thickBot="1">
      <c r="A885" s="227"/>
      <c r="B885" s="319"/>
      <c r="C885" s="319"/>
      <c r="D885" s="320"/>
      <c r="E885" s="320"/>
      <c r="F885" s="190"/>
      <c r="G8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5" s="190"/>
      <c r="I8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5" s="190"/>
      <c r="K8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5" s="190"/>
      <c r="M8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5" s="190"/>
      <c r="O8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5" s="190"/>
      <c r="Q8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5" s="192">
        <f ca="1">Table66[[#This Row],[Year 1 (Specified in RFO) - N/A]]+Table66[[#This Row],[Year 2 (Specified in RFO) - N/A]]+Table66[[#This Row],[Year 3 (Specified in RFO) - N/A]]+Table66[[#This Row],[Year 4 (Specified in RFO) - N/A]]+Table66[[#This Row],[Year 5 (Specified in RFO) - N/A]]+Table66[[#This Row],[Year 6 (Specified in RFO) - N/A]]</f>
        <v>0</v>
      </c>
      <c r="S885" s="402">
        <f ca="1">Table66[[#This Row],[Year 1  (Proposed)]]+Table66[[#This Row],[Year 2 (Proposed)]]+Table66[[#This Row],[Year 3 (Proposed)]]+Table66[[#This Row],[Year 4 (Proposed)]]+Table66[[#This Row],[Year 5 (Proposed)]]+Table66[[#This Row],[Year 6 (Proposed)]]</f>
        <v>0</v>
      </c>
      <c r="T885" s="403" t="b">
        <f ca="1">Table66[[#This Row],[Total Specifed in RFO - N/A]]=Table66[[#This Row],[Total Proposed]]</f>
        <v>1</v>
      </c>
      <c r="U885" s="439"/>
      <c r="V885" s="441">
        <f ca="1">Table66[[#This Row],[Year 6 (Specified in RFO) - N/A]]-Table66[[#This Row],[Column1]]</f>
        <v>0</v>
      </c>
    </row>
    <row r="886" spans="1:22" ht="16.5" thickBot="1">
      <c r="A886" s="319"/>
      <c r="B886" s="319"/>
      <c r="C886" s="319"/>
      <c r="D886" s="320"/>
      <c r="E886" s="320"/>
      <c r="F886" s="190"/>
      <c r="G8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6" s="190"/>
      <c r="I8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6" s="190"/>
      <c r="K8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6" s="190"/>
      <c r="M8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6" s="190"/>
      <c r="O8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6" s="190"/>
      <c r="Q8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6" s="192">
        <f ca="1">Table66[[#This Row],[Year 1 (Specified in RFO) - N/A]]+Table66[[#This Row],[Year 2 (Specified in RFO) - N/A]]+Table66[[#This Row],[Year 3 (Specified in RFO) - N/A]]+Table66[[#This Row],[Year 4 (Specified in RFO) - N/A]]+Table66[[#This Row],[Year 5 (Specified in RFO) - N/A]]+Table66[[#This Row],[Year 6 (Specified in RFO) - N/A]]</f>
        <v>0</v>
      </c>
      <c r="S886" s="402">
        <f ca="1">Table66[[#This Row],[Year 1  (Proposed)]]+Table66[[#This Row],[Year 2 (Proposed)]]+Table66[[#This Row],[Year 3 (Proposed)]]+Table66[[#This Row],[Year 4 (Proposed)]]+Table66[[#This Row],[Year 5 (Proposed)]]+Table66[[#This Row],[Year 6 (Proposed)]]</f>
        <v>0</v>
      </c>
      <c r="T886" s="403" t="b">
        <f ca="1">Table66[[#This Row],[Total Specifed in RFO - N/A]]=Table66[[#This Row],[Total Proposed]]</f>
        <v>1</v>
      </c>
      <c r="U886" s="439"/>
      <c r="V886" s="441">
        <f ca="1">Table66[[#This Row],[Year 6 (Specified in RFO) - N/A]]-Table66[[#This Row],[Column1]]</f>
        <v>0</v>
      </c>
    </row>
    <row r="887" spans="1:22" ht="16.5" thickBot="1">
      <c r="A887" s="227"/>
      <c r="B887" s="227"/>
      <c r="C887" s="227"/>
      <c r="D887" s="320"/>
      <c r="E887" s="231"/>
      <c r="F887" s="190"/>
      <c r="G8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7" s="190"/>
      <c r="I8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7" s="190"/>
      <c r="K8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7" s="190"/>
      <c r="M8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7" s="190"/>
      <c r="O8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7" s="190"/>
      <c r="Q8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7" s="192">
        <f ca="1">Table66[[#This Row],[Year 1 (Specified in RFO) - N/A]]+Table66[[#This Row],[Year 2 (Specified in RFO) - N/A]]+Table66[[#This Row],[Year 3 (Specified in RFO) - N/A]]+Table66[[#This Row],[Year 4 (Specified in RFO) - N/A]]+Table66[[#This Row],[Year 5 (Specified in RFO) - N/A]]+Table66[[#This Row],[Year 6 (Specified in RFO) - N/A]]</f>
        <v>0</v>
      </c>
      <c r="S887" s="402">
        <f ca="1">Table66[[#This Row],[Year 1  (Proposed)]]+Table66[[#This Row],[Year 2 (Proposed)]]+Table66[[#This Row],[Year 3 (Proposed)]]+Table66[[#This Row],[Year 4 (Proposed)]]+Table66[[#This Row],[Year 5 (Proposed)]]+Table66[[#This Row],[Year 6 (Proposed)]]</f>
        <v>0</v>
      </c>
      <c r="T887" s="403" t="b">
        <f ca="1">Table66[[#This Row],[Total Specifed in RFO - N/A]]=Table66[[#This Row],[Total Proposed]]</f>
        <v>1</v>
      </c>
      <c r="U887" s="439"/>
      <c r="V887" s="441">
        <f ca="1">Table66[[#This Row],[Year 6 (Specified in RFO) - N/A]]-Table66[[#This Row],[Column1]]</f>
        <v>0</v>
      </c>
    </row>
    <row r="888" spans="1:22" ht="16.5" thickBot="1">
      <c r="A888" s="227"/>
      <c r="B888" s="319"/>
      <c r="C888" s="319"/>
      <c r="D888" s="320"/>
      <c r="E888" s="320"/>
      <c r="F888" s="190"/>
      <c r="G8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8" s="190"/>
      <c r="I8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8" s="190"/>
      <c r="K8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8" s="190"/>
      <c r="M8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8" s="190"/>
      <c r="O8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8" s="190"/>
      <c r="Q8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8" s="192">
        <f ca="1">Table66[[#This Row],[Year 1 (Specified in RFO) - N/A]]+Table66[[#This Row],[Year 2 (Specified in RFO) - N/A]]+Table66[[#This Row],[Year 3 (Specified in RFO) - N/A]]+Table66[[#This Row],[Year 4 (Specified in RFO) - N/A]]+Table66[[#This Row],[Year 5 (Specified in RFO) - N/A]]+Table66[[#This Row],[Year 6 (Specified in RFO) - N/A]]</f>
        <v>0</v>
      </c>
      <c r="S888" s="402">
        <f ca="1">Table66[[#This Row],[Year 1  (Proposed)]]+Table66[[#This Row],[Year 2 (Proposed)]]+Table66[[#This Row],[Year 3 (Proposed)]]+Table66[[#This Row],[Year 4 (Proposed)]]+Table66[[#This Row],[Year 5 (Proposed)]]+Table66[[#This Row],[Year 6 (Proposed)]]</f>
        <v>0</v>
      </c>
      <c r="T888" s="403" t="b">
        <f ca="1">Table66[[#This Row],[Total Specifed in RFO - N/A]]=Table66[[#This Row],[Total Proposed]]</f>
        <v>1</v>
      </c>
      <c r="U888" s="439"/>
      <c r="V888" s="441">
        <f ca="1">Table66[[#This Row],[Year 6 (Specified in RFO) - N/A]]-Table66[[#This Row],[Column1]]</f>
        <v>0</v>
      </c>
    </row>
    <row r="889" spans="1:22" ht="16.5" thickBot="1">
      <c r="A889" s="319"/>
      <c r="B889" s="319"/>
      <c r="C889" s="319"/>
      <c r="D889" s="320"/>
      <c r="E889" s="320"/>
      <c r="F889" s="190"/>
      <c r="G8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9" s="190"/>
      <c r="I8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9" s="190"/>
      <c r="K8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9" s="190"/>
      <c r="M8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9" s="190"/>
      <c r="O8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9" s="190"/>
      <c r="Q8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9" s="192">
        <f ca="1">Table66[[#This Row],[Year 1 (Specified in RFO) - N/A]]+Table66[[#This Row],[Year 2 (Specified in RFO) - N/A]]+Table66[[#This Row],[Year 3 (Specified in RFO) - N/A]]+Table66[[#This Row],[Year 4 (Specified in RFO) - N/A]]+Table66[[#This Row],[Year 5 (Specified in RFO) - N/A]]+Table66[[#This Row],[Year 6 (Specified in RFO) - N/A]]</f>
        <v>0</v>
      </c>
      <c r="S889" s="402">
        <f ca="1">Table66[[#This Row],[Year 1  (Proposed)]]+Table66[[#This Row],[Year 2 (Proposed)]]+Table66[[#This Row],[Year 3 (Proposed)]]+Table66[[#This Row],[Year 4 (Proposed)]]+Table66[[#This Row],[Year 5 (Proposed)]]+Table66[[#This Row],[Year 6 (Proposed)]]</f>
        <v>0</v>
      </c>
      <c r="T889" s="403" t="b">
        <f ca="1">Table66[[#This Row],[Total Specifed in RFO - N/A]]=Table66[[#This Row],[Total Proposed]]</f>
        <v>1</v>
      </c>
      <c r="U889" s="439"/>
      <c r="V889" s="441">
        <f ca="1">Table66[[#This Row],[Year 6 (Specified in RFO) - N/A]]-Table66[[#This Row],[Column1]]</f>
        <v>0</v>
      </c>
    </row>
    <row r="890" spans="1:22" ht="16.5" thickBot="1">
      <c r="A890" s="227"/>
      <c r="B890" s="227"/>
      <c r="C890" s="227"/>
      <c r="D890" s="320"/>
      <c r="E890" s="231"/>
      <c r="F890" s="190"/>
      <c r="G8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0" s="190"/>
      <c r="I8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0" s="190"/>
      <c r="K8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0" s="190"/>
      <c r="M8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0" s="190"/>
      <c r="O8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0" s="190"/>
      <c r="Q8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0" s="192">
        <f ca="1">Table66[[#This Row],[Year 1 (Specified in RFO) - N/A]]+Table66[[#This Row],[Year 2 (Specified in RFO) - N/A]]+Table66[[#This Row],[Year 3 (Specified in RFO) - N/A]]+Table66[[#This Row],[Year 4 (Specified in RFO) - N/A]]+Table66[[#This Row],[Year 5 (Specified in RFO) - N/A]]+Table66[[#This Row],[Year 6 (Specified in RFO) - N/A]]</f>
        <v>0</v>
      </c>
      <c r="S890" s="402">
        <f ca="1">Table66[[#This Row],[Year 1  (Proposed)]]+Table66[[#This Row],[Year 2 (Proposed)]]+Table66[[#This Row],[Year 3 (Proposed)]]+Table66[[#This Row],[Year 4 (Proposed)]]+Table66[[#This Row],[Year 5 (Proposed)]]+Table66[[#This Row],[Year 6 (Proposed)]]</f>
        <v>0</v>
      </c>
      <c r="T890" s="403" t="b">
        <f ca="1">Table66[[#This Row],[Total Specifed in RFO - N/A]]=Table66[[#This Row],[Total Proposed]]</f>
        <v>1</v>
      </c>
      <c r="U890" s="439"/>
      <c r="V890" s="441">
        <f ca="1">Table66[[#This Row],[Year 6 (Specified in RFO) - N/A]]-Table66[[#This Row],[Column1]]</f>
        <v>0</v>
      </c>
    </row>
    <row r="891" spans="1:22" ht="16.5" thickBot="1">
      <c r="A891" s="227"/>
      <c r="B891" s="319"/>
      <c r="C891" s="319"/>
      <c r="D891" s="320"/>
      <c r="E891" s="320"/>
      <c r="F891" s="190"/>
      <c r="G8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1" s="190"/>
      <c r="I8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1" s="190"/>
      <c r="K8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1" s="190"/>
      <c r="M8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1" s="190"/>
      <c r="O8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1" s="190"/>
      <c r="Q8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1" s="192">
        <f ca="1">Table66[[#This Row],[Year 1 (Specified in RFO) - N/A]]+Table66[[#This Row],[Year 2 (Specified in RFO) - N/A]]+Table66[[#This Row],[Year 3 (Specified in RFO) - N/A]]+Table66[[#This Row],[Year 4 (Specified in RFO) - N/A]]+Table66[[#This Row],[Year 5 (Specified in RFO) - N/A]]+Table66[[#This Row],[Year 6 (Specified in RFO) - N/A]]</f>
        <v>0</v>
      </c>
      <c r="S891" s="402">
        <f ca="1">Table66[[#This Row],[Year 1  (Proposed)]]+Table66[[#This Row],[Year 2 (Proposed)]]+Table66[[#This Row],[Year 3 (Proposed)]]+Table66[[#This Row],[Year 4 (Proposed)]]+Table66[[#This Row],[Year 5 (Proposed)]]+Table66[[#This Row],[Year 6 (Proposed)]]</f>
        <v>0</v>
      </c>
      <c r="T891" s="403" t="b">
        <f ca="1">Table66[[#This Row],[Total Specifed in RFO - N/A]]=Table66[[#This Row],[Total Proposed]]</f>
        <v>1</v>
      </c>
      <c r="U891" s="439"/>
      <c r="V891" s="441">
        <f ca="1">Table66[[#This Row],[Year 6 (Specified in RFO) - N/A]]-Table66[[#This Row],[Column1]]</f>
        <v>0</v>
      </c>
    </row>
    <row r="892" spans="1:22" ht="16.5" thickBot="1">
      <c r="A892" s="319"/>
      <c r="B892" s="319"/>
      <c r="C892" s="319"/>
      <c r="D892" s="320"/>
      <c r="E892" s="320"/>
      <c r="F892" s="190"/>
      <c r="G8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2" s="190"/>
      <c r="I8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2" s="190"/>
      <c r="K8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2" s="190"/>
      <c r="M8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2" s="190"/>
      <c r="O8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2" s="190"/>
      <c r="Q8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2" s="192">
        <f ca="1">Table66[[#This Row],[Year 1 (Specified in RFO) - N/A]]+Table66[[#This Row],[Year 2 (Specified in RFO) - N/A]]+Table66[[#This Row],[Year 3 (Specified in RFO) - N/A]]+Table66[[#This Row],[Year 4 (Specified in RFO) - N/A]]+Table66[[#This Row],[Year 5 (Specified in RFO) - N/A]]+Table66[[#This Row],[Year 6 (Specified in RFO) - N/A]]</f>
        <v>0</v>
      </c>
      <c r="S892" s="402">
        <f ca="1">Table66[[#This Row],[Year 1  (Proposed)]]+Table66[[#This Row],[Year 2 (Proposed)]]+Table66[[#This Row],[Year 3 (Proposed)]]+Table66[[#This Row],[Year 4 (Proposed)]]+Table66[[#This Row],[Year 5 (Proposed)]]+Table66[[#This Row],[Year 6 (Proposed)]]</f>
        <v>0</v>
      </c>
      <c r="T892" s="403" t="b">
        <f ca="1">Table66[[#This Row],[Total Specifed in RFO - N/A]]=Table66[[#This Row],[Total Proposed]]</f>
        <v>1</v>
      </c>
      <c r="U892" s="439"/>
      <c r="V892" s="441">
        <f ca="1">Table66[[#This Row],[Year 6 (Specified in RFO) - N/A]]-Table66[[#This Row],[Column1]]</f>
        <v>0</v>
      </c>
    </row>
    <row r="893" spans="1:22" ht="16.5" thickBot="1">
      <c r="A893" s="227"/>
      <c r="B893" s="227"/>
      <c r="C893" s="227"/>
      <c r="D893" s="320"/>
      <c r="E893" s="231"/>
      <c r="F893" s="190"/>
      <c r="G8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3" s="190"/>
      <c r="I8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3" s="190"/>
      <c r="K8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3" s="190"/>
      <c r="M8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3" s="190"/>
      <c r="O8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3" s="190"/>
      <c r="Q8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3" s="192">
        <f ca="1">Table66[[#This Row],[Year 1 (Specified in RFO) - N/A]]+Table66[[#This Row],[Year 2 (Specified in RFO) - N/A]]+Table66[[#This Row],[Year 3 (Specified in RFO) - N/A]]+Table66[[#This Row],[Year 4 (Specified in RFO) - N/A]]+Table66[[#This Row],[Year 5 (Specified in RFO) - N/A]]+Table66[[#This Row],[Year 6 (Specified in RFO) - N/A]]</f>
        <v>0</v>
      </c>
      <c r="S893" s="402">
        <f ca="1">Table66[[#This Row],[Year 1  (Proposed)]]+Table66[[#This Row],[Year 2 (Proposed)]]+Table66[[#This Row],[Year 3 (Proposed)]]+Table66[[#This Row],[Year 4 (Proposed)]]+Table66[[#This Row],[Year 5 (Proposed)]]+Table66[[#This Row],[Year 6 (Proposed)]]</f>
        <v>0</v>
      </c>
      <c r="T893" s="403" t="b">
        <f ca="1">Table66[[#This Row],[Total Specifed in RFO - N/A]]=Table66[[#This Row],[Total Proposed]]</f>
        <v>1</v>
      </c>
      <c r="U893" s="439"/>
      <c r="V893" s="441">
        <f ca="1">Table66[[#This Row],[Year 6 (Specified in RFO) - N/A]]-Table66[[#This Row],[Column1]]</f>
        <v>0</v>
      </c>
    </row>
    <row r="894" spans="1:22" ht="16.5" thickBot="1">
      <c r="A894" s="227"/>
      <c r="B894" s="319"/>
      <c r="C894" s="319"/>
      <c r="D894" s="320"/>
      <c r="E894" s="320"/>
      <c r="F894" s="190"/>
      <c r="G8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4" s="190"/>
      <c r="I8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4" s="190"/>
      <c r="K8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4" s="190"/>
      <c r="M8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4" s="190"/>
      <c r="O8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4" s="190"/>
      <c r="Q8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4" s="192">
        <f ca="1">Table66[[#This Row],[Year 1 (Specified in RFO) - N/A]]+Table66[[#This Row],[Year 2 (Specified in RFO) - N/A]]+Table66[[#This Row],[Year 3 (Specified in RFO) - N/A]]+Table66[[#This Row],[Year 4 (Specified in RFO) - N/A]]+Table66[[#This Row],[Year 5 (Specified in RFO) - N/A]]+Table66[[#This Row],[Year 6 (Specified in RFO) - N/A]]</f>
        <v>0</v>
      </c>
      <c r="S894" s="402">
        <f ca="1">Table66[[#This Row],[Year 1  (Proposed)]]+Table66[[#This Row],[Year 2 (Proposed)]]+Table66[[#This Row],[Year 3 (Proposed)]]+Table66[[#This Row],[Year 4 (Proposed)]]+Table66[[#This Row],[Year 5 (Proposed)]]+Table66[[#This Row],[Year 6 (Proposed)]]</f>
        <v>0</v>
      </c>
      <c r="T894" s="403" t="b">
        <f ca="1">Table66[[#This Row],[Total Specifed in RFO - N/A]]=Table66[[#This Row],[Total Proposed]]</f>
        <v>1</v>
      </c>
      <c r="U894" s="439"/>
      <c r="V894" s="441">
        <f ca="1">Table66[[#This Row],[Year 6 (Specified in RFO) - N/A]]-Table66[[#This Row],[Column1]]</f>
        <v>0</v>
      </c>
    </row>
    <row r="895" spans="1:22" ht="16.5" thickBot="1">
      <c r="A895" s="227"/>
      <c r="B895" s="319"/>
      <c r="C895" s="319"/>
      <c r="D895" s="320"/>
      <c r="E895" s="320"/>
      <c r="F895" s="190"/>
      <c r="G8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5" s="190"/>
      <c r="I8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5" s="190"/>
      <c r="K8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5" s="190"/>
      <c r="M8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5" s="190"/>
      <c r="O8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5" s="190"/>
      <c r="Q8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5" s="192">
        <f ca="1">Table66[[#This Row],[Year 1 (Specified in RFO) - N/A]]+Table66[[#This Row],[Year 2 (Specified in RFO) - N/A]]+Table66[[#This Row],[Year 3 (Specified in RFO) - N/A]]+Table66[[#This Row],[Year 4 (Specified in RFO) - N/A]]+Table66[[#This Row],[Year 5 (Specified in RFO) - N/A]]+Table66[[#This Row],[Year 6 (Specified in RFO) - N/A]]</f>
        <v>0</v>
      </c>
      <c r="S895" s="402">
        <f ca="1">Table66[[#This Row],[Year 1  (Proposed)]]+Table66[[#This Row],[Year 2 (Proposed)]]+Table66[[#This Row],[Year 3 (Proposed)]]+Table66[[#This Row],[Year 4 (Proposed)]]+Table66[[#This Row],[Year 5 (Proposed)]]+Table66[[#This Row],[Year 6 (Proposed)]]</f>
        <v>0</v>
      </c>
      <c r="T895" s="403" t="b">
        <f ca="1">Table66[[#This Row],[Total Specifed in RFO - N/A]]=Table66[[#This Row],[Total Proposed]]</f>
        <v>1</v>
      </c>
      <c r="U895" s="439"/>
      <c r="V895" s="441">
        <f ca="1">Table66[[#This Row],[Year 6 (Specified in RFO) - N/A]]-Table66[[#This Row],[Column1]]</f>
        <v>0</v>
      </c>
    </row>
    <row r="896" spans="1:22" ht="16.5" thickBot="1">
      <c r="A896" s="227"/>
      <c r="B896" s="319"/>
      <c r="C896" s="319"/>
      <c r="D896" s="320"/>
      <c r="E896" s="320"/>
      <c r="F896" s="190"/>
      <c r="G8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6" s="190"/>
      <c r="I8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6" s="190"/>
      <c r="K8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6" s="190"/>
      <c r="M8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6" s="190"/>
      <c r="O8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6" s="190"/>
      <c r="Q8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6" s="192">
        <f ca="1">Table66[[#This Row],[Year 1 (Specified in RFO) - N/A]]+Table66[[#This Row],[Year 2 (Specified in RFO) - N/A]]+Table66[[#This Row],[Year 3 (Specified in RFO) - N/A]]+Table66[[#This Row],[Year 4 (Specified in RFO) - N/A]]+Table66[[#This Row],[Year 5 (Specified in RFO) - N/A]]+Table66[[#This Row],[Year 6 (Specified in RFO) - N/A]]</f>
        <v>0</v>
      </c>
      <c r="S896" s="402">
        <f ca="1">Table66[[#This Row],[Year 1  (Proposed)]]+Table66[[#This Row],[Year 2 (Proposed)]]+Table66[[#This Row],[Year 3 (Proposed)]]+Table66[[#This Row],[Year 4 (Proposed)]]+Table66[[#This Row],[Year 5 (Proposed)]]+Table66[[#This Row],[Year 6 (Proposed)]]</f>
        <v>0</v>
      </c>
      <c r="T896" s="403" t="b">
        <f ca="1">Table66[[#This Row],[Total Specifed in RFO - N/A]]=Table66[[#This Row],[Total Proposed]]</f>
        <v>1</v>
      </c>
      <c r="U896" s="439"/>
      <c r="V896" s="441">
        <f ca="1">Table66[[#This Row],[Year 6 (Specified in RFO) - N/A]]-Table66[[#This Row],[Column1]]</f>
        <v>0</v>
      </c>
    </row>
    <row r="897" spans="1:22" ht="16.5" thickBot="1">
      <c r="A897" s="227"/>
      <c r="B897" s="319"/>
      <c r="C897" s="319"/>
      <c r="D897" s="320"/>
      <c r="E897" s="320"/>
      <c r="F897" s="190"/>
      <c r="G8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7" s="190"/>
      <c r="I8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7" s="190"/>
      <c r="K8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7" s="190"/>
      <c r="M8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7" s="190"/>
      <c r="O8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7" s="190"/>
      <c r="Q8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7" s="192">
        <f ca="1">Table66[[#This Row],[Year 1 (Specified in RFO) - N/A]]+Table66[[#This Row],[Year 2 (Specified in RFO) - N/A]]+Table66[[#This Row],[Year 3 (Specified in RFO) - N/A]]+Table66[[#This Row],[Year 4 (Specified in RFO) - N/A]]+Table66[[#This Row],[Year 5 (Specified in RFO) - N/A]]+Table66[[#This Row],[Year 6 (Specified in RFO) - N/A]]</f>
        <v>0</v>
      </c>
      <c r="S897" s="402">
        <f ca="1">Table66[[#This Row],[Year 1  (Proposed)]]+Table66[[#This Row],[Year 2 (Proposed)]]+Table66[[#This Row],[Year 3 (Proposed)]]+Table66[[#This Row],[Year 4 (Proposed)]]+Table66[[#This Row],[Year 5 (Proposed)]]+Table66[[#This Row],[Year 6 (Proposed)]]</f>
        <v>0</v>
      </c>
      <c r="T897" s="403" t="b">
        <f ca="1">Table66[[#This Row],[Total Specifed in RFO - N/A]]=Table66[[#This Row],[Total Proposed]]</f>
        <v>1</v>
      </c>
      <c r="U897" s="439"/>
      <c r="V897" s="441">
        <f ca="1">Table66[[#This Row],[Year 6 (Specified in RFO) - N/A]]-Table66[[#This Row],[Column1]]</f>
        <v>0</v>
      </c>
    </row>
    <row r="898" spans="1:22" ht="16.5" thickBot="1">
      <c r="A898" s="227"/>
      <c r="B898" s="319"/>
      <c r="C898" s="319"/>
      <c r="D898" s="320"/>
      <c r="E898" s="320"/>
      <c r="F898" s="190"/>
      <c r="G8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8" s="190"/>
      <c r="I8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8" s="190"/>
      <c r="K8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8" s="190"/>
      <c r="M8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8" s="190"/>
      <c r="O8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8" s="190"/>
      <c r="Q8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8" s="192">
        <f ca="1">Table66[[#This Row],[Year 1 (Specified in RFO) - N/A]]+Table66[[#This Row],[Year 2 (Specified in RFO) - N/A]]+Table66[[#This Row],[Year 3 (Specified in RFO) - N/A]]+Table66[[#This Row],[Year 4 (Specified in RFO) - N/A]]+Table66[[#This Row],[Year 5 (Specified in RFO) - N/A]]+Table66[[#This Row],[Year 6 (Specified in RFO) - N/A]]</f>
        <v>0</v>
      </c>
      <c r="S898" s="402">
        <f ca="1">Table66[[#This Row],[Year 1  (Proposed)]]+Table66[[#This Row],[Year 2 (Proposed)]]+Table66[[#This Row],[Year 3 (Proposed)]]+Table66[[#This Row],[Year 4 (Proposed)]]+Table66[[#This Row],[Year 5 (Proposed)]]+Table66[[#This Row],[Year 6 (Proposed)]]</f>
        <v>0</v>
      </c>
      <c r="T898" s="403" t="b">
        <f ca="1">Table66[[#This Row],[Total Specifed in RFO - N/A]]=Table66[[#This Row],[Total Proposed]]</f>
        <v>1</v>
      </c>
      <c r="U898" s="439"/>
      <c r="V898" s="441">
        <f ca="1">Table66[[#This Row],[Year 6 (Specified in RFO) - N/A]]-Table66[[#This Row],[Column1]]</f>
        <v>0</v>
      </c>
    </row>
    <row r="899" spans="1:22" ht="16.5" thickBot="1">
      <c r="A899" s="227"/>
      <c r="B899" s="319"/>
      <c r="C899" s="319"/>
      <c r="D899" s="320"/>
      <c r="E899" s="320"/>
      <c r="F899" s="190"/>
      <c r="G8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9" s="190"/>
      <c r="I8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9" s="190"/>
      <c r="K8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9" s="190"/>
      <c r="M8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9" s="190"/>
      <c r="O8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9" s="190"/>
      <c r="Q8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9" s="192">
        <f ca="1">Table66[[#This Row],[Year 1 (Specified in RFO) - N/A]]+Table66[[#This Row],[Year 2 (Specified in RFO) - N/A]]+Table66[[#This Row],[Year 3 (Specified in RFO) - N/A]]+Table66[[#This Row],[Year 4 (Specified in RFO) - N/A]]+Table66[[#This Row],[Year 5 (Specified in RFO) - N/A]]+Table66[[#This Row],[Year 6 (Specified in RFO) - N/A]]</f>
        <v>0</v>
      </c>
      <c r="S899" s="402">
        <f ca="1">Table66[[#This Row],[Year 1  (Proposed)]]+Table66[[#This Row],[Year 2 (Proposed)]]+Table66[[#This Row],[Year 3 (Proposed)]]+Table66[[#This Row],[Year 4 (Proposed)]]+Table66[[#This Row],[Year 5 (Proposed)]]+Table66[[#This Row],[Year 6 (Proposed)]]</f>
        <v>0</v>
      </c>
      <c r="T899" s="403" t="b">
        <f ca="1">Table66[[#This Row],[Total Specifed in RFO - N/A]]=Table66[[#This Row],[Total Proposed]]</f>
        <v>1</v>
      </c>
      <c r="U899" s="439"/>
      <c r="V899" s="441">
        <f ca="1">Table66[[#This Row],[Year 6 (Specified in RFO) - N/A]]-Table66[[#This Row],[Column1]]</f>
        <v>0</v>
      </c>
    </row>
    <row r="900" spans="1:22" ht="16.5" thickBot="1">
      <c r="A900" s="227"/>
      <c r="B900" s="319"/>
      <c r="C900" s="319"/>
      <c r="D900" s="320"/>
      <c r="E900" s="320"/>
      <c r="F900" s="190"/>
      <c r="G9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0" s="190"/>
      <c r="I9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0" s="190"/>
      <c r="K9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0" s="190"/>
      <c r="M9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0" s="190"/>
      <c r="O9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0" s="190"/>
      <c r="Q9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0" s="192">
        <f ca="1">Table66[[#This Row],[Year 1 (Specified in RFO) - N/A]]+Table66[[#This Row],[Year 2 (Specified in RFO) - N/A]]+Table66[[#This Row],[Year 3 (Specified in RFO) - N/A]]+Table66[[#This Row],[Year 4 (Specified in RFO) - N/A]]+Table66[[#This Row],[Year 5 (Specified in RFO) - N/A]]+Table66[[#This Row],[Year 6 (Specified in RFO) - N/A]]</f>
        <v>0</v>
      </c>
      <c r="S900" s="402">
        <f ca="1">Table66[[#This Row],[Year 1  (Proposed)]]+Table66[[#This Row],[Year 2 (Proposed)]]+Table66[[#This Row],[Year 3 (Proposed)]]+Table66[[#This Row],[Year 4 (Proposed)]]+Table66[[#This Row],[Year 5 (Proposed)]]+Table66[[#This Row],[Year 6 (Proposed)]]</f>
        <v>0</v>
      </c>
      <c r="T900" s="403" t="b">
        <f ca="1">Table66[[#This Row],[Total Specifed in RFO - N/A]]=Table66[[#This Row],[Total Proposed]]</f>
        <v>1</v>
      </c>
      <c r="U900" s="439"/>
      <c r="V900" s="441">
        <f ca="1">Table66[[#This Row],[Year 6 (Specified in RFO) - N/A]]-Table66[[#This Row],[Column1]]</f>
        <v>0</v>
      </c>
    </row>
    <row r="901" spans="1:22" ht="16.5" thickBot="1">
      <c r="A901" s="227"/>
      <c r="B901" s="319"/>
      <c r="C901" s="319"/>
      <c r="D901" s="320"/>
      <c r="E901" s="320"/>
      <c r="F901" s="190"/>
      <c r="G9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1" s="190"/>
      <c r="I9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1" s="190"/>
      <c r="K9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1" s="190"/>
      <c r="M9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1" s="190"/>
      <c r="O9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1" s="190"/>
      <c r="Q9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1" s="192">
        <f ca="1">Table66[[#This Row],[Year 1 (Specified in RFO) - N/A]]+Table66[[#This Row],[Year 2 (Specified in RFO) - N/A]]+Table66[[#This Row],[Year 3 (Specified in RFO) - N/A]]+Table66[[#This Row],[Year 4 (Specified in RFO) - N/A]]+Table66[[#This Row],[Year 5 (Specified in RFO) - N/A]]+Table66[[#This Row],[Year 6 (Specified in RFO) - N/A]]</f>
        <v>0</v>
      </c>
      <c r="S901" s="402">
        <f ca="1">Table66[[#This Row],[Year 1  (Proposed)]]+Table66[[#This Row],[Year 2 (Proposed)]]+Table66[[#This Row],[Year 3 (Proposed)]]+Table66[[#This Row],[Year 4 (Proposed)]]+Table66[[#This Row],[Year 5 (Proposed)]]+Table66[[#This Row],[Year 6 (Proposed)]]</f>
        <v>0</v>
      </c>
      <c r="T901" s="403" t="b">
        <f ca="1">Table66[[#This Row],[Total Specifed in RFO - N/A]]=Table66[[#This Row],[Total Proposed]]</f>
        <v>1</v>
      </c>
      <c r="U901" s="439"/>
      <c r="V901" s="441">
        <f ca="1">Table66[[#This Row],[Year 6 (Specified in RFO) - N/A]]-Table66[[#This Row],[Column1]]</f>
        <v>0</v>
      </c>
    </row>
    <row r="902" spans="1:22" ht="16.5" thickBot="1">
      <c r="A902" s="227"/>
      <c r="B902" s="319"/>
      <c r="C902" s="319"/>
      <c r="D902" s="320"/>
      <c r="E902" s="320"/>
      <c r="F902" s="190"/>
      <c r="G9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2" s="190"/>
      <c r="I9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2" s="190"/>
      <c r="K9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2" s="190"/>
      <c r="M9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2" s="190"/>
      <c r="O9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2" s="190"/>
      <c r="Q9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2" s="192">
        <f ca="1">Table66[[#This Row],[Year 1 (Specified in RFO) - N/A]]+Table66[[#This Row],[Year 2 (Specified in RFO) - N/A]]+Table66[[#This Row],[Year 3 (Specified in RFO) - N/A]]+Table66[[#This Row],[Year 4 (Specified in RFO) - N/A]]+Table66[[#This Row],[Year 5 (Specified in RFO) - N/A]]+Table66[[#This Row],[Year 6 (Specified in RFO) - N/A]]</f>
        <v>0</v>
      </c>
      <c r="S902" s="402">
        <f ca="1">Table66[[#This Row],[Year 1  (Proposed)]]+Table66[[#This Row],[Year 2 (Proposed)]]+Table66[[#This Row],[Year 3 (Proposed)]]+Table66[[#This Row],[Year 4 (Proposed)]]+Table66[[#This Row],[Year 5 (Proposed)]]+Table66[[#This Row],[Year 6 (Proposed)]]</f>
        <v>0</v>
      </c>
      <c r="T902" s="403" t="b">
        <f ca="1">Table66[[#This Row],[Total Specifed in RFO - N/A]]=Table66[[#This Row],[Total Proposed]]</f>
        <v>1</v>
      </c>
      <c r="U902" s="439"/>
      <c r="V902" s="441">
        <f ca="1">Table66[[#This Row],[Year 6 (Specified in RFO) - N/A]]-Table66[[#This Row],[Column1]]</f>
        <v>0</v>
      </c>
    </row>
    <row r="903" spans="1:22" ht="16.5" thickBot="1">
      <c r="A903" s="227"/>
      <c r="B903" s="319"/>
      <c r="C903" s="319"/>
      <c r="D903" s="320"/>
      <c r="E903" s="320"/>
      <c r="F903" s="190"/>
      <c r="G9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3" s="190"/>
      <c r="I9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3" s="190"/>
      <c r="K9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3" s="190"/>
      <c r="M9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3" s="190"/>
      <c r="O9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3" s="190"/>
      <c r="Q9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3" s="192">
        <f ca="1">Table66[[#This Row],[Year 1 (Specified in RFO) - N/A]]+Table66[[#This Row],[Year 2 (Specified in RFO) - N/A]]+Table66[[#This Row],[Year 3 (Specified in RFO) - N/A]]+Table66[[#This Row],[Year 4 (Specified in RFO) - N/A]]+Table66[[#This Row],[Year 5 (Specified in RFO) - N/A]]+Table66[[#This Row],[Year 6 (Specified in RFO) - N/A]]</f>
        <v>0</v>
      </c>
      <c r="S903" s="402">
        <f ca="1">Table66[[#This Row],[Year 1  (Proposed)]]+Table66[[#This Row],[Year 2 (Proposed)]]+Table66[[#This Row],[Year 3 (Proposed)]]+Table66[[#This Row],[Year 4 (Proposed)]]+Table66[[#This Row],[Year 5 (Proposed)]]+Table66[[#This Row],[Year 6 (Proposed)]]</f>
        <v>0</v>
      </c>
      <c r="T903" s="403" t="b">
        <f ca="1">Table66[[#This Row],[Total Specifed in RFO - N/A]]=Table66[[#This Row],[Total Proposed]]</f>
        <v>1</v>
      </c>
      <c r="U903" s="439"/>
      <c r="V903" s="441">
        <f ca="1">Table66[[#This Row],[Year 6 (Specified in RFO) - N/A]]-Table66[[#This Row],[Column1]]</f>
        <v>0</v>
      </c>
    </row>
    <row r="904" spans="1:22" ht="16.5" thickBot="1">
      <c r="A904" s="227"/>
      <c r="B904" s="319"/>
      <c r="C904" s="319"/>
      <c r="D904" s="320"/>
      <c r="E904" s="320"/>
      <c r="F904" s="190"/>
      <c r="G9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4" s="190"/>
      <c r="I9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4" s="190"/>
      <c r="K9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4" s="190"/>
      <c r="M9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4" s="190"/>
      <c r="O9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4" s="190"/>
      <c r="Q9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4" s="192">
        <f ca="1">Table66[[#This Row],[Year 1 (Specified in RFO) - N/A]]+Table66[[#This Row],[Year 2 (Specified in RFO) - N/A]]+Table66[[#This Row],[Year 3 (Specified in RFO) - N/A]]+Table66[[#This Row],[Year 4 (Specified in RFO) - N/A]]+Table66[[#This Row],[Year 5 (Specified in RFO) - N/A]]+Table66[[#This Row],[Year 6 (Specified in RFO) - N/A]]</f>
        <v>0</v>
      </c>
      <c r="S904" s="402">
        <f ca="1">Table66[[#This Row],[Year 1  (Proposed)]]+Table66[[#This Row],[Year 2 (Proposed)]]+Table66[[#This Row],[Year 3 (Proposed)]]+Table66[[#This Row],[Year 4 (Proposed)]]+Table66[[#This Row],[Year 5 (Proposed)]]+Table66[[#This Row],[Year 6 (Proposed)]]</f>
        <v>0</v>
      </c>
      <c r="T904" s="403" t="b">
        <f ca="1">Table66[[#This Row],[Total Specifed in RFO - N/A]]=Table66[[#This Row],[Total Proposed]]</f>
        <v>1</v>
      </c>
      <c r="U904" s="439"/>
      <c r="V904" s="441">
        <f ca="1">Table66[[#This Row],[Year 6 (Specified in RFO) - N/A]]-Table66[[#This Row],[Column1]]</f>
        <v>0</v>
      </c>
    </row>
    <row r="905" spans="1:22" ht="16.5" thickBot="1">
      <c r="A905" s="227"/>
      <c r="B905" s="319"/>
      <c r="C905" s="319"/>
      <c r="D905" s="320"/>
      <c r="E905" s="320"/>
      <c r="F905" s="190"/>
      <c r="G9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5" s="190"/>
      <c r="I9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5" s="190"/>
      <c r="K9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5" s="190"/>
      <c r="M9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5" s="190"/>
      <c r="O9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5" s="190"/>
      <c r="Q9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5" s="192">
        <f ca="1">Table66[[#This Row],[Year 1 (Specified in RFO) - N/A]]+Table66[[#This Row],[Year 2 (Specified in RFO) - N/A]]+Table66[[#This Row],[Year 3 (Specified in RFO) - N/A]]+Table66[[#This Row],[Year 4 (Specified in RFO) - N/A]]+Table66[[#This Row],[Year 5 (Specified in RFO) - N/A]]+Table66[[#This Row],[Year 6 (Specified in RFO) - N/A]]</f>
        <v>0</v>
      </c>
      <c r="S905" s="402">
        <f ca="1">Table66[[#This Row],[Year 1  (Proposed)]]+Table66[[#This Row],[Year 2 (Proposed)]]+Table66[[#This Row],[Year 3 (Proposed)]]+Table66[[#This Row],[Year 4 (Proposed)]]+Table66[[#This Row],[Year 5 (Proposed)]]+Table66[[#This Row],[Year 6 (Proposed)]]</f>
        <v>0</v>
      </c>
      <c r="T905" s="403" t="b">
        <f ca="1">Table66[[#This Row],[Total Specifed in RFO - N/A]]=Table66[[#This Row],[Total Proposed]]</f>
        <v>1</v>
      </c>
      <c r="U905" s="439"/>
      <c r="V905" s="441">
        <f ca="1">Table66[[#This Row],[Year 6 (Specified in RFO) - N/A]]-Table66[[#This Row],[Column1]]</f>
        <v>0</v>
      </c>
    </row>
    <row r="906" spans="1:22" ht="16.5" thickBot="1">
      <c r="A906" s="227"/>
      <c r="B906" s="319"/>
      <c r="C906" s="319"/>
      <c r="D906" s="320"/>
      <c r="E906" s="320"/>
      <c r="F906" s="190"/>
      <c r="G9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6" s="190"/>
      <c r="I9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6" s="190"/>
      <c r="K9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6" s="190"/>
      <c r="M9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6" s="190"/>
      <c r="O9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6" s="190"/>
      <c r="Q9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6" s="192">
        <f ca="1">Table66[[#This Row],[Year 1 (Specified in RFO) - N/A]]+Table66[[#This Row],[Year 2 (Specified in RFO) - N/A]]+Table66[[#This Row],[Year 3 (Specified in RFO) - N/A]]+Table66[[#This Row],[Year 4 (Specified in RFO) - N/A]]+Table66[[#This Row],[Year 5 (Specified in RFO) - N/A]]+Table66[[#This Row],[Year 6 (Specified in RFO) - N/A]]</f>
        <v>0</v>
      </c>
      <c r="S906" s="402">
        <f ca="1">Table66[[#This Row],[Year 1  (Proposed)]]+Table66[[#This Row],[Year 2 (Proposed)]]+Table66[[#This Row],[Year 3 (Proposed)]]+Table66[[#This Row],[Year 4 (Proposed)]]+Table66[[#This Row],[Year 5 (Proposed)]]+Table66[[#This Row],[Year 6 (Proposed)]]</f>
        <v>0</v>
      </c>
      <c r="T906" s="403" t="b">
        <f ca="1">Table66[[#This Row],[Total Specifed in RFO - N/A]]=Table66[[#This Row],[Total Proposed]]</f>
        <v>1</v>
      </c>
      <c r="U906" s="439"/>
      <c r="V906" s="441">
        <f ca="1">Table66[[#This Row],[Year 6 (Specified in RFO) - N/A]]-Table66[[#This Row],[Column1]]</f>
        <v>0</v>
      </c>
    </row>
    <row r="907" spans="1:22" ht="16.5" thickBot="1">
      <c r="A907" s="227"/>
      <c r="B907" s="319"/>
      <c r="C907" s="319"/>
      <c r="D907" s="320"/>
      <c r="E907" s="320"/>
      <c r="F907" s="190"/>
      <c r="G9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7" s="190"/>
      <c r="I9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7" s="190"/>
      <c r="K9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7" s="190"/>
      <c r="M9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7" s="190"/>
      <c r="O9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7" s="190"/>
      <c r="Q9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7" s="192">
        <f ca="1">Table66[[#This Row],[Year 1 (Specified in RFO) - N/A]]+Table66[[#This Row],[Year 2 (Specified in RFO) - N/A]]+Table66[[#This Row],[Year 3 (Specified in RFO) - N/A]]+Table66[[#This Row],[Year 4 (Specified in RFO) - N/A]]+Table66[[#This Row],[Year 5 (Specified in RFO) - N/A]]+Table66[[#This Row],[Year 6 (Specified in RFO) - N/A]]</f>
        <v>0</v>
      </c>
      <c r="S907" s="402">
        <f ca="1">Table66[[#This Row],[Year 1  (Proposed)]]+Table66[[#This Row],[Year 2 (Proposed)]]+Table66[[#This Row],[Year 3 (Proposed)]]+Table66[[#This Row],[Year 4 (Proposed)]]+Table66[[#This Row],[Year 5 (Proposed)]]+Table66[[#This Row],[Year 6 (Proposed)]]</f>
        <v>0</v>
      </c>
      <c r="T907" s="403" t="b">
        <f ca="1">Table66[[#This Row],[Total Specifed in RFO - N/A]]=Table66[[#This Row],[Total Proposed]]</f>
        <v>1</v>
      </c>
      <c r="U907" s="439"/>
      <c r="V907" s="441">
        <f ca="1">Table66[[#This Row],[Year 6 (Specified in RFO) - N/A]]-Table66[[#This Row],[Column1]]</f>
        <v>0</v>
      </c>
    </row>
    <row r="908" spans="1:22" ht="16.5" thickBot="1">
      <c r="A908" s="227"/>
      <c r="B908" s="319"/>
      <c r="C908" s="319"/>
      <c r="D908" s="320"/>
      <c r="E908" s="320"/>
      <c r="F908" s="190"/>
      <c r="G9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8" s="190"/>
      <c r="I9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8" s="190"/>
      <c r="K9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8" s="190"/>
      <c r="M9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8" s="190"/>
      <c r="O9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8" s="190"/>
      <c r="Q9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8" s="192">
        <f ca="1">Table66[[#This Row],[Year 1 (Specified in RFO) - N/A]]+Table66[[#This Row],[Year 2 (Specified in RFO) - N/A]]+Table66[[#This Row],[Year 3 (Specified in RFO) - N/A]]+Table66[[#This Row],[Year 4 (Specified in RFO) - N/A]]+Table66[[#This Row],[Year 5 (Specified in RFO) - N/A]]+Table66[[#This Row],[Year 6 (Specified in RFO) - N/A]]</f>
        <v>0</v>
      </c>
      <c r="S908" s="402">
        <f ca="1">Table66[[#This Row],[Year 1  (Proposed)]]+Table66[[#This Row],[Year 2 (Proposed)]]+Table66[[#This Row],[Year 3 (Proposed)]]+Table66[[#This Row],[Year 4 (Proposed)]]+Table66[[#This Row],[Year 5 (Proposed)]]+Table66[[#This Row],[Year 6 (Proposed)]]</f>
        <v>0</v>
      </c>
      <c r="T908" s="403" t="b">
        <f ca="1">Table66[[#This Row],[Total Specifed in RFO - N/A]]=Table66[[#This Row],[Total Proposed]]</f>
        <v>1</v>
      </c>
      <c r="U908" s="439"/>
      <c r="V908" s="441">
        <f ca="1">Table66[[#This Row],[Year 6 (Specified in RFO) - N/A]]-Table66[[#This Row],[Column1]]</f>
        <v>0</v>
      </c>
    </row>
    <row r="909" spans="1:22" ht="16.5" thickBot="1">
      <c r="A909" s="227"/>
      <c r="B909" s="319"/>
      <c r="C909" s="319"/>
      <c r="D909" s="320"/>
      <c r="E909" s="320"/>
      <c r="F909" s="190"/>
      <c r="G9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9" s="190"/>
      <c r="I9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9" s="190"/>
      <c r="K9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9" s="190"/>
      <c r="M9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9" s="190"/>
      <c r="O9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9" s="190"/>
      <c r="Q9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9" s="192">
        <f ca="1">Table66[[#This Row],[Year 1 (Specified in RFO) - N/A]]+Table66[[#This Row],[Year 2 (Specified in RFO) - N/A]]+Table66[[#This Row],[Year 3 (Specified in RFO) - N/A]]+Table66[[#This Row],[Year 4 (Specified in RFO) - N/A]]+Table66[[#This Row],[Year 5 (Specified in RFO) - N/A]]+Table66[[#This Row],[Year 6 (Specified in RFO) - N/A]]</f>
        <v>0</v>
      </c>
      <c r="S909" s="402">
        <f ca="1">Table66[[#This Row],[Year 1  (Proposed)]]+Table66[[#This Row],[Year 2 (Proposed)]]+Table66[[#This Row],[Year 3 (Proposed)]]+Table66[[#This Row],[Year 4 (Proposed)]]+Table66[[#This Row],[Year 5 (Proposed)]]+Table66[[#This Row],[Year 6 (Proposed)]]</f>
        <v>0</v>
      </c>
      <c r="T909" s="403" t="b">
        <f ca="1">Table66[[#This Row],[Total Specifed in RFO - N/A]]=Table66[[#This Row],[Total Proposed]]</f>
        <v>1</v>
      </c>
      <c r="U909" s="439"/>
      <c r="V909" s="441">
        <f ca="1">Table66[[#This Row],[Year 6 (Specified in RFO) - N/A]]-Table66[[#This Row],[Column1]]</f>
        <v>0</v>
      </c>
    </row>
    <row r="910" spans="1:22" ht="16.5" thickBot="1">
      <c r="A910" s="227"/>
      <c r="B910" s="319"/>
      <c r="C910" s="319"/>
      <c r="D910" s="320"/>
      <c r="E910" s="320"/>
      <c r="F910" s="190"/>
      <c r="G9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0" s="190"/>
      <c r="I9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0" s="190"/>
      <c r="K9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0" s="190"/>
      <c r="M9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0" s="190"/>
      <c r="O9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0" s="190"/>
      <c r="Q9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0" s="192">
        <f ca="1">Table66[[#This Row],[Year 1 (Specified in RFO) - N/A]]+Table66[[#This Row],[Year 2 (Specified in RFO) - N/A]]+Table66[[#This Row],[Year 3 (Specified in RFO) - N/A]]+Table66[[#This Row],[Year 4 (Specified in RFO) - N/A]]+Table66[[#This Row],[Year 5 (Specified in RFO) - N/A]]+Table66[[#This Row],[Year 6 (Specified in RFO) - N/A]]</f>
        <v>0</v>
      </c>
      <c r="S910" s="402">
        <f ca="1">Table66[[#This Row],[Year 1  (Proposed)]]+Table66[[#This Row],[Year 2 (Proposed)]]+Table66[[#This Row],[Year 3 (Proposed)]]+Table66[[#This Row],[Year 4 (Proposed)]]+Table66[[#This Row],[Year 5 (Proposed)]]+Table66[[#This Row],[Year 6 (Proposed)]]</f>
        <v>0</v>
      </c>
      <c r="T910" s="403" t="b">
        <f ca="1">Table66[[#This Row],[Total Specifed in RFO - N/A]]=Table66[[#This Row],[Total Proposed]]</f>
        <v>1</v>
      </c>
      <c r="U910" s="439"/>
      <c r="V910" s="441">
        <f ca="1">Table66[[#This Row],[Year 6 (Specified in RFO) - N/A]]-Table66[[#This Row],[Column1]]</f>
        <v>0</v>
      </c>
    </row>
    <row r="911" spans="1:22" ht="16.5" thickBot="1">
      <c r="A911" s="227"/>
      <c r="B911" s="319"/>
      <c r="C911" s="319"/>
      <c r="D911" s="320"/>
      <c r="E911" s="320"/>
      <c r="F911" s="190"/>
      <c r="G9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1" s="190"/>
      <c r="I9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1" s="190"/>
      <c r="K9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1" s="190"/>
      <c r="M9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1" s="190"/>
      <c r="O9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1" s="190"/>
      <c r="Q9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1" s="192">
        <f ca="1">Table66[[#This Row],[Year 1 (Specified in RFO) - N/A]]+Table66[[#This Row],[Year 2 (Specified in RFO) - N/A]]+Table66[[#This Row],[Year 3 (Specified in RFO) - N/A]]+Table66[[#This Row],[Year 4 (Specified in RFO) - N/A]]+Table66[[#This Row],[Year 5 (Specified in RFO) - N/A]]+Table66[[#This Row],[Year 6 (Specified in RFO) - N/A]]</f>
        <v>0</v>
      </c>
      <c r="S911" s="402">
        <f ca="1">Table66[[#This Row],[Year 1  (Proposed)]]+Table66[[#This Row],[Year 2 (Proposed)]]+Table66[[#This Row],[Year 3 (Proposed)]]+Table66[[#This Row],[Year 4 (Proposed)]]+Table66[[#This Row],[Year 5 (Proposed)]]+Table66[[#This Row],[Year 6 (Proposed)]]</f>
        <v>0</v>
      </c>
      <c r="T911" s="403" t="b">
        <f ca="1">Table66[[#This Row],[Total Specifed in RFO - N/A]]=Table66[[#This Row],[Total Proposed]]</f>
        <v>1</v>
      </c>
      <c r="U911" s="439"/>
      <c r="V911" s="441">
        <f ca="1">Table66[[#This Row],[Year 6 (Specified in RFO) - N/A]]-Table66[[#This Row],[Column1]]</f>
        <v>0</v>
      </c>
    </row>
    <row r="912" spans="1:22" ht="16.5" thickBot="1">
      <c r="A912" s="227"/>
      <c r="B912" s="319"/>
      <c r="C912" s="319"/>
      <c r="D912" s="320"/>
      <c r="E912" s="320"/>
      <c r="F912" s="190"/>
      <c r="G9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2" s="190"/>
      <c r="I9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2" s="190"/>
      <c r="K9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2" s="190"/>
      <c r="M9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2" s="190"/>
      <c r="O9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2" s="190"/>
      <c r="Q9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2" s="192">
        <f ca="1">Table66[[#This Row],[Year 1 (Specified in RFO) - N/A]]+Table66[[#This Row],[Year 2 (Specified in RFO) - N/A]]+Table66[[#This Row],[Year 3 (Specified in RFO) - N/A]]+Table66[[#This Row],[Year 4 (Specified in RFO) - N/A]]+Table66[[#This Row],[Year 5 (Specified in RFO) - N/A]]+Table66[[#This Row],[Year 6 (Specified in RFO) - N/A]]</f>
        <v>0</v>
      </c>
      <c r="S912" s="402">
        <f ca="1">Table66[[#This Row],[Year 1  (Proposed)]]+Table66[[#This Row],[Year 2 (Proposed)]]+Table66[[#This Row],[Year 3 (Proposed)]]+Table66[[#This Row],[Year 4 (Proposed)]]+Table66[[#This Row],[Year 5 (Proposed)]]+Table66[[#This Row],[Year 6 (Proposed)]]</f>
        <v>0</v>
      </c>
      <c r="T912" s="403" t="b">
        <f ca="1">Table66[[#This Row],[Total Specifed in RFO - N/A]]=Table66[[#This Row],[Total Proposed]]</f>
        <v>1</v>
      </c>
      <c r="U912" s="439"/>
      <c r="V912" s="441">
        <f ca="1">Table66[[#This Row],[Year 6 (Specified in RFO) - N/A]]-Table66[[#This Row],[Column1]]</f>
        <v>0</v>
      </c>
    </row>
    <row r="913" spans="1:22" ht="16.5" thickBot="1">
      <c r="A913" s="227"/>
      <c r="B913" s="319"/>
      <c r="C913" s="319"/>
      <c r="D913" s="320"/>
      <c r="E913" s="320"/>
      <c r="F913" s="190"/>
      <c r="G9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3" s="190"/>
      <c r="I9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3" s="190"/>
      <c r="K9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3" s="190"/>
      <c r="M9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3" s="190"/>
      <c r="O9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3" s="190"/>
      <c r="Q9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3" s="192">
        <f ca="1">Table66[[#This Row],[Year 1 (Specified in RFO) - N/A]]+Table66[[#This Row],[Year 2 (Specified in RFO) - N/A]]+Table66[[#This Row],[Year 3 (Specified in RFO) - N/A]]+Table66[[#This Row],[Year 4 (Specified in RFO) - N/A]]+Table66[[#This Row],[Year 5 (Specified in RFO) - N/A]]+Table66[[#This Row],[Year 6 (Specified in RFO) - N/A]]</f>
        <v>0</v>
      </c>
      <c r="S913" s="402">
        <f ca="1">Table66[[#This Row],[Year 1  (Proposed)]]+Table66[[#This Row],[Year 2 (Proposed)]]+Table66[[#This Row],[Year 3 (Proposed)]]+Table66[[#This Row],[Year 4 (Proposed)]]+Table66[[#This Row],[Year 5 (Proposed)]]+Table66[[#This Row],[Year 6 (Proposed)]]</f>
        <v>0</v>
      </c>
      <c r="T913" s="403" t="b">
        <f ca="1">Table66[[#This Row],[Total Specifed in RFO - N/A]]=Table66[[#This Row],[Total Proposed]]</f>
        <v>1</v>
      </c>
      <c r="U913" s="439"/>
      <c r="V913" s="441">
        <f ca="1">Table66[[#This Row],[Year 6 (Specified in RFO) - N/A]]-Table66[[#This Row],[Column1]]</f>
        <v>0</v>
      </c>
    </row>
    <row r="914" spans="1:22" ht="16.5" thickBot="1">
      <c r="A914" s="227"/>
      <c r="B914" s="319"/>
      <c r="C914" s="319"/>
      <c r="D914" s="320"/>
      <c r="E914" s="320"/>
      <c r="F914" s="190"/>
      <c r="G9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4" s="190"/>
      <c r="I9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4" s="190"/>
      <c r="K9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4" s="190"/>
      <c r="M9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4" s="190"/>
      <c r="O9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4" s="190"/>
      <c r="Q9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4" s="192">
        <f ca="1">Table66[[#This Row],[Year 1 (Specified in RFO) - N/A]]+Table66[[#This Row],[Year 2 (Specified in RFO) - N/A]]+Table66[[#This Row],[Year 3 (Specified in RFO) - N/A]]+Table66[[#This Row],[Year 4 (Specified in RFO) - N/A]]+Table66[[#This Row],[Year 5 (Specified in RFO) - N/A]]+Table66[[#This Row],[Year 6 (Specified in RFO) - N/A]]</f>
        <v>0</v>
      </c>
      <c r="S914" s="402">
        <f ca="1">Table66[[#This Row],[Year 1  (Proposed)]]+Table66[[#This Row],[Year 2 (Proposed)]]+Table66[[#This Row],[Year 3 (Proposed)]]+Table66[[#This Row],[Year 4 (Proposed)]]+Table66[[#This Row],[Year 5 (Proposed)]]+Table66[[#This Row],[Year 6 (Proposed)]]</f>
        <v>0</v>
      </c>
      <c r="T914" s="403" t="b">
        <f ca="1">Table66[[#This Row],[Total Specifed in RFO - N/A]]=Table66[[#This Row],[Total Proposed]]</f>
        <v>1</v>
      </c>
      <c r="U914" s="439"/>
      <c r="V914" s="441">
        <f ca="1">Table66[[#This Row],[Year 6 (Specified in RFO) - N/A]]-Table66[[#This Row],[Column1]]</f>
        <v>0</v>
      </c>
    </row>
    <row r="915" spans="1:22" ht="16.5" thickBot="1">
      <c r="A915" s="227"/>
      <c r="B915" s="319"/>
      <c r="C915" s="319"/>
      <c r="D915" s="320"/>
      <c r="E915" s="320"/>
      <c r="F915" s="190"/>
      <c r="G9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5" s="190"/>
      <c r="I9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5" s="190"/>
      <c r="K9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5" s="190"/>
      <c r="M9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5" s="190"/>
      <c r="O9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5" s="190"/>
      <c r="Q9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5" s="192">
        <f ca="1">Table66[[#This Row],[Year 1 (Specified in RFO) - N/A]]+Table66[[#This Row],[Year 2 (Specified in RFO) - N/A]]+Table66[[#This Row],[Year 3 (Specified in RFO) - N/A]]+Table66[[#This Row],[Year 4 (Specified in RFO) - N/A]]+Table66[[#This Row],[Year 5 (Specified in RFO) - N/A]]+Table66[[#This Row],[Year 6 (Specified in RFO) - N/A]]</f>
        <v>0</v>
      </c>
      <c r="S915" s="402">
        <f ca="1">Table66[[#This Row],[Year 1  (Proposed)]]+Table66[[#This Row],[Year 2 (Proposed)]]+Table66[[#This Row],[Year 3 (Proposed)]]+Table66[[#This Row],[Year 4 (Proposed)]]+Table66[[#This Row],[Year 5 (Proposed)]]+Table66[[#This Row],[Year 6 (Proposed)]]</f>
        <v>0</v>
      </c>
      <c r="T915" s="403" t="b">
        <f ca="1">Table66[[#This Row],[Total Specifed in RFO - N/A]]=Table66[[#This Row],[Total Proposed]]</f>
        <v>1</v>
      </c>
      <c r="U915" s="439"/>
      <c r="V915" s="441">
        <f ca="1">Table66[[#This Row],[Year 6 (Specified in RFO) - N/A]]-Table66[[#This Row],[Column1]]</f>
        <v>0</v>
      </c>
    </row>
    <row r="916" spans="1:22" ht="16.5" thickBot="1">
      <c r="A916" s="227"/>
      <c r="B916" s="319"/>
      <c r="C916" s="319"/>
      <c r="D916" s="320"/>
      <c r="E916" s="320"/>
      <c r="F916" s="190"/>
      <c r="G9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6" s="190"/>
      <c r="I9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6" s="190"/>
      <c r="K9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6" s="190"/>
      <c r="M9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6" s="190"/>
      <c r="O9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6" s="190"/>
      <c r="Q9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6" s="192">
        <f ca="1">Table66[[#This Row],[Year 1 (Specified in RFO) - N/A]]+Table66[[#This Row],[Year 2 (Specified in RFO) - N/A]]+Table66[[#This Row],[Year 3 (Specified in RFO) - N/A]]+Table66[[#This Row],[Year 4 (Specified in RFO) - N/A]]+Table66[[#This Row],[Year 5 (Specified in RFO) - N/A]]+Table66[[#This Row],[Year 6 (Specified in RFO) - N/A]]</f>
        <v>0</v>
      </c>
      <c r="S916" s="402">
        <f ca="1">Table66[[#This Row],[Year 1  (Proposed)]]+Table66[[#This Row],[Year 2 (Proposed)]]+Table66[[#This Row],[Year 3 (Proposed)]]+Table66[[#This Row],[Year 4 (Proposed)]]+Table66[[#This Row],[Year 5 (Proposed)]]+Table66[[#This Row],[Year 6 (Proposed)]]</f>
        <v>0</v>
      </c>
      <c r="T916" s="403" t="b">
        <f ca="1">Table66[[#This Row],[Total Specifed in RFO - N/A]]=Table66[[#This Row],[Total Proposed]]</f>
        <v>1</v>
      </c>
      <c r="U916" s="439"/>
      <c r="V916" s="441">
        <f ca="1">Table66[[#This Row],[Year 6 (Specified in RFO) - N/A]]-Table66[[#This Row],[Column1]]</f>
        <v>0</v>
      </c>
    </row>
    <row r="917" spans="1:22" ht="16.5" thickBot="1">
      <c r="A917" s="227"/>
      <c r="B917" s="319"/>
      <c r="C917" s="319"/>
      <c r="D917" s="320"/>
      <c r="E917" s="320"/>
      <c r="F917" s="190"/>
      <c r="G9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7" s="190"/>
      <c r="I9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7" s="190"/>
      <c r="K9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7" s="190"/>
      <c r="M9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7" s="190"/>
      <c r="O9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7" s="190"/>
      <c r="Q9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7" s="192">
        <f ca="1">Table66[[#This Row],[Year 1 (Specified in RFO) - N/A]]+Table66[[#This Row],[Year 2 (Specified in RFO) - N/A]]+Table66[[#This Row],[Year 3 (Specified in RFO) - N/A]]+Table66[[#This Row],[Year 4 (Specified in RFO) - N/A]]+Table66[[#This Row],[Year 5 (Specified in RFO) - N/A]]+Table66[[#This Row],[Year 6 (Specified in RFO) - N/A]]</f>
        <v>0</v>
      </c>
      <c r="S917" s="402">
        <f ca="1">Table66[[#This Row],[Year 1  (Proposed)]]+Table66[[#This Row],[Year 2 (Proposed)]]+Table66[[#This Row],[Year 3 (Proposed)]]+Table66[[#This Row],[Year 4 (Proposed)]]+Table66[[#This Row],[Year 5 (Proposed)]]+Table66[[#This Row],[Year 6 (Proposed)]]</f>
        <v>0</v>
      </c>
      <c r="T917" s="403" t="b">
        <f ca="1">Table66[[#This Row],[Total Specifed in RFO - N/A]]=Table66[[#This Row],[Total Proposed]]</f>
        <v>1</v>
      </c>
      <c r="U917" s="439"/>
      <c r="V917" s="441">
        <f ca="1">Table66[[#This Row],[Year 6 (Specified in RFO) - N/A]]-Table66[[#This Row],[Column1]]</f>
        <v>0</v>
      </c>
    </row>
    <row r="918" spans="1:22" ht="16.5" thickBot="1">
      <c r="A918" s="227"/>
      <c r="B918" s="319"/>
      <c r="C918" s="319"/>
      <c r="D918" s="320"/>
      <c r="E918" s="320"/>
      <c r="F918" s="190"/>
      <c r="G9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8" s="190"/>
      <c r="I9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8" s="190"/>
      <c r="K9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8" s="190"/>
      <c r="M9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8" s="190"/>
      <c r="O9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8" s="190"/>
      <c r="Q9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8" s="192">
        <f ca="1">Table66[[#This Row],[Year 1 (Specified in RFO) - N/A]]+Table66[[#This Row],[Year 2 (Specified in RFO) - N/A]]+Table66[[#This Row],[Year 3 (Specified in RFO) - N/A]]+Table66[[#This Row],[Year 4 (Specified in RFO) - N/A]]+Table66[[#This Row],[Year 5 (Specified in RFO) - N/A]]+Table66[[#This Row],[Year 6 (Specified in RFO) - N/A]]</f>
        <v>0</v>
      </c>
      <c r="S918" s="402">
        <f ca="1">Table66[[#This Row],[Year 1  (Proposed)]]+Table66[[#This Row],[Year 2 (Proposed)]]+Table66[[#This Row],[Year 3 (Proposed)]]+Table66[[#This Row],[Year 4 (Proposed)]]+Table66[[#This Row],[Year 5 (Proposed)]]+Table66[[#This Row],[Year 6 (Proposed)]]</f>
        <v>0</v>
      </c>
      <c r="T918" s="403" t="b">
        <f ca="1">Table66[[#This Row],[Total Specifed in RFO - N/A]]=Table66[[#This Row],[Total Proposed]]</f>
        <v>1</v>
      </c>
      <c r="U918" s="439"/>
      <c r="V918" s="441">
        <f ca="1">Table66[[#This Row],[Year 6 (Specified in RFO) - N/A]]-Table66[[#This Row],[Column1]]</f>
        <v>0</v>
      </c>
    </row>
    <row r="919" spans="1:22" ht="16.5" thickBot="1">
      <c r="A919" s="227"/>
      <c r="B919" s="319"/>
      <c r="C919" s="319"/>
      <c r="D919" s="320"/>
      <c r="E919" s="320"/>
      <c r="F919" s="190"/>
      <c r="G9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9" s="190"/>
      <c r="I9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9" s="190"/>
      <c r="K9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9" s="190"/>
      <c r="M9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9" s="190"/>
      <c r="O9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9" s="190"/>
      <c r="Q9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9" s="192">
        <f ca="1">Table66[[#This Row],[Year 1 (Specified in RFO) - N/A]]+Table66[[#This Row],[Year 2 (Specified in RFO) - N/A]]+Table66[[#This Row],[Year 3 (Specified in RFO) - N/A]]+Table66[[#This Row],[Year 4 (Specified in RFO) - N/A]]+Table66[[#This Row],[Year 5 (Specified in RFO) - N/A]]+Table66[[#This Row],[Year 6 (Specified in RFO) - N/A]]</f>
        <v>0</v>
      </c>
      <c r="S919" s="402">
        <f ca="1">Table66[[#This Row],[Year 1  (Proposed)]]+Table66[[#This Row],[Year 2 (Proposed)]]+Table66[[#This Row],[Year 3 (Proposed)]]+Table66[[#This Row],[Year 4 (Proposed)]]+Table66[[#This Row],[Year 5 (Proposed)]]+Table66[[#This Row],[Year 6 (Proposed)]]</f>
        <v>0</v>
      </c>
      <c r="T919" s="403" t="b">
        <f ca="1">Table66[[#This Row],[Total Specifed in RFO - N/A]]=Table66[[#This Row],[Total Proposed]]</f>
        <v>1</v>
      </c>
      <c r="U919" s="439"/>
      <c r="V919" s="441">
        <f ca="1">Table66[[#This Row],[Year 6 (Specified in RFO) - N/A]]-Table66[[#This Row],[Column1]]</f>
        <v>0</v>
      </c>
    </row>
    <row r="920" spans="1:22" ht="16.5" thickBot="1">
      <c r="A920" s="227"/>
      <c r="B920" s="319"/>
      <c r="C920" s="319"/>
      <c r="D920" s="320"/>
      <c r="E920" s="320"/>
      <c r="F920" s="190"/>
      <c r="G9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0" s="190"/>
      <c r="I9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0" s="190"/>
      <c r="K9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0" s="190"/>
      <c r="M9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0" s="190"/>
      <c r="O9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0" s="190"/>
      <c r="Q9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0" s="192">
        <f ca="1">Table66[[#This Row],[Year 1 (Specified in RFO) - N/A]]+Table66[[#This Row],[Year 2 (Specified in RFO) - N/A]]+Table66[[#This Row],[Year 3 (Specified in RFO) - N/A]]+Table66[[#This Row],[Year 4 (Specified in RFO) - N/A]]+Table66[[#This Row],[Year 5 (Specified in RFO) - N/A]]+Table66[[#This Row],[Year 6 (Specified in RFO) - N/A]]</f>
        <v>0</v>
      </c>
      <c r="S920" s="402">
        <f ca="1">Table66[[#This Row],[Year 1  (Proposed)]]+Table66[[#This Row],[Year 2 (Proposed)]]+Table66[[#This Row],[Year 3 (Proposed)]]+Table66[[#This Row],[Year 4 (Proposed)]]+Table66[[#This Row],[Year 5 (Proposed)]]+Table66[[#This Row],[Year 6 (Proposed)]]</f>
        <v>0</v>
      </c>
      <c r="T920" s="403" t="b">
        <f ca="1">Table66[[#This Row],[Total Specifed in RFO - N/A]]=Table66[[#This Row],[Total Proposed]]</f>
        <v>1</v>
      </c>
      <c r="U920" s="439"/>
      <c r="V920" s="441">
        <f ca="1">Table66[[#This Row],[Year 6 (Specified in RFO) - N/A]]-Table66[[#This Row],[Column1]]</f>
        <v>0</v>
      </c>
    </row>
    <row r="921" spans="1:22" ht="16.5" thickBot="1">
      <c r="A921" s="227"/>
      <c r="B921" s="319"/>
      <c r="C921" s="319"/>
      <c r="D921" s="320"/>
      <c r="E921" s="320"/>
      <c r="F921" s="190"/>
      <c r="G9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1" s="190"/>
      <c r="I9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1" s="190"/>
      <c r="K9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1" s="190"/>
      <c r="M9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1" s="190"/>
      <c r="O9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1" s="190"/>
      <c r="Q9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1" s="192">
        <f ca="1">Table66[[#This Row],[Year 1 (Specified in RFO) - N/A]]+Table66[[#This Row],[Year 2 (Specified in RFO) - N/A]]+Table66[[#This Row],[Year 3 (Specified in RFO) - N/A]]+Table66[[#This Row],[Year 4 (Specified in RFO) - N/A]]+Table66[[#This Row],[Year 5 (Specified in RFO) - N/A]]+Table66[[#This Row],[Year 6 (Specified in RFO) - N/A]]</f>
        <v>0</v>
      </c>
      <c r="S921" s="402">
        <f ca="1">Table66[[#This Row],[Year 1  (Proposed)]]+Table66[[#This Row],[Year 2 (Proposed)]]+Table66[[#This Row],[Year 3 (Proposed)]]+Table66[[#This Row],[Year 4 (Proposed)]]+Table66[[#This Row],[Year 5 (Proposed)]]+Table66[[#This Row],[Year 6 (Proposed)]]</f>
        <v>0</v>
      </c>
      <c r="T921" s="403" t="b">
        <f ca="1">Table66[[#This Row],[Total Specifed in RFO - N/A]]=Table66[[#This Row],[Total Proposed]]</f>
        <v>1</v>
      </c>
      <c r="U921" s="439"/>
      <c r="V921" s="441">
        <f ca="1">Table66[[#This Row],[Year 6 (Specified in RFO) - N/A]]-Table66[[#This Row],[Column1]]</f>
        <v>0</v>
      </c>
    </row>
    <row r="922" spans="1:22" ht="16.5" thickBot="1">
      <c r="A922" s="227"/>
      <c r="B922" s="319"/>
      <c r="C922" s="319"/>
      <c r="D922" s="320"/>
      <c r="E922" s="320"/>
      <c r="F922" s="190"/>
      <c r="G9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2" s="190"/>
      <c r="I9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2" s="190"/>
      <c r="K9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2" s="190"/>
      <c r="M9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2" s="190"/>
      <c r="O9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2" s="190"/>
      <c r="Q9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2" s="192">
        <f ca="1">Table66[[#This Row],[Year 1 (Specified in RFO) - N/A]]+Table66[[#This Row],[Year 2 (Specified in RFO) - N/A]]+Table66[[#This Row],[Year 3 (Specified in RFO) - N/A]]+Table66[[#This Row],[Year 4 (Specified in RFO) - N/A]]+Table66[[#This Row],[Year 5 (Specified in RFO) - N/A]]+Table66[[#This Row],[Year 6 (Specified in RFO) - N/A]]</f>
        <v>0</v>
      </c>
      <c r="S922" s="402">
        <f ca="1">Table66[[#This Row],[Year 1  (Proposed)]]+Table66[[#This Row],[Year 2 (Proposed)]]+Table66[[#This Row],[Year 3 (Proposed)]]+Table66[[#This Row],[Year 4 (Proposed)]]+Table66[[#This Row],[Year 5 (Proposed)]]+Table66[[#This Row],[Year 6 (Proposed)]]</f>
        <v>0</v>
      </c>
      <c r="T922" s="403" t="b">
        <f ca="1">Table66[[#This Row],[Total Specifed in RFO - N/A]]=Table66[[#This Row],[Total Proposed]]</f>
        <v>1</v>
      </c>
      <c r="U922" s="439"/>
      <c r="V922" s="441">
        <f ca="1">Table66[[#This Row],[Year 6 (Specified in RFO) - N/A]]-Table66[[#This Row],[Column1]]</f>
        <v>0</v>
      </c>
    </row>
    <row r="923" spans="1:22" ht="16.5" thickBot="1">
      <c r="A923" s="227"/>
      <c r="B923" s="319"/>
      <c r="C923" s="319"/>
      <c r="D923" s="320"/>
      <c r="E923" s="320"/>
      <c r="F923" s="190"/>
      <c r="G9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3" s="190"/>
      <c r="I9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3" s="190"/>
      <c r="K9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3" s="190"/>
      <c r="M9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3" s="190"/>
      <c r="O9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3" s="190"/>
      <c r="Q9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3" s="192">
        <f ca="1">Table66[[#This Row],[Year 1 (Specified in RFO) - N/A]]+Table66[[#This Row],[Year 2 (Specified in RFO) - N/A]]+Table66[[#This Row],[Year 3 (Specified in RFO) - N/A]]+Table66[[#This Row],[Year 4 (Specified in RFO) - N/A]]+Table66[[#This Row],[Year 5 (Specified in RFO) - N/A]]+Table66[[#This Row],[Year 6 (Specified in RFO) - N/A]]</f>
        <v>0</v>
      </c>
      <c r="S923" s="402">
        <f ca="1">Table66[[#This Row],[Year 1  (Proposed)]]+Table66[[#This Row],[Year 2 (Proposed)]]+Table66[[#This Row],[Year 3 (Proposed)]]+Table66[[#This Row],[Year 4 (Proposed)]]+Table66[[#This Row],[Year 5 (Proposed)]]+Table66[[#This Row],[Year 6 (Proposed)]]</f>
        <v>0</v>
      </c>
      <c r="T923" s="403" t="b">
        <f ca="1">Table66[[#This Row],[Total Specifed in RFO - N/A]]=Table66[[#This Row],[Total Proposed]]</f>
        <v>1</v>
      </c>
      <c r="U923" s="439"/>
      <c r="V923" s="441">
        <f ca="1">Table66[[#This Row],[Year 6 (Specified in RFO) - N/A]]-Table66[[#This Row],[Column1]]</f>
        <v>0</v>
      </c>
    </row>
    <row r="924" spans="1:22" ht="16.5" thickBot="1">
      <c r="A924" s="227"/>
      <c r="B924" s="319"/>
      <c r="C924" s="319"/>
      <c r="D924" s="320"/>
      <c r="E924" s="320"/>
      <c r="F924" s="190"/>
      <c r="G9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4" s="190"/>
      <c r="I9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4" s="190"/>
      <c r="K9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4" s="190"/>
      <c r="M9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4" s="190"/>
      <c r="O9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4" s="190"/>
      <c r="Q9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4" s="192">
        <f ca="1">Table66[[#This Row],[Year 1 (Specified in RFO) - N/A]]+Table66[[#This Row],[Year 2 (Specified in RFO) - N/A]]+Table66[[#This Row],[Year 3 (Specified in RFO) - N/A]]+Table66[[#This Row],[Year 4 (Specified in RFO) - N/A]]+Table66[[#This Row],[Year 5 (Specified in RFO) - N/A]]+Table66[[#This Row],[Year 6 (Specified in RFO) - N/A]]</f>
        <v>0</v>
      </c>
      <c r="S924" s="402">
        <f ca="1">Table66[[#This Row],[Year 1  (Proposed)]]+Table66[[#This Row],[Year 2 (Proposed)]]+Table66[[#This Row],[Year 3 (Proposed)]]+Table66[[#This Row],[Year 4 (Proposed)]]+Table66[[#This Row],[Year 5 (Proposed)]]+Table66[[#This Row],[Year 6 (Proposed)]]</f>
        <v>0</v>
      </c>
      <c r="T924" s="403" t="b">
        <f ca="1">Table66[[#This Row],[Total Specifed in RFO - N/A]]=Table66[[#This Row],[Total Proposed]]</f>
        <v>1</v>
      </c>
      <c r="U924" s="439"/>
      <c r="V924" s="441">
        <f ca="1">Table66[[#This Row],[Year 6 (Specified in RFO) - N/A]]-Table66[[#This Row],[Column1]]</f>
        <v>0</v>
      </c>
    </row>
    <row r="925" spans="1:22" ht="16.5" thickBot="1">
      <c r="A925" s="227"/>
      <c r="B925" s="319"/>
      <c r="C925" s="319"/>
      <c r="D925" s="320"/>
      <c r="E925" s="320"/>
      <c r="F925" s="190"/>
      <c r="G9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5" s="190"/>
      <c r="I9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5" s="190"/>
      <c r="K9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5" s="190"/>
      <c r="M9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5" s="190"/>
      <c r="O9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5" s="190"/>
      <c r="Q9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5" s="192">
        <f ca="1">Table66[[#This Row],[Year 1 (Specified in RFO) - N/A]]+Table66[[#This Row],[Year 2 (Specified in RFO) - N/A]]+Table66[[#This Row],[Year 3 (Specified in RFO) - N/A]]+Table66[[#This Row],[Year 4 (Specified in RFO) - N/A]]+Table66[[#This Row],[Year 5 (Specified in RFO) - N/A]]+Table66[[#This Row],[Year 6 (Specified in RFO) - N/A]]</f>
        <v>0</v>
      </c>
      <c r="S925" s="402">
        <f ca="1">Table66[[#This Row],[Year 1  (Proposed)]]+Table66[[#This Row],[Year 2 (Proposed)]]+Table66[[#This Row],[Year 3 (Proposed)]]+Table66[[#This Row],[Year 4 (Proposed)]]+Table66[[#This Row],[Year 5 (Proposed)]]+Table66[[#This Row],[Year 6 (Proposed)]]</f>
        <v>0</v>
      </c>
      <c r="T925" s="403" t="b">
        <f ca="1">Table66[[#This Row],[Total Specifed in RFO - N/A]]=Table66[[#This Row],[Total Proposed]]</f>
        <v>1</v>
      </c>
      <c r="U925" s="439"/>
      <c r="V925" s="441">
        <f ca="1">Table66[[#This Row],[Year 6 (Specified in RFO) - N/A]]-Table66[[#This Row],[Column1]]</f>
        <v>0</v>
      </c>
    </row>
    <row r="926" spans="1:22" ht="15" customHeight="1" thickBot="1">
      <c r="A926" s="227"/>
      <c r="B926" s="319"/>
      <c r="C926" s="319"/>
      <c r="D926" s="320"/>
      <c r="E926" s="320"/>
      <c r="F926" s="190"/>
      <c r="G9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6" s="190"/>
      <c r="I9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6" s="190"/>
      <c r="K9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6" s="190"/>
      <c r="M9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6" s="190"/>
      <c r="O9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6" s="190"/>
      <c r="Q9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6" s="192">
        <f ca="1">Table66[[#This Row],[Year 1 (Specified in RFO) - N/A]]+Table66[[#This Row],[Year 2 (Specified in RFO) - N/A]]+Table66[[#This Row],[Year 3 (Specified in RFO) - N/A]]+Table66[[#This Row],[Year 4 (Specified in RFO) - N/A]]+Table66[[#This Row],[Year 5 (Specified in RFO) - N/A]]+Table66[[#This Row],[Year 6 (Specified in RFO) - N/A]]</f>
        <v>0</v>
      </c>
      <c r="S926" s="402">
        <f ca="1">Table66[[#This Row],[Year 1  (Proposed)]]+Table66[[#This Row],[Year 2 (Proposed)]]+Table66[[#This Row],[Year 3 (Proposed)]]+Table66[[#This Row],[Year 4 (Proposed)]]+Table66[[#This Row],[Year 5 (Proposed)]]+Table66[[#This Row],[Year 6 (Proposed)]]</f>
        <v>0</v>
      </c>
      <c r="T926" s="403" t="b">
        <f ca="1">Table66[[#This Row],[Total Specifed in RFO - N/A]]=Table66[[#This Row],[Total Proposed]]</f>
        <v>1</v>
      </c>
      <c r="U926" s="439"/>
      <c r="V926" s="441">
        <f ca="1">Table66[[#This Row],[Year 6 (Specified in RFO) - N/A]]-Table66[[#This Row],[Column1]]</f>
        <v>0</v>
      </c>
    </row>
    <row r="927" spans="1:22" ht="16.5" thickBot="1">
      <c r="A927" s="227"/>
      <c r="B927" s="319"/>
      <c r="C927" s="319"/>
      <c r="D927" s="320"/>
      <c r="E927" s="320"/>
      <c r="F927" s="190"/>
      <c r="G9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7" s="190"/>
      <c r="I9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7" s="190"/>
      <c r="K9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7" s="190"/>
      <c r="M9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7" s="190"/>
      <c r="O9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7" s="190"/>
      <c r="Q9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7" s="192">
        <f ca="1">Table66[[#This Row],[Year 1 (Specified in RFO) - N/A]]+Table66[[#This Row],[Year 2 (Specified in RFO) - N/A]]+Table66[[#This Row],[Year 3 (Specified in RFO) - N/A]]+Table66[[#This Row],[Year 4 (Specified in RFO) - N/A]]+Table66[[#This Row],[Year 5 (Specified in RFO) - N/A]]+Table66[[#This Row],[Year 6 (Specified in RFO) - N/A]]</f>
        <v>0</v>
      </c>
      <c r="S927" s="402">
        <f ca="1">Table66[[#This Row],[Year 1  (Proposed)]]+Table66[[#This Row],[Year 2 (Proposed)]]+Table66[[#This Row],[Year 3 (Proposed)]]+Table66[[#This Row],[Year 4 (Proposed)]]+Table66[[#This Row],[Year 5 (Proposed)]]+Table66[[#This Row],[Year 6 (Proposed)]]</f>
        <v>0</v>
      </c>
      <c r="T927" s="403" t="b">
        <f ca="1">Table66[[#This Row],[Total Specifed in RFO - N/A]]=Table66[[#This Row],[Total Proposed]]</f>
        <v>1</v>
      </c>
      <c r="U927" s="439"/>
      <c r="V927" s="441">
        <f ca="1">Table66[[#This Row],[Year 6 (Specified in RFO) - N/A]]-Table66[[#This Row],[Column1]]</f>
        <v>0</v>
      </c>
    </row>
    <row r="928" spans="1:22" ht="16.5" thickBot="1">
      <c r="A928" s="227"/>
      <c r="B928" s="319"/>
      <c r="C928" s="319"/>
      <c r="D928" s="320"/>
      <c r="E928" s="320"/>
      <c r="F928" s="190"/>
      <c r="G9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8" s="190"/>
      <c r="I9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8" s="190"/>
      <c r="K9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8" s="190"/>
      <c r="M9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8" s="190"/>
      <c r="O9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8" s="190"/>
      <c r="Q9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8" s="192">
        <f ca="1">Table66[[#This Row],[Year 1 (Specified in RFO) - N/A]]+Table66[[#This Row],[Year 2 (Specified in RFO) - N/A]]+Table66[[#This Row],[Year 3 (Specified in RFO) - N/A]]+Table66[[#This Row],[Year 4 (Specified in RFO) - N/A]]+Table66[[#This Row],[Year 5 (Specified in RFO) - N/A]]+Table66[[#This Row],[Year 6 (Specified in RFO) - N/A]]</f>
        <v>0</v>
      </c>
      <c r="S928" s="402">
        <f ca="1">Table66[[#This Row],[Year 1  (Proposed)]]+Table66[[#This Row],[Year 2 (Proposed)]]+Table66[[#This Row],[Year 3 (Proposed)]]+Table66[[#This Row],[Year 4 (Proposed)]]+Table66[[#This Row],[Year 5 (Proposed)]]+Table66[[#This Row],[Year 6 (Proposed)]]</f>
        <v>0</v>
      </c>
      <c r="T928" s="403" t="b">
        <f ca="1">Table66[[#This Row],[Total Specifed in RFO - N/A]]=Table66[[#This Row],[Total Proposed]]</f>
        <v>1</v>
      </c>
      <c r="U928" s="439"/>
      <c r="V928" s="441">
        <f ca="1">Table66[[#This Row],[Year 6 (Specified in RFO) - N/A]]-Table66[[#This Row],[Column1]]</f>
        <v>0</v>
      </c>
    </row>
    <row r="929" spans="1:22" ht="16.5" thickBot="1">
      <c r="A929" s="227"/>
      <c r="B929" s="319"/>
      <c r="C929" s="319"/>
      <c r="D929" s="320"/>
      <c r="E929" s="320"/>
      <c r="F929" s="190"/>
      <c r="G9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9" s="190"/>
      <c r="I9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9" s="190"/>
      <c r="K9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9" s="190"/>
      <c r="M9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9" s="190"/>
      <c r="O9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9" s="190"/>
      <c r="Q9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9" s="192">
        <f ca="1">Table66[[#This Row],[Year 1 (Specified in RFO) - N/A]]+Table66[[#This Row],[Year 2 (Specified in RFO) - N/A]]+Table66[[#This Row],[Year 3 (Specified in RFO) - N/A]]+Table66[[#This Row],[Year 4 (Specified in RFO) - N/A]]+Table66[[#This Row],[Year 5 (Specified in RFO) - N/A]]+Table66[[#This Row],[Year 6 (Specified in RFO) - N/A]]</f>
        <v>0</v>
      </c>
      <c r="S929" s="402">
        <f ca="1">Table66[[#This Row],[Year 1  (Proposed)]]+Table66[[#This Row],[Year 2 (Proposed)]]+Table66[[#This Row],[Year 3 (Proposed)]]+Table66[[#This Row],[Year 4 (Proposed)]]+Table66[[#This Row],[Year 5 (Proposed)]]+Table66[[#This Row],[Year 6 (Proposed)]]</f>
        <v>0</v>
      </c>
      <c r="T929" s="403" t="b">
        <f ca="1">Table66[[#This Row],[Total Specifed in RFO - N/A]]=Table66[[#This Row],[Total Proposed]]</f>
        <v>1</v>
      </c>
      <c r="U929" s="439"/>
      <c r="V929" s="441">
        <f ca="1">Table66[[#This Row],[Year 6 (Specified in RFO) - N/A]]-Table66[[#This Row],[Column1]]</f>
        <v>0</v>
      </c>
    </row>
    <row r="930" spans="1:22" ht="16.5" thickBot="1">
      <c r="A930" s="227"/>
      <c r="B930" s="319"/>
      <c r="C930" s="319"/>
      <c r="D930" s="320"/>
      <c r="E930" s="320"/>
      <c r="F930" s="190"/>
      <c r="G9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0" s="190"/>
      <c r="I9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0" s="190"/>
      <c r="K9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0" s="190"/>
      <c r="M9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0" s="190"/>
      <c r="O9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0" s="190"/>
      <c r="Q9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0" s="192">
        <f ca="1">Table66[[#This Row],[Year 1 (Specified in RFO) - N/A]]+Table66[[#This Row],[Year 2 (Specified in RFO) - N/A]]+Table66[[#This Row],[Year 3 (Specified in RFO) - N/A]]+Table66[[#This Row],[Year 4 (Specified in RFO) - N/A]]+Table66[[#This Row],[Year 5 (Specified in RFO) - N/A]]+Table66[[#This Row],[Year 6 (Specified in RFO) - N/A]]</f>
        <v>0</v>
      </c>
      <c r="S930" s="402">
        <f ca="1">Table66[[#This Row],[Year 1  (Proposed)]]+Table66[[#This Row],[Year 2 (Proposed)]]+Table66[[#This Row],[Year 3 (Proposed)]]+Table66[[#This Row],[Year 4 (Proposed)]]+Table66[[#This Row],[Year 5 (Proposed)]]+Table66[[#This Row],[Year 6 (Proposed)]]</f>
        <v>0</v>
      </c>
      <c r="T930" s="403" t="b">
        <f ca="1">Table66[[#This Row],[Total Specifed in RFO - N/A]]=Table66[[#This Row],[Total Proposed]]</f>
        <v>1</v>
      </c>
      <c r="U930" s="439"/>
      <c r="V930" s="441">
        <f ca="1">Table66[[#This Row],[Year 6 (Specified in RFO) - N/A]]-Table66[[#This Row],[Column1]]</f>
        <v>0</v>
      </c>
    </row>
    <row r="931" spans="1:22" ht="16.5" thickBot="1">
      <c r="A931" s="227"/>
      <c r="B931" s="319"/>
      <c r="C931" s="319"/>
      <c r="D931" s="320"/>
      <c r="E931" s="320"/>
      <c r="F931" s="190"/>
      <c r="G9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1" s="190"/>
      <c r="I9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1" s="190"/>
      <c r="K9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1" s="190"/>
      <c r="M9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1" s="190"/>
      <c r="O9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1" s="190"/>
      <c r="Q9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1" s="192">
        <f ca="1">Table66[[#This Row],[Year 1 (Specified in RFO) - N/A]]+Table66[[#This Row],[Year 2 (Specified in RFO) - N/A]]+Table66[[#This Row],[Year 3 (Specified in RFO) - N/A]]+Table66[[#This Row],[Year 4 (Specified in RFO) - N/A]]+Table66[[#This Row],[Year 5 (Specified in RFO) - N/A]]+Table66[[#This Row],[Year 6 (Specified in RFO) - N/A]]</f>
        <v>0</v>
      </c>
      <c r="S931" s="402">
        <f ca="1">Table66[[#This Row],[Year 1  (Proposed)]]+Table66[[#This Row],[Year 2 (Proposed)]]+Table66[[#This Row],[Year 3 (Proposed)]]+Table66[[#This Row],[Year 4 (Proposed)]]+Table66[[#This Row],[Year 5 (Proposed)]]+Table66[[#This Row],[Year 6 (Proposed)]]</f>
        <v>0</v>
      </c>
      <c r="T931" s="403" t="b">
        <f ca="1">Table66[[#This Row],[Total Specifed in RFO - N/A]]=Table66[[#This Row],[Total Proposed]]</f>
        <v>1</v>
      </c>
      <c r="U931" s="439"/>
      <c r="V931" s="441">
        <f ca="1">Table66[[#This Row],[Year 6 (Specified in RFO) - N/A]]-Table66[[#This Row],[Column1]]</f>
        <v>0</v>
      </c>
    </row>
    <row r="932" spans="1:22" ht="16.5" thickBot="1">
      <c r="A932" s="227"/>
      <c r="B932" s="319"/>
      <c r="C932" s="319"/>
      <c r="D932" s="320"/>
      <c r="E932" s="320"/>
      <c r="F932" s="190"/>
      <c r="G9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2" s="190"/>
      <c r="I9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2" s="190"/>
      <c r="K9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2" s="190"/>
      <c r="M9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2" s="190"/>
      <c r="O9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2" s="190"/>
      <c r="Q9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2" s="192">
        <f ca="1">Table66[[#This Row],[Year 1 (Specified in RFO) - N/A]]+Table66[[#This Row],[Year 2 (Specified in RFO) - N/A]]+Table66[[#This Row],[Year 3 (Specified in RFO) - N/A]]+Table66[[#This Row],[Year 4 (Specified in RFO) - N/A]]+Table66[[#This Row],[Year 5 (Specified in RFO) - N/A]]+Table66[[#This Row],[Year 6 (Specified in RFO) - N/A]]</f>
        <v>0</v>
      </c>
      <c r="S932" s="402">
        <f ca="1">Table66[[#This Row],[Year 1  (Proposed)]]+Table66[[#This Row],[Year 2 (Proposed)]]+Table66[[#This Row],[Year 3 (Proposed)]]+Table66[[#This Row],[Year 4 (Proposed)]]+Table66[[#This Row],[Year 5 (Proposed)]]+Table66[[#This Row],[Year 6 (Proposed)]]</f>
        <v>0</v>
      </c>
      <c r="T932" s="403" t="b">
        <f ca="1">Table66[[#This Row],[Total Specifed in RFO - N/A]]=Table66[[#This Row],[Total Proposed]]</f>
        <v>1</v>
      </c>
      <c r="U932" s="439"/>
      <c r="V932" s="441">
        <f ca="1">Table66[[#This Row],[Year 6 (Specified in RFO) - N/A]]-Table66[[#This Row],[Column1]]</f>
        <v>0</v>
      </c>
    </row>
    <row r="933" spans="1:22" ht="16.5" thickBot="1">
      <c r="A933" s="227"/>
      <c r="B933" s="319"/>
      <c r="C933" s="319"/>
      <c r="D933" s="320"/>
      <c r="E933" s="320"/>
      <c r="F933" s="190"/>
      <c r="G9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3" s="190"/>
      <c r="I9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3" s="190"/>
      <c r="K9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3" s="190"/>
      <c r="M9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3" s="190"/>
      <c r="O9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3" s="190"/>
      <c r="Q9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3" s="192">
        <f ca="1">Table66[[#This Row],[Year 1 (Specified in RFO) - N/A]]+Table66[[#This Row],[Year 2 (Specified in RFO) - N/A]]+Table66[[#This Row],[Year 3 (Specified in RFO) - N/A]]+Table66[[#This Row],[Year 4 (Specified in RFO) - N/A]]+Table66[[#This Row],[Year 5 (Specified in RFO) - N/A]]+Table66[[#This Row],[Year 6 (Specified in RFO) - N/A]]</f>
        <v>0</v>
      </c>
      <c r="S933" s="402">
        <f ca="1">Table66[[#This Row],[Year 1  (Proposed)]]+Table66[[#This Row],[Year 2 (Proposed)]]+Table66[[#This Row],[Year 3 (Proposed)]]+Table66[[#This Row],[Year 4 (Proposed)]]+Table66[[#This Row],[Year 5 (Proposed)]]+Table66[[#This Row],[Year 6 (Proposed)]]</f>
        <v>0</v>
      </c>
      <c r="T933" s="403" t="b">
        <f ca="1">Table66[[#This Row],[Total Specifed in RFO - N/A]]=Table66[[#This Row],[Total Proposed]]</f>
        <v>1</v>
      </c>
      <c r="U933" s="439"/>
      <c r="V933" s="441">
        <f ca="1">Table66[[#This Row],[Year 6 (Specified in RFO) - N/A]]-Table66[[#This Row],[Column1]]</f>
        <v>0</v>
      </c>
    </row>
    <row r="934" spans="1:22" ht="16.5" thickBot="1">
      <c r="A934" s="227"/>
      <c r="B934" s="319"/>
      <c r="C934" s="319"/>
      <c r="D934" s="320"/>
      <c r="E934" s="320"/>
      <c r="F934" s="190"/>
      <c r="G9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4" s="190"/>
      <c r="I9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4" s="190"/>
      <c r="K9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4" s="190"/>
      <c r="M9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4" s="190"/>
      <c r="O9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4" s="190"/>
      <c r="Q9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4" s="192">
        <f ca="1">Table66[[#This Row],[Year 1 (Specified in RFO) - N/A]]+Table66[[#This Row],[Year 2 (Specified in RFO) - N/A]]+Table66[[#This Row],[Year 3 (Specified in RFO) - N/A]]+Table66[[#This Row],[Year 4 (Specified in RFO) - N/A]]+Table66[[#This Row],[Year 5 (Specified in RFO) - N/A]]+Table66[[#This Row],[Year 6 (Specified in RFO) - N/A]]</f>
        <v>0</v>
      </c>
      <c r="S934" s="402">
        <f ca="1">Table66[[#This Row],[Year 1  (Proposed)]]+Table66[[#This Row],[Year 2 (Proposed)]]+Table66[[#This Row],[Year 3 (Proposed)]]+Table66[[#This Row],[Year 4 (Proposed)]]+Table66[[#This Row],[Year 5 (Proposed)]]+Table66[[#This Row],[Year 6 (Proposed)]]</f>
        <v>0</v>
      </c>
      <c r="T934" s="403" t="b">
        <f ca="1">Table66[[#This Row],[Total Specifed in RFO - N/A]]=Table66[[#This Row],[Total Proposed]]</f>
        <v>1</v>
      </c>
      <c r="U934" s="439"/>
      <c r="V934" s="441">
        <f ca="1">Table66[[#This Row],[Year 6 (Specified in RFO) - N/A]]-Table66[[#This Row],[Column1]]</f>
        <v>0</v>
      </c>
    </row>
    <row r="935" spans="1:22" ht="16.5" thickBot="1">
      <c r="A935" s="227"/>
      <c r="B935" s="319"/>
      <c r="C935" s="319"/>
      <c r="D935" s="320"/>
      <c r="E935" s="320"/>
      <c r="F935" s="190"/>
      <c r="G9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5" s="190"/>
      <c r="I9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5" s="190"/>
      <c r="K9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5" s="190"/>
      <c r="M9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5" s="190"/>
      <c r="O9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5" s="190"/>
      <c r="Q9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5" s="192">
        <f ca="1">Table66[[#This Row],[Year 1 (Specified in RFO) - N/A]]+Table66[[#This Row],[Year 2 (Specified in RFO) - N/A]]+Table66[[#This Row],[Year 3 (Specified in RFO) - N/A]]+Table66[[#This Row],[Year 4 (Specified in RFO) - N/A]]+Table66[[#This Row],[Year 5 (Specified in RFO) - N/A]]+Table66[[#This Row],[Year 6 (Specified in RFO) - N/A]]</f>
        <v>0</v>
      </c>
      <c r="S935" s="402">
        <f ca="1">Table66[[#This Row],[Year 1  (Proposed)]]+Table66[[#This Row],[Year 2 (Proposed)]]+Table66[[#This Row],[Year 3 (Proposed)]]+Table66[[#This Row],[Year 4 (Proposed)]]+Table66[[#This Row],[Year 5 (Proposed)]]+Table66[[#This Row],[Year 6 (Proposed)]]</f>
        <v>0</v>
      </c>
      <c r="T935" s="403" t="b">
        <f ca="1">Table66[[#This Row],[Total Specifed in RFO - N/A]]=Table66[[#This Row],[Total Proposed]]</f>
        <v>1</v>
      </c>
      <c r="U935" s="439"/>
      <c r="V935" s="441">
        <f ca="1">Table66[[#This Row],[Year 6 (Specified in RFO) - N/A]]-Table66[[#This Row],[Column1]]</f>
        <v>0</v>
      </c>
    </row>
    <row r="936" spans="1:22" ht="16.5" thickBot="1">
      <c r="A936" s="227"/>
      <c r="B936" s="319"/>
      <c r="C936" s="319"/>
      <c r="D936" s="320"/>
      <c r="E936" s="320"/>
      <c r="F936" s="190"/>
      <c r="G9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6" s="190"/>
      <c r="I9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6" s="190"/>
      <c r="K9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6" s="190"/>
      <c r="M9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6" s="190"/>
      <c r="O9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6" s="190"/>
      <c r="Q9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6" s="192">
        <f ca="1">Table66[[#This Row],[Year 1 (Specified in RFO) - N/A]]+Table66[[#This Row],[Year 2 (Specified in RFO) - N/A]]+Table66[[#This Row],[Year 3 (Specified in RFO) - N/A]]+Table66[[#This Row],[Year 4 (Specified in RFO) - N/A]]+Table66[[#This Row],[Year 5 (Specified in RFO) - N/A]]+Table66[[#This Row],[Year 6 (Specified in RFO) - N/A]]</f>
        <v>0</v>
      </c>
      <c r="S936" s="402">
        <f ca="1">Table66[[#This Row],[Year 1  (Proposed)]]+Table66[[#This Row],[Year 2 (Proposed)]]+Table66[[#This Row],[Year 3 (Proposed)]]+Table66[[#This Row],[Year 4 (Proposed)]]+Table66[[#This Row],[Year 5 (Proposed)]]+Table66[[#This Row],[Year 6 (Proposed)]]</f>
        <v>0</v>
      </c>
      <c r="T936" s="403" t="b">
        <f ca="1">Table66[[#This Row],[Total Specifed in RFO - N/A]]=Table66[[#This Row],[Total Proposed]]</f>
        <v>1</v>
      </c>
      <c r="U936" s="439"/>
      <c r="V936" s="441">
        <f ca="1">Table66[[#This Row],[Year 6 (Specified in RFO) - N/A]]-Table66[[#This Row],[Column1]]</f>
        <v>0</v>
      </c>
    </row>
    <row r="937" spans="1:22" ht="16.5" thickBot="1">
      <c r="A937" s="227"/>
      <c r="B937" s="319"/>
      <c r="C937" s="319"/>
      <c r="D937" s="320"/>
      <c r="E937" s="320"/>
      <c r="F937" s="190"/>
      <c r="G9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7" s="190"/>
      <c r="I9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7" s="190"/>
      <c r="K9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7" s="190"/>
      <c r="M9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7" s="190"/>
      <c r="O9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7" s="190"/>
      <c r="Q9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7" s="192">
        <f ca="1">Table66[[#This Row],[Year 1 (Specified in RFO) - N/A]]+Table66[[#This Row],[Year 2 (Specified in RFO) - N/A]]+Table66[[#This Row],[Year 3 (Specified in RFO) - N/A]]+Table66[[#This Row],[Year 4 (Specified in RFO) - N/A]]+Table66[[#This Row],[Year 5 (Specified in RFO) - N/A]]+Table66[[#This Row],[Year 6 (Specified in RFO) - N/A]]</f>
        <v>0</v>
      </c>
      <c r="S937" s="402">
        <f ca="1">Table66[[#This Row],[Year 1  (Proposed)]]+Table66[[#This Row],[Year 2 (Proposed)]]+Table66[[#This Row],[Year 3 (Proposed)]]+Table66[[#This Row],[Year 4 (Proposed)]]+Table66[[#This Row],[Year 5 (Proposed)]]+Table66[[#This Row],[Year 6 (Proposed)]]</f>
        <v>0</v>
      </c>
      <c r="T937" s="403" t="b">
        <f ca="1">Table66[[#This Row],[Total Specifed in RFO - N/A]]=Table66[[#This Row],[Total Proposed]]</f>
        <v>1</v>
      </c>
      <c r="U937" s="439"/>
      <c r="V937" s="441">
        <f ca="1">Table66[[#This Row],[Year 6 (Specified in RFO) - N/A]]-Table66[[#This Row],[Column1]]</f>
        <v>0</v>
      </c>
    </row>
    <row r="938" spans="1:22" ht="16.5" thickBot="1">
      <c r="A938" s="227"/>
      <c r="B938" s="319"/>
      <c r="C938" s="319"/>
      <c r="D938" s="320"/>
      <c r="E938" s="320"/>
      <c r="F938" s="190"/>
      <c r="G9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8" s="190"/>
      <c r="I9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8" s="190"/>
      <c r="K9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8" s="190"/>
      <c r="M9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8" s="190"/>
      <c r="O9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8" s="190"/>
      <c r="Q9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8" s="192">
        <f ca="1">Table66[[#This Row],[Year 1 (Specified in RFO) - N/A]]+Table66[[#This Row],[Year 2 (Specified in RFO) - N/A]]+Table66[[#This Row],[Year 3 (Specified in RFO) - N/A]]+Table66[[#This Row],[Year 4 (Specified in RFO) - N/A]]+Table66[[#This Row],[Year 5 (Specified in RFO) - N/A]]+Table66[[#This Row],[Year 6 (Specified in RFO) - N/A]]</f>
        <v>0</v>
      </c>
      <c r="S938" s="402">
        <f ca="1">Table66[[#This Row],[Year 1  (Proposed)]]+Table66[[#This Row],[Year 2 (Proposed)]]+Table66[[#This Row],[Year 3 (Proposed)]]+Table66[[#This Row],[Year 4 (Proposed)]]+Table66[[#This Row],[Year 5 (Proposed)]]+Table66[[#This Row],[Year 6 (Proposed)]]</f>
        <v>0</v>
      </c>
      <c r="T938" s="403" t="b">
        <f ca="1">Table66[[#This Row],[Total Specifed in RFO - N/A]]=Table66[[#This Row],[Total Proposed]]</f>
        <v>1</v>
      </c>
      <c r="U938" s="439"/>
      <c r="V938" s="441">
        <f ca="1">Table66[[#This Row],[Year 6 (Specified in RFO) - N/A]]-Table66[[#This Row],[Column1]]</f>
        <v>0</v>
      </c>
    </row>
    <row r="939" spans="1:22" ht="16.5" thickBot="1">
      <c r="A939" s="227"/>
      <c r="B939" s="319"/>
      <c r="C939" s="319"/>
      <c r="D939" s="320"/>
      <c r="E939" s="320"/>
      <c r="F939" s="190"/>
      <c r="G9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9" s="190"/>
      <c r="I9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9" s="190"/>
      <c r="K9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9" s="190"/>
      <c r="M9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9" s="190"/>
      <c r="O9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9" s="190"/>
      <c r="Q9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9" s="192">
        <f ca="1">Table66[[#This Row],[Year 1 (Specified in RFO) - N/A]]+Table66[[#This Row],[Year 2 (Specified in RFO) - N/A]]+Table66[[#This Row],[Year 3 (Specified in RFO) - N/A]]+Table66[[#This Row],[Year 4 (Specified in RFO) - N/A]]+Table66[[#This Row],[Year 5 (Specified in RFO) - N/A]]+Table66[[#This Row],[Year 6 (Specified in RFO) - N/A]]</f>
        <v>0</v>
      </c>
      <c r="S939" s="402">
        <f ca="1">Table66[[#This Row],[Year 1  (Proposed)]]+Table66[[#This Row],[Year 2 (Proposed)]]+Table66[[#This Row],[Year 3 (Proposed)]]+Table66[[#This Row],[Year 4 (Proposed)]]+Table66[[#This Row],[Year 5 (Proposed)]]+Table66[[#This Row],[Year 6 (Proposed)]]</f>
        <v>0</v>
      </c>
      <c r="T939" s="403" t="b">
        <f ca="1">Table66[[#This Row],[Total Specifed in RFO - N/A]]=Table66[[#This Row],[Total Proposed]]</f>
        <v>1</v>
      </c>
      <c r="U939" s="439"/>
      <c r="V939" s="441">
        <f ca="1">Table66[[#This Row],[Year 6 (Specified in RFO) - N/A]]-Table66[[#This Row],[Column1]]</f>
        <v>0</v>
      </c>
    </row>
    <row r="940" spans="1:22" ht="16.5" thickBot="1">
      <c r="A940" s="227"/>
      <c r="B940" s="319"/>
      <c r="C940" s="319"/>
      <c r="D940" s="320"/>
      <c r="E940" s="320"/>
      <c r="F940" s="190"/>
      <c r="G9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0" s="190"/>
      <c r="I9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0" s="190"/>
      <c r="K9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0" s="190"/>
      <c r="M9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0" s="190"/>
      <c r="O9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0" s="190"/>
      <c r="Q9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0" s="192">
        <f ca="1">Table66[[#This Row],[Year 1 (Specified in RFO) - N/A]]+Table66[[#This Row],[Year 2 (Specified in RFO) - N/A]]+Table66[[#This Row],[Year 3 (Specified in RFO) - N/A]]+Table66[[#This Row],[Year 4 (Specified in RFO) - N/A]]+Table66[[#This Row],[Year 5 (Specified in RFO) - N/A]]+Table66[[#This Row],[Year 6 (Specified in RFO) - N/A]]</f>
        <v>0</v>
      </c>
      <c r="S940" s="402">
        <f ca="1">Table66[[#This Row],[Year 1  (Proposed)]]+Table66[[#This Row],[Year 2 (Proposed)]]+Table66[[#This Row],[Year 3 (Proposed)]]+Table66[[#This Row],[Year 4 (Proposed)]]+Table66[[#This Row],[Year 5 (Proposed)]]+Table66[[#This Row],[Year 6 (Proposed)]]</f>
        <v>0</v>
      </c>
      <c r="T940" s="403" t="b">
        <f ca="1">Table66[[#This Row],[Total Specifed in RFO - N/A]]=Table66[[#This Row],[Total Proposed]]</f>
        <v>1</v>
      </c>
      <c r="U940" s="439"/>
      <c r="V940" s="441">
        <f ca="1">Table66[[#This Row],[Year 6 (Specified in RFO) - N/A]]-Table66[[#This Row],[Column1]]</f>
        <v>0</v>
      </c>
    </row>
    <row r="941" spans="1:22" ht="16.5" thickBot="1">
      <c r="A941" s="227"/>
      <c r="B941" s="319"/>
      <c r="C941" s="319"/>
      <c r="D941" s="320"/>
      <c r="E941" s="320"/>
      <c r="F941" s="190"/>
      <c r="G9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1" s="190"/>
      <c r="I9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1" s="190"/>
      <c r="K9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1" s="190"/>
      <c r="M9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1" s="190"/>
      <c r="O9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1" s="190"/>
      <c r="Q9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1" s="192">
        <f ca="1">Table66[[#This Row],[Year 1 (Specified in RFO) - N/A]]+Table66[[#This Row],[Year 2 (Specified in RFO) - N/A]]+Table66[[#This Row],[Year 3 (Specified in RFO) - N/A]]+Table66[[#This Row],[Year 4 (Specified in RFO) - N/A]]+Table66[[#This Row],[Year 5 (Specified in RFO) - N/A]]+Table66[[#This Row],[Year 6 (Specified in RFO) - N/A]]</f>
        <v>0</v>
      </c>
      <c r="S941" s="402">
        <f ca="1">Table66[[#This Row],[Year 1  (Proposed)]]+Table66[[#This Row],[Year 2 (Proposed)]]+Table66[[#This Row],[Year 3 (Proposed)]]+Table66[[#This Row],[Year 4 (Proposed)]]+Table66[[#This Row],[Year 5 (Proposed)]]+Table66[[#This Row],[Year 6 (Proposed)]]</f>
        <v>0</v>
      </c>
      <c r="T941" s="403" t="b">
        <f ca="1">Table66[[#This Row],[Total Specifed in RFO - N/A]]=Table66[[#This Row],[Total Proposed]]</f>
        <v>1</v>
      </c>
      <c r="U941" s="439"/>
      <c r="V941" s="441">
        <f ca="1">Table66[[#This Row],[Year 6 (Specified in RFO) - N/A]]-Table66[[#This Row],[Column1]]</f>
        <v>0</v>
      </c>
    </row>
    <row r="942" spans="1:22" ht="16.5" thickBot="1">
      <c r="A942" s="227"/>
      <c r="B942" s="319"/>
      <c r="C942" s="319"/>
      <c r="D942" s="320"/>
      <c r="E942" s="320"/>
      <c r="F942" s="190"/>
      <c r="G9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2" s="190"/>
      <c r="I9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2" s="190"/>
      <c r="K9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2" s="190"/>
      <c r="M9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2" s="190"/>
      <c r="O9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2" s="190"/>
      <c r="Q9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2" s="192">
        <f ca="1">Table66[[#This Row],[Year 1 (Specified in RFO) - N/A]]+Table66[[#This Row],[Year 2 (Specified in RFO) - N/A]]+Table66[[#This Row],[Year 3 (Specified in RFO) - N/A]]+Table66[[#This Row],[Year 4 (Specified in RFO) - N/A]]+Table66[[#This Row],[Year 5 (Specified in RFO) - N/A]]+Table66[[#This Row],[Year 6 (Specified in RFO) - N/A]]</f>
        <v>0</v>
      </c>
      <c r="S942" s="402">
        <f ca="1">Table66[[#This Row],[Year 1  (Proposed)]]+Table66[[#This Row],[Year 2 (Proposed)]]+Table66[[#This Row],[Year 3 (Proposed)]]+Table66[[#This Row],[Year 4 (Proposed)]]+Table66[[#This Row],[Year 5 (Proposed)]]+Table66[[#This Row],[Year 6 (Proposed)]]</f>
        <v>0</v>
      </c>
      <c r="T942" s="403" t="b">
        <f ca="1">Table66[[#This Row],[Total Specifed in RFO - N/A]]=Table66[[#This Row],[Total Proposed]]</f>
        <v>1</v>
      </c>
      <c r="U942" s="439"/>
      <c r="V942" s="441">
        <f ca="1">Table66[[#This Row],[Year 6 (Specified in RFO) - N/A]]-Table66[[#This Row],[Column1]]</f>
        <v>0</v>
      </c>
    </row>
    <row r="943" spans="1:22" ht="16.5" thickBot="1">
      <c r="A943" s="227"/>
      <c r="B943" s="319"/>
      <c r="C943" s="319"/>
      <c r="D943" s="320"/>
      <c r="E943" s="320"/>
      <c r="F943" s="190"/>
      <c r="G9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3" s="190"/>
      <c r="I9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3" s="190"/>
      <c r="K9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3" s="190"/>
      <c r="M9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3" s="190"/>
      <c r="O9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3" s="190"/>
      <c r="Q9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3" s="192">
        <f ca="1">Table66[[#This Row],[Year 1 (Specified in RFO) - N/A]]+Table66[[#This Row],[Year 2 (Specified in RFO) - N/A]]+Table66[[#This Row],[Year 3 (Specified in RFO) - N/A]]+Table66[[#This Row],[Year 4 (Specified in RFO) - N/A]]+Table66[[#This Row],[Year 5 (Specified in RFO) - N/A]]+Table66[[#This Row],[Year 6 (Specified in RFO) - N/A]]</f>
        <v>0</v>
      </c>
      <c r="S943" s="402">
        <f ca="1">Table66[[#This Row],[Year 1  (Proposed)]]+Table66[[#This Row],[Year 2 (Proposed)]]+Table66[[#This Row],[Year 3 (Proposed)]]+Table66[[#This Row],[Year 4 (Proposed)]]+Table66[[#This Row],[Year 5 (Proposed)]]+Table66[[#This Row],[Year 6 (Proposed)]]</f>
        <v>0</v>
      </c>
      <c r="T943" s="403" t="b">
        <f ca="1">Table66[[#This Row],[Total Specifed in RFO - N/A]]=Table66[[#This Row],[Total Proposed]]</f>
        <v>1</v>
      </c>
      <c r="U943" s="439"/>
      <c r="V943" s="441">
        <f ca="1">Table66[[#This Row],[Year 6 (Specified in RFO) - N/A]]-Table66[[#This Row],[Column1]]</f>
        <v>0</v>
      </c>
    </row>
    <row r="944" spans="1:22" ht="16.5" thickBot="1">
      <c r="A944" s="227"/>
      <c r="B944" s="319"/>
      <c r="C944" s="319"/>
      <c r="D944" s="320"/>
      <c r="E944" s="320"/>
      <c r="F944" s="190"/>
      <c r="G9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4" s="190"/>
      <c r="I9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4" s="190"/>
      <c r="K9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4" s="190"/>
      <c r="M9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4" s="190"/>
      <c r="O9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4" s="190"/>
      <c r="Q9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4" s="192">
        <f ca="1">Table66[[#This Row],[Year 1 (Specified in RFO) - N/A]]+Table66[[#This Row],[Year 2 (Specified in RFO) - N/A]]+Table66[[#This Row],[Year 3 (Specified in RFO) - N/A]]+Table66[[#This Row],[Year 4 (Specified in RFO) - N/A]]+Table66[[#This Row],[Year 5 (Specified in RFO) - N/A]]+Table66[[#This Row],[Year 6 (Specified in RFO) - N/A]]</f>
        <v>0</v>
      </c>
      <c r="S944" s="402">
        <f ca="1">Table66[[#This Row],[Year 1  (Proposed)]]+Table66[[#This Row],[Year 2 (Proposed)]]+Table66[[#This Row],[Year 3 (Proposed)]]+Table66[[#This Row],[Year 4 (Proposed)]]+Table66[[#This Row],[Year 5 (Proposed)]]+Table66[[#This Row],[Year 6 (Proposed)]]</f>
        <v>0</v>
      </c>
      <c r="T944" s="403" t="b">
        <f ca="1">Table66[[#This Row],[Total Specifed in RFO - N/A]]=Table66[[#This Row],[Total Proposed]]</f>
        <v>1</v>
      </c>
      <c r="U944" s="439"/>
      <c r="V944" s="441">
        <f ca="1">Table66[[#This Row],[Year 6 (Specified in RFO) - N/A]]-Table66[[#This Row],[Column1]]</f>
        <v>0</v>
      </c>
    </row>
    <row r="945" spans="1:22" ht="16.5" thickBot="1">
      <c r="A945" s="227"/>
      <c r="B945" s="319"/>
      <c r="C945" s="319"/>
      <c r="D945" s="320"/>
      <c r="E945" s="320"/>
      <c r="F945" s="190"/>
      <c r="G9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5" s="190"/>
      <c r="I9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5" s="190"/>
      <c r="K9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5" s="190"/>
      <c r="M9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5" s="190"/>
      <c r="O9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5" s="190"/>
      <c r="Q9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5" s="192">
        <f ca="1">Table66[[#This Row],[Year 1 (Specified in RFO) - N/A]]+Table66[[#This Row],[Year 2 (Specified in RFO) - N/A]]+Table66[[#This Row],[Year 3 (Specified in RFO) - N/A]]+Table66[[#This Row],[Year 4 (Specified in RFO) - N/A]]+Table66[[#This Row],[Year 5 (Specified in RFO) - N/A]]+Table66[[#This Row],[Year 6 (Specified in RFO) - N/A]]</f>
        <v>0</v>
      </c>
      <c r="S945" s="402">
        <f ca="1">Table66[[#This Row],[Year 1  (Proposed)]]+Table66[[#This Row],[Year 2 (Proposed)]]+Table66[[#This Row],[Year 3 (Proposed)]]+Table66[[#This Row],[Year 4 (Proposed)]]+Table66[[#This Row],[Year 5 (Proposed)]]+Table66[[#This Row],[Year 6 (Proposed)]]</f>
        <v>0</v>
      </c>
      <c r="T945" s="403" t="b">
        <f ca="1">Table66[[#This Row],[Total Specifed in RFO - N/A]]=Table66[[#This Row],[Total Proposed]]</f>
        <v>1</v>
      </c>
      <c r="U945" s="439"/>
      <c r="V945" s="441">
        <f ca="1">Table66[[#This Row],[Year 6 (Specified in RFO) - N/A]]-Table66[[#This Row],[Column1]]</f>
        <v>0</v>
      </c>
    </row>
    <row r="946" spans="1:22" ht="16.5" thickBot="1">
      <c r="A946" s="227"/>
      <c r="B946" s="319"/>
      <c r="C946" s="319"/>
      <c r="D946" s="320"/>
      <c r="E946" s="320"/>
      <c r="F946" s="190"/>
      <c r="G9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6" s="190"/>
      <c r="I9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6" s="190"/>
      <c r="K9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6" s="190"/>
      <c r="M9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6" s="190"/>
      <c r="O9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6" s="190"/>
      <c r="Q9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6" s="192">
        <f ca="1">Table66[[#This Row],[Year 1 (Specified in RFO) - N/A]]+Table66[[#This Row],[Year 2 (Specified in RFO) - N/A]]+Table66[[#This Row],[Year 3 (Specified in RFO) - N/A]]+Table66[[#This Row],[Year 4 (Specified in RFO) - N/A]]+Table66[[#This Row],[Year 5 (Specified in RFO) - N/A]]+Table66[[#This Row],[Year 6 (Specified in RFO) - N/A]]</f>
        <v>0</v>
      </c>
      <c r="S946" s="402">
        <f ca="1">Table66[[#This Row],[Year 1  (Proposed)]]+Table66[[#This Row],[Year 2 (Proposed)]]+Table66[[#This Row],[Year 3 (Proposed)]]+Table66[[#This Row],[Year 4 (Proposed)]]+Table66[[#This Row],[Year 5 (Proposed)]]+Table66[[#This Row],[Year 6 (Proposed)]]</f>
        <v>0</v>
      </c>
      <c r="T946" s="403" t="b">
        <f ca="1">Table66[[#This Row],[Total Specifed in RFO - N/A]]=Table66[[#This Row],[Total Proposed]]</f>
        <v>1</v>
      </c>
      <c r="U946" s="439"/>
      <c r="V946" s="441">
        <f ca="1">Table66[[#This Row],[Year 6 (Specified in RFO) - N/A]]-Table66[[#This Row],[Column1]]</f>
        <v>0</v>
      </c>
    </row>
    <row r="947" spans="1:22" ht="16.5" thickBot="1">
      <c r="A947" s="227"/>
      <c r="B947" s="319"/>
      <c r="C947" s="319"/>
      <c r="D947" s="320"/>
      <c r="E947" s="320"/>
      <c r="F947" s="190"/>
      <c r="G9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7" s="190"/>
      <c r="I9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7" s="190"/>
      <c r="K9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7" s="190"/>
      <c r="M9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7" s="190"/>
      <c r="O9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7" s="190"/>
      <c r="Q9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7" s="192">
        <f ca="1">Table66[[#This Row],[Year 1 (Specified in RFO) - N/A]]+Table66[[#This Row],[Year 2 (Specified in RFO) - N/A]]+Table66[[#This Row],[Year 3 (Specified in RFO) - N/A]]+Table66[[#This Row],[Year 4 (Specified in RFO) - N/A]]+Table66[[#This Row],[Year 5 (Specified in RFO) - N/A]]+Table66[[#This Row],[Year 6 (Specified in RFO) - N/A]]</f>
        <v>0</v>
      </c>
      <c r="S947" s="402">
        <f ca="1">Table66[[#This Row],[Year 1  (Proposed)]]+Table66[[#This Row],[Year 2 (Proposed)]]+Table66[[#This Row],[Year 3 (Proposed)]]+Table66[[#This Row],[Year 4 (Proposed)]]+Table66[[#This Row],[Year 5 (Proposed)]]+Table66[[#This Row],[Year 6 (Proposed)]]</f>
        <v>0</v>
      </c>
      <c r="T947" s="403" t="b">
        <f ca="1">Table66[[#This Row],[Total Specifed in RFO - N/A]]=Table66[[#This Row],[Total Proposed]]</f>
        <v>1</v>
      </c>
      <c r="U947" s="439"/>
      <c r="V947" s="441">
        <f ca="1">Table66[[#This Row],[Year 6 (Specified in RFO) - N/A]]-Table66[[#This Row],[Column1]]</f>
        <v>0</v>
      </c>
    </row>
    <row r="948" spans="1:22" ht="16.5" thickBot="1">
      <c r="A948" s="227"/>
      <c r="B948" s="319"/>
      <c r="C948" s="319"/>
      <c r="D948" s="320"/>
      <c r="E948" s="320"/>
      <c r="F948" s="190"/>
      <c r="G9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8" s="190"/>
      <c r="I9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8" s="190"/>
      <c r="K9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8" s="190"/>
      <c r="M9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8" s="190"/>
      <c r="O9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8" s="190"/>
      <c r="Q9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8" s="192">
        <f ca="1">Table66[[#This Row],[Year 1 (Specified in RFO) - N/A]]+Table66[[#This Row],[Year 2 (Specified in RFO) - N/A]]+Table66[[#This Row],[Year 3 (Specified in RFO) - N/A]]+Table66[[#This Row],[Year 4 (Specified in RFO) - N/A]]+Table66[[#This Row],[Year 5 (Specified in RFO) - N/A]]+Table66[[#This Row],[Year 6 (Specified in RFO) - N/A]]</f>
        <v>0</v>
      </c>
      <c r="S948" s="402">
        <f ca="1">Table66[[#This Row],[Year 1  (Proposed)]]+Table66[[#This Row],[Year 2 (Proposed)]]+Table66[[#This Row],[Year 3 (Proposed)]]+Table66[[#This Row],[Year 4 (Proposed)]]+Table66[[#This Row],[Year 5 (Proposed)]]+Table66[[#This Row],[Year 6 (Proposed)]]</f>
        <v>0</v>
      </c>
      <c r="T948" s="403" t="b">
        <f ca="1">Table66[[#This Row],[Total Specifed in RFO - N/A]]=Table66[[#This Row],[Total Proposed]]</f>
        <v>1</v>
      </c>
      <c r="U948" s="439"/>
      <c r="V948" s="441">
        <f ca="1">Table66[[#This Row],[Year 6 (Specified in RFO) - N/A]]-Table66[[#This Row],[Column1]]</f>
        <v>0</v>
      </c>
    </row>
    <row r="949" spans="1:22" ht="16.5" thickBot="1">
      <c r="A949" s="227"/>
      <c r="B949" s="319"/>
      <c r="C949" s="319"/>
      <c r="D949" s="320"/>
      <c r="E949" s="320"/>
      <c r="F949" s="190"/>
      <c r="G9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9" s="190"/>
      <c r="I9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9" s="190"/>
      <c r="K9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9" s="190"/>
      <c r="M9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9" s="190"/>
      <c r="O9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9" s="190"/>
      <c r="Q9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9" s="192">
        <f ca="1">Table66[[#This Row],[Year 1 (Specified in RFO) - N/A]]+Table66[[#This Row],[Year 2 (Specified in RFO) - N/A]]+Table66[[#This Row],[Year 3 (Specified in RFO) - N/A]]+Table66[[#This Row],[Year 4 (Specified in RFO) - N/A]]+Table66[[#This Row],[Year 5 (Specified in RFO) - N/A]]+Table66[[#This Row],[Year 6 (Specified in RFO) - N/A]]</f>
        <v>0</v>
      </c>
      <c r="S949" s="402">
        <f ca="1">Table66[[#This Row],[Year 1  (Proposed)]]+Table66[[#This Row],[Year 2 (Proposed)]]+Table66[[#This Row],[Year 3 (Proposed)]]+Table66[[#This Row],[Year 4 (Proposed)]]+Table66[[#This Row],[Year 5 (Proposed)]]+Table66[[#This Row],[Year 6 (Proposed)]]</f>
        <v>0</v>
      </c>
      <c r="T949" s="403" t="b">
        <f ca="1">Table66[[#This Row],[Total Specifed in RFO - N/A]]=Table66[[#This Row],[Total Proposed]]</f>
        <v>1</v>
      </c>
      <c r="U949" s="439"/>
      <c r="V949" s="441">
        <f ca="1">Table66[[#This Row],[Year 6 (Specified in RFO) - N/A]]-Table66[[#This Row],[Column1]]</f>
        <v>0</v>
      </c>
    </row>
    <row r="950" spans="1:22" ht="16.5" thickBot="1">
      <c r="A950" s="227"/>
      <c r="B950" s="319"/>
      <c r="C950" s="319"/>
      <c r="D950" s="320"/>
      <c r="E950" s="320"/>
      <c r="F950" s="190"/>
      <c r="G9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0" s="190"/>
      <c r="I9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0" s="190"/>
      <c r="K9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0" s="190"/>
      <c r="M9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0" s="190"/>
      <c r="O9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0" s="190"/>
      <c r="Q9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0" s="192">
        <f ca="1">Table66[[#This Row],[Year 1 (Specified in RFO) - N/A]]+Table66[[#This Row],[Year 2 (Specified in RFO) - N/A]]+Table66[[#This Row],[Year 3 (Specified in RFO) - N/A]]+Table66[[#This Row],[Year 4 (Specified in RFO) - N/A]]+Table66[[#This Row],[Year 5 (Specified in RFO) - N/A]]+Table66[[#This Row],[Year 6 (Specified in RFO) - N/A]]</f>
        <v>0</v>
      </c>
      <c r="S950" s="402">
        <f ca="1">Table66[[#This Row],[Year 1  (Proposed)]]+Table66[[#This Row],[Year 2 (Proposed)]]+Table66[[#This Row],[Year 3 (Proposed)]]+Table66[[#This Row],[Year 4 (Proposed)]]+Table66[[#This Row],[Year 5 (Proposed)]]+Table66[[#This Row],[Year 6 (Proposed)]]</f>
        <v>0</v>
      </c>
      <c r="T950" s="403" t="b">
        <f ca="1">Table66[[#This Row],[Total Specifed in RFO - N/A]]=Table66[[#This Row],[Total Proposed]]</f>
        <v>1</v>
      </c>
      <c r="U950" s="439"/>
      <c r="V950" s="441">
        <f ca="1">Table66[[#This Row],[Year 6 (Specified in RFO) - N/A]]-Table66[[#This Row],[Column1]]</f>
        <v>0</v>
      </c>
    </row>
    <row r="951" spans="1:22" ht="16.5" thickBot="1">
      <c r="A951" s="227"/>
      <c r="B951" s="319"/>
      <c r="C951" s="319"/>
      <c r="D951" s="320"/>
      <c r="E951" s="320"/>
      <c r="F951" s="190"/>
      <c r="G9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1" s="190"/>
      <c r="I9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1" s="190"/>
      <c r="K9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1" s="190"/>
      <c r="M9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1" s="190"/>
      <c r="O9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1" s="190"/>
      <c r="Q9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1" s="192">
        <f ca="1">Table66[[#This Row],[Year 1 (Specified in RFO) - N/A]]+Table66[[#This Row],[Year 2 (Specified in RFO) - N/A]]+Table66[[#This Row],[Year 3 (Specified in RFO) - N/A]]+Table66[[#This Row],[Year 4 (Specified in RFO) - N/A]]+Table66[[#This Row],[Year 5 (Specified in RFO) - N/A]]+Table66[[#This Row],[Year 6 (Specified in RFO) - N/A]]</f>
        <v>0</v>
      </c>
      <c r="S951" s="402">
        <f ca="1">Table66[[#This Row],[Year 1  (Proposed)]]+Table66[[#This Row],[Year 2 (Proposed)]]+Table66[[#This Row],[Year 3 (Proposed)]]+Table66[[#This Row],[Year 4 (Proposed)]]+Table66[[#This Row],[Year 5 (Proposed)]]+Table66[[#This Row],[Year 6 (Proposed)]]</f>
        <v>0</v>
      </c>
      <c r="T951" s="403" t="b">
        <f ca="1">Table66[[#This Row],[Total Specifed in RFO - N/A]]=Table66[[#This Row],[Total Proposed]]</f>
        <v>1</v>
      </c>
      <c r="U951" s="439"/>
      <c r="V951" s="441">
        <f ca="1">Table66[[#This Row],[Year 6 (Specified in RFO) - N/A]]-Table66[[#This Row],[Column1]]</f>
        <v>0</v>
      </c>
    </row>
    <row r="952" spans="1:22" ht="16.5" thickBot="1">
      <c r="A952" s="227"/>
      <c r="B952" s="319"/>
      <c r="C952" s="319"/>
      <c r="D952" s="320"/>
      <c r="E952" s="320"/>
      <c r="F952" s="190"/>
      <c r="G9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2" s="190"/>
      <c r="I9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2" s="190"/>
      <c r="K9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2" s="190"/>
      <c r="M9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2" s="190"/>
      <c r="O9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2" s="190"/>
      <c r="Q9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2" s="192">
        <f ca="1">Table66[[#This Row],[Year 1 (Specified in RFO) - N/A]]+Table66[[#This Row],[Year 2 (Specified in RFO) - N/A]]+Table66[[#This Row],[Year 3 (Specified in RFO) - N/A]]+Table66[[#This Row],[Year 4 (Specified in RFO) - N/A]]+Table66[[#This Row],[Year 5 (Specified in RFO) - N/A]]+Table66[[#This Row],[Year 6 (Specified in RFO) - N/A]]</f>
        <v>0</v>
      </c>
      <c r="S952" s="402">
        <f ca="1">Table66[[#This Row],[Year 1  (Proposed)]]+Table66[[#This Row],[Year 2 (Proposed)]]+Table66[[#This Row],[Year 3 (Proposed)]]+Table66[[#This Row],[Year 4 (Proposed)]]+Table66[[#This Row],[Year 5 (Proposed)]]+Table66[[#This Row],[Year 6 (Proposed)]]</f>
        <v>0</v>
      </c>
      <c r="T952" s="403" t="b">
        <f ca="1">Table66[[#This Row],[Total Specifed in RFO - N/A]]=Table66[[#This Row],[Total Proposed]]</f>
        <v>1</v>
      </c>
      <c r="U952" s="439"/>
      <c r="V952" s="441">
        <f ca="1">Table66[[#This Row],[Year 6 (Specified in RFO) - N/A]]-Table66[[#This Row],[Column1]]</f>
        <v>0</v>
      </c>
    </row>
    <row r="953" spans="1:22" ht="16.5" thickBot="1">
      <c r="A953" s="227"/>
      <c r="B953" s="319"/>
      <c r="C953" s="319"/>
      <c r="D953" s="320"/>
      <c r="E953" s="320"/>
      <c r="F953" s="190"/>
      <c r="G9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3" s="190"/>
      <c r="I9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3" s="190"/>
      <c r="K9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3" s="190"/>
      <c r="M9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3" s="190"/>
      <c r="O9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3" s="190"/>
      <c r="Q9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3" s="192">
        <f ca="1">Table66[[#This Row],[Year 1 (Specified in RFO) - N/A]]+Table66[[#This Row],[Year 2 (Specified in RFO) - N/A]]+Table66[[#This Row],[Year 3 (Specified in RFO) - N/A]]+Table66[[#This Row],[Year 4 (Specified in RFO) - N/A]]+Table66[[#This Row],[Year 5 (Specified in RFO) - N/A]]+Table66[[#This Row],[Year 6 (Specified in RFO) - N/A]]</f>
        <v>0</v>
      </c>
      <c r="S953" s="402">
        <f ca="1">Table66[[#This Row],[Year 1  (Proposed)]]+Table66[[#This Row],[Year 2 (Proposed)]]+Table66[[#This Row],[Year 3 (Proposed)]]+Table66[[#This Row],[Year 4 (Proposed)]]+Table66[[#This Row],[Year 5 (Proposed)]]+Table66[[#This Row],[Year 6 (Proposed)]]</f>
        <v>0</v>
      </c>
      <c r="T953" s="403" t="b">
        <f ca="1">Table66[[#This Row],[Total Specifed in RFO - N/A]]=Table66[[#This Row],[Total Proposed]]</f>
        <v>1</v>
      </c>
      <c r="U953" s="439"/>
      <c r="V953" s="441">
        <f ca="1">Table66[[#This Row],[Year 6 (Specified in RFO) - N/A]]-Table66[[#This Row],[Column1]]</f>
        <v>0</v>
      </c>
    </row>
    <row r="954" spans="1:22" ht="16.5" thickBot="1">
      <c r="A954" s="227"/>
      <c r="B954" s="319"/>
      <c r="C954" s="319"/>
      <c r="D954" s="320"/>
      <c r="E954" s="320"/>
      <c r="F954" s="190"/>
      <c r="G9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4" s="190"/>
      <c r="I9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4" s="190"/>
      <c r="K9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4" s="190"/>
      <c r="M9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4" s="190"/>
      <c r="O9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4" s="190"/>
      <c r="Q9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4" s="192">
        <f ca="1">Table66[[#This Row],[Year 1 (Specified in RFO) - N/A]]+Table66[[#This Row],[Year 2 (Specified in RFO) - N/A]]+Table66[[#This Row],[Year 3 (Specified in RFO) - N/A]]+Table66[[#This Row],[Year 4 (Specified in RFO) - N/A]]+Table66[[#This Row],[Year 5 (Specified in RFO) - N/A]]+Table66[[#This Row],[Year 6 (Specified in RFO) - N/A]]</f>
        <v>0</v>
      </c>
      <c r="S954" s="402">
        <f ca="1">Table66[[#This Row],[Year 1  (Proposed)]]+Table66[[#This Row],[Year 2 (Proposed)]]+Table66[[#This Row],[Year 3 (Proposed)]]+Table66[[#This Row],[Year 4 (Proposed)]]+Table66[[#This Row],[Year 5 (Proposed)]]+Table66[[#This Row],[Year 6 (Proposed)]]</f>
        <v>0</v>
      </c>
      <c r="T954" s="403" t="b">
        <f ca="1">Table66[[#This Row],[Total Specifed in RFO - N/A]]=Table66[[#This Row],[Total Proposed]]</f>
        <v>1</v>
      </c>
      <c r="U954" s="439"/>
      <c r="V954" s="441">
        <f ca="1">Table66[[#This Row],[Year 6 (Specified in RFO) - N/A]]-Table66[[#This Row],[Column1]]</f>
        <v>0</v>
      </c>
    </row>
    <row r="955" spans="1:22" ht="16.5" thickBot="1">
      <c r="A955" s="319"/>
      <c r="B955" s="319"/>
      <c r="C955" s="319"/>
      <c r="D955" s="320"/>
      <c r="E955" s="320"/>
      <c r="F955" s="190"/>
      <c r="G9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5" s="190"/>
      <c r="I9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5" s="190"/>
      <c r="K9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5" s="190"/>
      <c r="M9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5" s="190"/>
      <c r="O9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5" s="190"/>
      <c r="Q9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5" s="192">
        <f ca="1">Table66[[#This Row],[Year 1 (Specified in RFO) - N/A]]+Table66[[#This Row],[Year 2 (Specified in RFO) - N/A]]+Table66[[#This Row],[Year 3 (Specified in RFO) - N/A]]+Table66[[#This Row],[Year 4 (Specified in RFO) - N/A]]+Table66[[#This Row],[Year 5 (Specified in RFO) - N/A]]+Table66[[#This Row],[Year 6 (Specified in RFO) - N/A]]</f>
        <v>0</v>
      </c>
      <c r="S955" s="402">
        <f ca="1">Table66[[#This Row],[Year 1  (Proposed)]]+Table66[[#This Row],[Year 2 (Proposed)]]+Table66[[#This Row],[Year 3 (Proposed)]]+Table66[[#This Row],[Year 4 (Proposed)]]+Table66[[#This Row],[Year 5 (Proposed)]]+Table66[[#This Row],[Year 6 (Proposed)]]</f>
        <v>0</v>
      </c>
      <c r="T955" s="403" t="b">
        <f ca="1">Table66[[#This Row],[Total Specifed in RFO - N/A]]=Table66[[#This Row],[Total Proposed]]</f>
        <v>1</v>
      </c>
      <c r="U955" s="439"/>
      <c r="V955" s="441">
        <f ca="1">Table66[[#This Row],[Year 6 (Specified in RFO) - N/A]]-Table66[[#This Row],[Column1]]</f>
        <v>0</v>
      </c>
    </row>
    <row r="956" spans="1:22" ht="16.5" thickBot="1">
      <c r="A956" s="227"/>
      <c r="B956" s="227"/>
      <c r="C956" s="227"/>
      <c r="D956" s="320"/>
      <c r="E956" s="231"/>
      <c r="F956" s="190"/>
      <c r="G9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6" s="190"/>
      <c r="I9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6" s="190"/>
      <c r="K9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6" s="190"/>
      <c r="M9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6" s="190"/>
      <c r="O9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6" s="190"/>
      <c r="Q9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6" s="192">
        <f ca="1">Table66[[#This Row],[Year 1 (Specified in RFO) - N/A]]+Table66[[#This Row],[Year 2 (Specified in RFO) - N/A]]+Table66[[#This Row],[Year 3 (Specified in RFO) - N/A]]+Table66[[#This Row],[Year 4 (Specified in RFO) - N/A]]+Table66[[#This Row],[Year 5 (Specified in RFO) - N/A]]+Table66[[#This Row],[Year 6 (Specified in RFO) - N/A]]</f>
        <v>0</v>
      </c>
      <c r="S956" s="402">
        <f ca="1">Table66[[#This Row],[Year 1  (Proposed)]]+Table66[[#This Row],[Year 2 (Proposed)]]+Table66[[#This Row],[Year 3 (Proposed)]]+Table66[[#This Row],[Year 4 (Proposed)]]+Table66[[#This Row],[Year 5 (Proposed)]]+Table66[[#This Row],[Year 6 (Proposed)]]</f>
        <v>0</v>
      </c>
      <c r="T956" s="403" t="b">
        <f ca="1">Table66[[#This Row],[Total Specifed in RFO - N/A]]=Table66[[#This Row],[Total Proposed]]</f>
        <v>1</v>
      </c>
      <c r="U956" s="439"/>
      <c r="V956" s="441">
        <f ca="1">Table66[[#This Row],[Year 6 (Specified in RFO) - N/A]]-Table66[[#This Row],[Column1]]</f>
        <v>0</v>
      </c>
    </row>
    <row r="957" spans="1:22" ht="16.5" thickBot="1">
      <c r="A957" s="227"/>
      <c r="B957" s="319"/>
      <c r="C957" s="319"/>
      <c r="D957" s="320"/>
      <c r="E957" s="320"/>
      <c r="F957" s="190"/>
      <c r="G9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7" s="190"/>
      <c r="I9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7" s="190"/>
      <c r="K9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7" s="190"/>
      <c r="M9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7" s="190"/>
      <c r="O9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7" s="190"/>
      <c r="Q9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7" s="192">
        <f ca="1">Table66[[#This Row],[Year 1 (Specified in RFO) - N/A]]+Table66[[#This Row],[Year 2 (Specified in RFO) - N/A]]+Table66[[#This Row],[Year 3 (Specified in RFO) - N/A]]+Table66[[#This Row],[Year 4 (Specified in RFO) - N/A]]+Table66[[#This Row],[Year 5 (Specified in RFO) - N/A]]+Table66[[#This Row],[Year 6 (Specified in RFO) - N/A]]</f>
        <v>0</v>
      </c>
      <c r="S957" s="402">
        <f ca="1">Table66[[#This Row],[Year 1  (Proposed)]]+Table66[[#This Row],[Year 2 (Proposed)]]+Table66[[#This Row],[Year 3 (Proposed)]]+Table66[[#This Row],[Year 4 (Proposed)]]+Table66[[#This Row],[Year 5 (Proposed)]]+Table66[[#This Row],[Year 6 (Proposed)]]</f>
        <v>0</v>
      </c>
      <c r="T957" s="403" t="b">
        <f ca="1">Table66[[#This Row],[Total Specifed in RFO - N/A]]=Table66[[#This Row],[Total Proposed]]</f>
        <v>1</v>
      </c>
      <c r="U957" s="439"/>
      <c r="V957" s="441">
        <f ca="1">Table66[[#This Row],[Year 6 (Specified in RFO) - N/A]]-Table66[[#This Row],[Column1]]</f>
        <v>0</v>
      </c>
    </row>
    <row r="958" spans="1:22" ht="16.5" thickBot="1">
      <c r="A958" s="319"/>
      <c r="B958" s="319"/>
      <c r="C958" s="319"/>
      <c r="D958" s="320"/>
      <c r="E958" s="320"/>
      <c r="F958" s="190"/>
      <c r="G9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8" s="190"/>
      <c r="I9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8" s="190"/>
      <c r="K9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8" s="190"/>
      <c r="M9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8" s="190"/>
      <c r="O9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8" s="190"/>
      <c r="Q9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8" s="192">
        <f ca="1">Table66[[#This Row],[Year 1 (Specified in RFO) - N/A]]+Table66[[#This Row],[Year 2 (Specified in RFO) - N/A]]+Table66[[#This Row],[Year 3 (Specified in RFO) - N/A]]+Table66[[#This Row],[Year 4 (Specified in RFO) - N/A]]+Table66[[#This Row],[Year 5 (Specified in RFO) - N/A]]+Table66[[#This Row],[Year 6 (Specified in RFO) - N/A]]</f>
        <v>0</v>
      </c>
      <c r="S958" s="402">
        <f ca="1">Table66[[#This Row],[Year 1  (Proposed)]]+Table66[[#This Row],[Year 2 (Proposed)]]+Table66[[#This Row],[Year 3 (Proposed)]]+Table66[[#This Row],[Year 4 (Proposed)]]+Table66[[#This Row],[Year 5 (Proposed)]]+Table66[[#This Row],[Year 6 (Proposed)]]</f>
        <v>0</v>
      </c>
      <c r="T958" s="403" t="b">
        <f ca="1">Table66[[#This Row],[Total Specifed in RFO - N/A]]=Table66[[#This Row],[Total Proposed]]</f>
        <v>1</v>
      </c>
      <c r="U958" s="439"/>
      <c r="V958" s="441">
        <f ca="1">Table66[[#This Row],[Year 6 (Specified in RFO) - N/A]]-Table66[[#This Row],[Column1]]</f>
        <v>0</v>
      </c>
    </row>
    <row r="959" spans="1:22" ht="16.5" thickBot="1">
      <c r="A959" s="227"/>
      <c r="B959" s="227"/>
      <c r="C959" s="227"/>
      <c r="D959" s="320"/>
      <c r="E959" s="231"/>
      <c r="F959" s="190"/>
      <c r="G9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9" s="190"/>
      <c r="I9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9" s="190"/>
      <c r="K9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9" s="190"/>
      <c r="M9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9" s="190"/>
      <c r="O9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9" s="190"/>
      <c r="Q9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9" s="192">
        <f ca="1">Table66[[#This Row],[Year 1 (Specified in RFO) - N/A]]+Table66[[#This Row],[Year 2 (Specified in RFO) - N/A]]+Table66[[#This Row],[Year 3 (Specified in RFO) - N/A]]+Table66[[#This Row],[Year 4 (Specified in RFO) - N/A]]+Table66[[#This Row],[Year 5 (Specified in RFO) - N/A]]+Table66[[#This Row],[Year 6 (Specified in RFO) - N/A]]</f>
        <v>0</v>
      </c>
      <c r="S959" s="402">
        <f ca="1">Table66[[#This Row],[Year 1  (Proposed)]]+Table66[[#This Row],[Year 2 (Proposed)]]+Table66[[#This Row],[Year 3 (Proposed)]]+Table66[[#This Row],[Year 4 (Proposed)]]+Table66[[#This Row],[Year 5 (Proposed)]]+Table66[[#This Row],[Year 6 (Proposed)]]</f>
        <v>0</v>
      </c>
      <c r="T959" s="403" t="b">
        <f ca="1">Table66[[#This Row],[Total Specifed in RFO - N/A]]=Table66[[#This Row],[Total Proposed]]</f>
        <v>1</v>
      </c>
      <c r="U959" s="439"/>
      <c r="V959" s="441">
        <f ca="1">Table66[[#This Row],[Year 6 (Specified in RFO) - N/A]]-Table66[[#This Row],[Column1]]</f>
        <v>0</v>
      </c>
    </row>
    <row r="960" spans="1:22" ht="16.5" thickBot="1">
      <c r="A960" s="227"/>
      <c r="B960" s="319"/>
      <c r="C960" s="319"/>
      <c r="D960" s="320"/>
      <c r="E960" s="320"/>
      <c r="F960" s="190"/>
      <c r="G9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0" s="190"/>
      <c r="I9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0" s="190"/>
      <c r="K9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0" s="190"/>
      <c r="M9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0" s="190"/>
      <c r="O9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0" s="190"/>
      <c r="Q9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0" s="192">
        <f ca="1">Table66[[#This Row],[Year 1 (Specified in RFO) - N/A]]+Table66[[#This Row],[Year 2 (Specified in RFO) - N/A]]+Table66[[#This Row],[Year 3 (Specified in RFO) - N/A]]+Table66[[#This Row],[Year 4 (Specified in RFO) - N/A]]+Table66[[#This Row],[Year 5 (Specified in RFO) - N/A]]+Table66[[#This Row],[Year 6 (Specified in RFO) - N/A]]</f>
        <v>0</v>
      </c>
      <c r="S960" s="402">
        <f ca="1">Table66[[#This Row],[Year 1  (Proposed)]]+Table66[[#This Row],[Year 2 (Proposed)]]+Table66[[#This Row],[Year 3 (Proposed)]]+Table66[[#This Row],[Year 4 (Proposed)]]+Table66[[#This Row],[Year 5 (Proposed)]]+Table66[[#This Row],[Year 6 (Proposed)]]</f>
        <v>0</v>
      </c>
      <c r="T960" s="403" t="b">
        <f ca="1">Table66[[#This Row],[Total Specifed in RFO - N/A]]=Table66[[#This Row],[Total Proposed]]</f>
        <v>1</v>
      </c>
      <c r="U960" s="439"/>
      <c r="V960" s="441">
        <f ca="1">Table66[[#This Row],[Year 6 (Specified in RFO) - N/A]]-Table66[[#This Row],[Column1]]</f>
        <v>0</v>
      </c>
    </row>
    <row r="961" spans="1:22" ht="16.5" thickBot="1">
      <c r="A961" s="319"/>
      <c r="B961" s="319"/>
      <c r="C961" s="319"/>
      <c r="D961" s="320"/>
      <c r="E961" s="320"/>
      <c r="F961" s="190"/>
      <c r="G9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1" s="190"/>
      <c r="I9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1" s="190"/>
      <c r="K9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1" s="190"/>
      <c r="M9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1" s="190"/>
      <c r="O9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1" s="190"/>
      <c r="Q9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1" s="192">
        <f ca="1">Table66[[#This Row],[Year 1 (Specified in RFO) - N/A]]+Table66[[#This Row],[Year 2 (Specified in RFO) - N/A]]+Table66[[#This Row],[Year 3 (Specified in RFO) - N/A]]+Table66[[#This Row],[Year 4 (Specified in RFO) - N/A]]+Table66[[#This Row],[Year 5 (Specified in RFO) - N/A]]+Table66[[#This Row],[Year 6 (Specified in RFO) - N/A]]</f>
        <v>0</v>
      </c>
      <c r="S961" s="402">
        <f ca="1">Table66[[#This Row],[Year 1  (Proposed)]]+Table66[[#This Row],[Year 2 (Proposed)]]+Table66[[#This Row],[Year 3 (Proposed)]]+Table66[[#This Row],[Year 4 (Proposed)]]+Table66[[#This Row],[Year 5 (Proposed)]]+Table66[[#This Row],[Year 6 (Proposed)]]</f>
        <v>0</v>
      </c>
      <c r="T961" s="403" t="b">
        <f ca="1">Table66[[#This Row],[Total Specifed in RFO - N/A]]=Table66[[#This Row],[Total Proposed]]</f>
        <v>1</v>
      </c>
      <c r="U961" s="439"/>
      <c r="V961" s="441">
        <f ca="1">Table66[[#This Row],[Year 6 (Specified in RFO) - N/A]]-Table66[[#This Row],[Column1]]</f>
        <v>0</v>
      </c>
    </row>
    <row r="962" spans="1:22" ht="16.5" thickBot="1">
      <c r="A962" s="227"/>
      <c r="B962" s="227"/>
      <c r="C962" s="227"/>
      <c r="D962" s="320"/>
      <c r="E962" s="231"/>
      <c r="F962" s="190"/>
      <c r="G9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2" s="190"/>
      <c r="I9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2" s="190"/>
      <c r="K9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2" s="190"/>
      <c r="M9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2" s="190"/>
      <c r="O9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2" s="190"/>
      <c r="Q9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2" s="192">
        <f ca="1">Table66[[#This Row],[Year 1 (Specified in RFO) - N/A]]+Table66[[#This Row],[Year 2 (Specified in RFO) - N/A]]+Table66[[#This Row],[Year 3 (Specified in RFO) - N/A]]+Table66[[#This Row],[Year 4 (Specified in RFO) - N/A]]+Table66[[#This Row],[Year 5 (Specified in RFO) - N/A]]+Table66[[#This Row],[Year 6 (Specified in RFO) - N/A]]</f>
        <v>0</v>
      </c>
      <c r="S962" s="402">
        <f ca="1">Table66[[#This Row],[Year 1  (Proposed)]]+Table66[[#This Row],[Year 2 (Proposed)]]+Table66[[#This Row],[Year 3 (Proposed)]]+Table66[[#This Row],[Year 4 (Proposed)]]+Table66[[#This Row],[Year 5 (Proposed)]]+Table66[[#This Row],[Year 6 (Proposed)]]</f>
        <v>0</v>
      </c>
      <c r="T962" s="403" t="b">
        <f ca="1">Table66[[#This Row],[Total Specifed in RFO - N/A]]=Table66[[#This Row],[Total Proposed]]</f>
        <v>1</v>
      </c>
      <c r="U962" s="439"/>
      <c r="V962" s="441">
        <f ca="1">Table66[[#This Row],[Year 6 (Specified in RFO) - N/A]]-Table66[[#This Row],[Column1]]</f>
        <v>0</v>
      </c>
    </row>
    <row r="963" spans="1:22" ht="16.5" thickBot="1">
      <c r="A963" s="227"/>
      <c r="B963" s="319"/>
      <c r="C963" s="319"/>
      <c r="D963" s="320"/>
      <c r="E963" s="320"/>
      <c r="F963" s="190"/>
      <c r="G9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3" s="190"/>
      <c r="I9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3" s="190"/>
      <c r="K9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3" s="190"/>
      <c r="M9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3" s="190"/>
      <c r="O9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3" s="190"/>
      <c r="Q9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3" s="192">
        <f ca="1">Table66[[#This Row],[Year 1 (Specified in RFO) - N/A]]+Table66[[#This Row],[Year 2 (Specified in RFO) - N/A]]+Table66[[#This Row],[Year 3 (Specified in RFO) - N/A]]+Table66[[#This Row],[Year 4 (Specified in RFO) - N/A]]+Table66[[#This Row],[Year 5 (Specified in RFO) - N/A]]+Table66[[#This Row],[Year 6 (Specified in RFO) - N/A]]</f>
        <v>0</v>
      </c>
      <c r="S963" s="402">
        <f ca="1">Table66[[#This Row],[Year 1  (Proposed)]]+Table66[[#This Row],[Year 2 (Proposed)]]+Table66[[#This Row],[Year 3 (Proposed)]]+Table66[[#This Row],[Year 4 (Proposed)]]+Table66[[#This Row],[Year 5 (Proposed)]]+Table66[[#This Row],[Year 6 (Proposed)]]</f>
        <v>0</v>
      </c>
      <c r="T963" s="403" t="b">
        <f ca="1">Table66[[#This Row],[Total Specifed in RFO - N/A]]=Table66[[#This Row],[Total Proposed]]</f>
        <v>1</v>
      </c>
      <c r="U963" s="439"/>
      <c r="V963" s="441">
        <f ca="1">Table66[[#This Row],[Year 6 (Specified in RFO) - N/A]]-Table66[[#This Row],[Column1]]</f>
        <v>0</v>
      </c>
    </row>
    <row r="964" spans="1:22" ht="16.5" thickBot="1">
      <c r="A964" s="319"/>
      <c r="B964" s="319"/>
      <c r="C964" s="319"/>
      <c r="D964" s="320"/>
      <c r="E964" s="320"/>
      <c r="F964" s="190"/>
      <c r="G9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4" s="190"/>
      <c r="I9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4" s="190"/>
      <c r="K9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4" s="190"/>
      <c r="M9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4" s="190"/>
      <c r="O9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4" s="190"/>
      <c r="Q9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4" s="192">
        <f ca="1">Table66[[#This Row],[Year 1 (Specified in RFO) - N/A]]+Table66[[#This Row],[Year 2 (Specified in RFO) - N/A]]+Table66[[#This Row],[Year 3 (Specified in RFO) - N/A]]+Table66[[#This Row],[Year 4 (Specified in RFO) - N/A]]+Table66[[#This Row],[Year 5 (Specified in RFO) - N/A]]+Table66[[#This Row],[Year 6 (Specified in RFO) - N/A]]</f>
        <v>0</v>
      </c>
      <c r="S964" s="402">
        <f ca="1">Table66[[#This Row],[Year 1  (Proposed)]]+Table66[[#This Row],[Year 2 (Proposed)]]+Table66[[#This Row],[Year 3 (Proposed)]]+Table66[[#This Row],[Year 4 (Proposed)]]+Table66[[#This Row],[Year 5 (Proposed)]]+Table66[[#This Row],[Year 6 (Proposed)]]</f>
        <v>0</v>
      </c>
      <c r="T964" s="403" t="b">
        <f ca="1">Table66[[#This Row],[Total Specifed in RFO - N/A]]=Table66[[#This Row],[Total Proposed]]</f>
        <v>1</v>
      </c>
      <c r="U964" s="439"/>
      <c r="V964" s="441">
        <f ca="1">Table66[[#This Row],[Year 6 (Specified in RFO) - N/A]]-Table66[[#This Row],[Column1]]</f>
        <v>0</v>
      </c>
    </row>
    <row r="965" spans="1:22" ht="16.5" thickBot="1">
      <c r="A965" s="227"/>
      <c r="B965" s="227"/>
      <c r="C965" s="227"/>
      <c r="D965" s="320"/>
      <c r="E965" s="231"/>
      <c r="F965" s="190"/>
      <c r="G9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5" s="190"/>
      <c r="I9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5" s="190"/>
      <c r="K9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5" s="190"/>
      <c r="M9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5" s="190"/>
      <c r="O9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5" s="190"/>
      <c r="Q9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5" s="192">
        <f ca="1">Table66[[#This Row],[Year 1 (Specified in RFO) - N/A]]+Table66[[#This Row],[Year 2 (Specified in RFO) - N/A]]+Table66[[#This Row],[Year 3 (Specified in RFO) - N/A]]+Table66[[#This Row],[Year 4 (Specified in RFO) - N/A]]+Table66[[#This Row],[Year 5 (Specified in RFO) - N/A]]+Table66[[#This Row],[Year 6 (Specified in RFO) - N/A]]</f>
        <v>0</v>
      </c>
      <c r="S965" s="402">
        <f ca="1">Table66[[#This Row],[Year 1  (Proposed)]]+Table66[[#This Row],[Year 2 (Proposed)]]+Table66[[#This Row],[Year 3 (Proposed)]]+Table66[[#This Row],[Year 4 (Proposed)]]+Table66[[#This Row],[Year 5 (Proposed)]]+Table66[[#This Row],[Year 6 (Proposed)]]</f>
        <v>0</v>
      </c>
      <c r="T965" s="403" t="b">
        <f ca="1">Table66[[#This Row],[Total Specifed in RFO - N/A]]=Table66[[#This Row],[Total Proposed]]</f>
        <v>1</v>
      </c>
      <c r="U965" s="439"/>
      <c r="V965" s="441">
        <f ca="1">Table66[[#This Row],[Year 6 (Specified in RFO) - N/A]]-Table66[[#This Row],[Column1]]</f>
        <v>0</v>
      </c>
    </row>
    <row r="966" spans="1:22" ht="16.5" thickBot="1">
      <c r="A966" s="227"/>
      <c r="B966" s="319"/>
      <c r="C966" s="319"/>
      <c r="D966" s="320"/>
      <c r="E966" s="320"/>
      <c r="F966" s="190"/>
      <c r="G9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6" s="190"/>
      <c r="I9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6" s="190"/>
      <c r="K9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6" s="190"/>
      <c r="M9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6" s="190"/>
      <c r="O9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6" s="190"/>
      <c r="Q9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6" s="192">
        <f ca="1">Table66[[#This Row],[Year 1 (Specified in RFO) - N/A]]+Table66[[#This Row],[Year 2 (Specified in RFO) - N/A]]+Table66[[#This Row],[Year 3 (Specified in RFO) - N/A]]+Table66[[#This Row],[Year 4 (Specified in RFO) - N/A]]+Table66[[#This Row],[Year 5 (Specified in RFO) - N/A]]+Table66[[#This Row],[Year 6 (Specified in RFO) - N/A]]</f>
        <v>0</v>
      </c>
      <c r="S966" s="402">
        <f ca="1">Table66[[#This Row],[Year 1  (Proposed)]]+Table66[[#This Row],[Year 2 (Proposed)]]+Table66[[#This Row],[Year 3 (Proposed)]]+Table66[[#This Row],[Year 4 (Proposed)]]+Table66[[#This Row],[Year 5 (Proposed)]]+Table66[[#This Row],[Year 6 (Proposed)]]</f>
        <v>0</v>
      </c>
      <c r="T966" s="403" t="b">
        <f ca="1">Table66[[#This Row],[Total Specifed in RFO - N/A]]=Table66[[#This Row],[Total Proposed]]</f>
        <v>1</v>
      </c>
      <c r="U966" s="439"/>
      <c r="V966" s="441">
        <f ca="1">Table66[[#This Row],[Year 6 (Specified in RFO) - N/A]]-Table66[[#This Row],[Column1]]</f>
        <v>0</v>
      </c>
    </row>
    <row r="967" spans="1:22" ht="16.5" thickBot="1">
      <c r="A967" s="319"/>
      <c r="B967" s="319"/>
      <c r="C967" s="319"/>
      <c r="D967" s="320"/>
      <c r="E967" s="320"/>
      <c r="F967" s="190"/>
      <c r="G9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7" s="190"/>
      <c r="I9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7" s="190"/>
      <c r="K9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7" s="190"/>
      <c r="M9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7" s="190"/>
      <c r="O9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7" s="190"/>
      <c r="Q9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7" s="192">
        <f ca="1">Table66[[#This Row],[Year 1 (Specified in RFO) - N/A]]+Table66[[#This Row],[Year 2 (Specified in RFO) - N/A]]+Table66[[#This Row],[Year 3 (Specified in RFO) - N/A]]+Table66[[#This Row],[Year 4 (Specified in RFO) - N/A]]+Table66[[#This Row],[Year 5 (Specified in RFO) - N/A]]+Table66[[#This Row],[Year 6 (Specified in RFO) - N/A]]</f>
        <v>0</v>
      </c>
      <c r="S967" s="402">
        <f ca="1">Table66[[#This Row],[Year 1  (Proposed)]]+Table66[[#This Row],[Year 2 (Proposed)]]+Table66[[#This Row],[Year 3 (Proposed)]]+Table66[[#This Row],[Year 4 (Proposed)]]+Table66[[#This Row],[Year 5 (Proposed)]]+Table66[[#This Row],[Year 6 (Proposed)]]</f>
        <v>0</v>
      </c>
      <c r="T967" s="403" t="b">
        <f ca="1">Table66[[#This Row],[Total Specifed in RFO - N/A]]=Table66[[#This Row],[Total Proposed]]</f>
        <v>1</v>
      </c>
      <c r="U967" s="439"/>
      <c r="V967" s="441">
        <f ca="1">Table66[[#This Row],[Year 6 (Specified in RFO) - N/A]]-Table66[[#This Row],[Column1]]</f>
        <v>0</v>
      </c>
    </row>
    <row r="968" spans="1:22" ht="16.5" thickBot="1">
      <c r="A968" s="227"/>
      <c r="B968" s="227"/>
      <c r="C968" s="227"/>
      <c r="D968" s="320"/>
      <c r="E968" s="231"/>
      <c r="F968" s="190"/>
      <c r="G9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8" s="190"/>
      <c r="I9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8" s="190"/>
      <c r="K9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8" s="190"/>
      <c r="M9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8" s="190"/>
      <c r="O9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8" s="190"/>
      <c r="Q9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8" s="192">
        <f ca="1">Table66[[#This Row],[Year 1 (Specified in RFO) - N/A]]+Table66[[#This Row],[Year 2 (Specified in RFO) - N/A]]+Table66[[#This Row],[Year 3 (Specified in RFO) - N/A]]+Table66[[#This Row],[Year 4 (Specified in RFO) - N/A]]+Table66[[#This Row],[Year 5 (Specified in RFO) - N/A]]+Table66[[#This Row],[Year 6 (Specified in RFO) - N/A]]</f>
        <v>0</v>
      </c>
      <c r="S968" s="402">
        <f ca="1">Table66[[#This Row],[Year 1  (Proposed)]]+Table66[[#This Row],[Year 2 (Proposed)]]+Table66[[#This Row],[Year 3 (Proposed)]]+Table66[[#This Row],[Year 4 (Proposed)]]+Table66[[#This Row],[Year 5 (Proposed)]]+Table66[[#This Row],[Year 6 (Proposed)]]</f>
        <v>0</v>
      </c>
      <c r="T968" s="403" t="b">
        <f ca="1">Table66[[#This Row],[Total Specifed in RFO - N/A]]=Table66[[#This Row],[Total Proposed]]</f>
        <v>1</v>
      </c>
      <c r="U968" s="439"/>
      <c r="V968" s="441">
        <f ca="1">Table66[[#This Row],[Year 6 (Specified in RFO) - N/A]]-Table66[[#This Row],[Column1]]</f>
        <v>0</v>
      </c>
    </row>
    <row r="969" spans="1:22" ht="16.5" thickBot="1">
      <c r="A969" s="227"/>
      <c r="B969" s="319"/>
      <c r="C969" s="319"/>
      <c r="D969" s="320"/>
      <c r="E969" s="320"/>
      <c r="F969" s="190"/>
      <c r="G9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9" s="190"/>
      <c r="I9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9" s="190"/>
      <c r="K9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9" s="190"/>
      <c r="M9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9" s="190"/>
      <c r="O9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9" s="190"/>
      <c r="Q9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9" s="192">
        <f ca="1">Table66[[#This Row],[Year 1 (Specified in RFO) - N/A]]+Table66[[#This Row],[Year 2 (Specified in RFO) - N/A]]+Table66[[#This Row],[Year 3 (Specified in RFO) - N/A]]+Table66[[#This Row],[Year 4 (Specified in RFO) - N/A]]+Table66[[#This Row],[Year 5 (Specified in RFO) - N/A]]+Table66[[#This Row],[Year 6 (Specified in RFO) - N/A]]</f>
        <v>0</v>
      </c>
      <c r="S969" s="402">
        <f ca="1">Table66[[#This Row],[Year 1  (Proposed)]]+Table66[[#This Row],[Year 2 (Proposed)]]+Table66[[#This Row],[Year 3 (Proposed)]]+Table66[[#This Row],[Year 4 (Proposed)]]+Table66[[#This Row],[Year 5 (Proposed)]]+Table66[[#This Row],[Year 6 (Proposed)]]</f>
        <v>0</v>
      </c>
      <c r="T969" s="403" t="b">
        <f ca="1">Table66[[#This Row],[Total Specifed in RFO - N/A]]=Table66[[#This Row],[Total Proposed]]</f>
        <v>1</v>
      </c>
      <c r="U969" s="439"/>
      <c r="V969" s="441">
        <f ca="1">Table66[[#This Row],[Year 6 (Specified in RFO) - N/A]]-Table66[[#This Row],[Column1]]</f>
        <v>0</v>
      </c>
    </row>
    <row r="970" spans="1:22" ht="16.5" thickBot="1">
      <c r="A970" s="319"/>
      <c r="B970" s="319"/>
      <c r="C970" s="319"/>
      <c r="D970" s="320"/>
      <c r="E970" s="320"/>
      <c r="F970" s="190"/>
      <c r="G9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0" s="190"/>
      <c r="I9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0" s="190"/>
      <c r="K9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0" s="190"/>
      <c r="M9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0" s="190"/>
      <c r="O9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0" s="190"/>
      <c r="Q9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0" s="192">
        <f ca="1">Table66[[#This Row],[Year 1 (Specified in RFO) - N/A]]+Table66[[#This Row],[Year 2 (Specified in RFO) - N/A]]+Table66[[#This Row],[Year 3 (Specified in RFO) - N/A]]+Table66[[#This Row],[Year 4 (Specified in RFO) - N/A]]+Table66[[#This Row],[Year 5 (Specified in RFO) - N/A]]+Table66[[#This Row],[Year 6 (Specified in RFO) - N/A]]</f>
        <v>0</v>
      </c>
      <c r="S970" s="402">
        <f ca="1">Table66[[#This Row],[Year 1  (Proposed)]]+Table66[[#This Row],[Year 2 (Proposed)]]+Table66[[#This Row],[Year 3 (Proposed)]]+Table66[[#This Row],[Year 4 (Proposed)]]+Table66[[#This Row],[Year 5 (Proposed)]]+Table66[[#This Row],[Year 6 (Proposed)]]</f>
        <v>0</v>
      </c>
      <c r="T970" s="403" t="b">
        <f ca="1">Table66[[#This Row],[Total Specifed in RFO - N/A]]=Table66[[#This Row],[Total Proposed]]</f>
        <v>1</v>
      </c>
      <c r="U970" s="439"/>
      <c r="V970" s="441">
        <f ca="1">Table66[[#This Row],[Year 6 (Specified in RFO) - N/A]]-Table66[[#This Row],[Column1]]</f>
        <v>0</v>
      </c>
    </row>
    <row r="971" spans="1:22" ht="16.5" thickBot="1">
      <c r="A971" s="227"/>
      <c r="B971" s="227"/>
      <c r="C971" s="227"/>
      <c r="D971" s="320"/>
      <c r="E971" s="231"/>
      <c r="F971" s="190"/>
      <c r="G9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1" s="190"/>
      <c r="I9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1" s="190"/>
      <c r="K9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1" s="190"/>
      <c r="M9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1" s="190"/>
      <c r="O9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1" s="190"/>
      <c r="Q9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1" s="192">
        <f ca="1">Table66[[#This Row],[Year 1 (Specified in RFO) - N/A]]+Table66[[#This Row],[Year 2 (Specified in RFO) - N/A]]+Table66[[#This Row],[Year 3 (Specified in RFO) - N/A]]+Table66[[#This Row],[Year 4 (Specified in RFO) - N/A]]+Table66[[#This Row],[Year 5 (Specified in RFO) - N/A]]+Table66[[#This Row],[Year 6 (Specified in RFO) - N/A]]</f>
        <v>0</v>
      </c>
      <c r="S971" s="402">
        <f ca="1">Table66[[#This Row],[Year 1  (Proposed)]]+Table66[[#This Row],[Year 2 (Proposed)]]+Table66[[#This Row],[Year 3 (Proposed)]]+Table66[[#This Row],[Year 4 (Proposed)]]+Table66[[#This Row],[Year 5 (Proposed)]]+Table66[[#This Row],[Year 6 (Proposed)]]</f>
        <v>0</v>
      </c>
      <c r="T971" s="403" t="b">
        <f ca="1">Table66[[#This Row],[Total Specifed in RFO - N/A]]=Table66[[#This Row],[Total Proposed]]</f>
        <v>1</v>
      </c>
      <c r="U971" s="439"/>
      <c r="V971" s="441">
        <f ca="1">Table66[[#This Row],[Year 6 (Specified in RFO) - N/A]]-Table66[[#This Row],[Column1]]</f>
        <v>0</v>
      </c>
    </row>
    <row r="972" spans="1:22" ht="16.5" thickBot="1">
      <c r="A972" s="227"/>
      <c r="B972" s="319"/>
      <c r="C972" s="319"/>
      <c r="D972" s="320"/>
      <c r="E972" s="320"/>
      <c r="F972" s="190"/>
      <c r="G9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2" s="190"/>
      <c r="I9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2" s="190"/>
      <c r="K9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2" s="190"/>
      <c r="M9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2" s="190"/>
      <c r="O9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2" s="190"/>
      <c r="Q9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2" s="192">
        <f ca="1">Table66[[#This Row],[Year 1 (Specified in RFO) - N/A]]+Table66[[#This Row],[Year 2 (Specified in RFO) - N/A]]+Table66[[#This Row],[Year 3 (Specified in RFO) - N/A]]+Table66[[#This Row],[Year 4 (Specified in RFO) - N/A]]+Table66[[#This Row],[Year 5 (Specified in RFO) - N/A]]+Table66[[#This Row],[Year 6 (Specified in RFO) - N/A]]</f>
        <v>0</v>
      </c>
      <c r="S972" s="402">
        <f ca="1">Table66[[#This Row],[Year 1  (Proposed)]]+Table66[[#This Row],[Year 2 (Proposed)]]+Table66[[#This Row],[Year 3 (Proposed)]]+Table66[[#This Row],[Year 4 (Proposed)]]+Table66[[#This Row],[Year 5 (Proposed)]]+Table66[[#This Row],[Year 6 (Proposed)]]</f>
        <v>0</v>
      </c>
      <c r="T972" s="403" t="b">
        <f ca="1">Table66[[#This Row],[Total Specifed in RFO - N/A]]=Table66[[#This Row],[Total Proposed]]</f>
        <v>1</v>
      </c>
      <c r="U972" s="439"/>
      <c r="V972" s="441">
        <f ca="1">Table66[[#This Row],[Year 6 (Specified in RFO) - N/A]]-Table66[[#This Row],[Column1]]</f>
        <v>0</v>
      </c>
    </row>
    <row r="973" spans="1:22" ht="16.5" thickBot="1">
      <c r="A973" s="319"/>
      <c r="B973" s="319"/>
      <c r="C973" s="319"/>
      <c r="D973" s="320"/>
      <c r="E973" s="320"/>
      <c r="F973" s="190"/>
      <c r="G9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3" s="190"/>
      <c r="I9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3" s="190"/>
      <c r="K9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3" s="190"/>
      <c r="M9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3" s="190"/>
      <c r="O9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3" s="190"/>
      <c r="Q9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3" s="192">
        <f ca="1">Table66[[#This Row],[Year 1 (Specified in RFO) - N/A]]+Table66[[#This Row],[Year 2 (Specified in RFO) - N/A]]+Table66[[#This Row],[Year 3 (Specified in RFO) - N/A]]+Table66[[#This Row],[Year 4 (Specified in RFO) - N/A]]+Table66[[#This Row],[Year 5 (Specified in RFO) - N/A]]+Table66[[#This Row],[Year 6 (Specified in RFO) - N/A]]</f>
        <v>0</v>
      </c>
      <c r="S973" s="402">
        <f ca="1">Table66[[#This Row],[Year 1  (Proposed)]]+Table66[[#This Row],[Year 2 (Proposed)]]+Table66[[#This Row],[Year 3 (Proposed)]]+Table66[[#This Row],[Year 4 (Proposed)]]+Table66[[#This Row],[Year 5 (Proposed)]]+Table66[[#This Row],[Year 6 (Proposed)]]</f>
        <v>0</v>
      </c>
      <c r="T973" s="403" t="b">
        <f ca="1">Table66[[#This Row],[Total Specifed in RFO - N/A]]=Table66[[#This Row],[Total Proposed]]</f>
        <v>1</v>
      </c>
      <c r="U973" s="439"/>
      <c r="V973" s="441">
        <f ca="1">Table66[[#This Row],[Year 6 (Specified in RFO) - N/A]]-Table66[[#This Row],[Column1]]</f>
        <v>0</v>
      </c>
    </row>
    <row r="974" spans="1:22" ht="16.5" thickBot="1">
      <c r="A974" s="227"/>
      <c r="B974" s="227"/>
      <c r="C974" s="227"/>
      <c r="D974" s="320"/>
      <c r="E974" s="231"/>
      <c r="F974" s="190"/>
      <c r="G9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4" s="190"/>
      <c r="I9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4" s="190"/>
      <c r="K9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4" s="190"/>
      <c r="M9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4" s="190"/>
      <c r="O9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4" s="190"/>
      <c r="Q9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4" s="192">
        <f ca="1">Table66[[#This Row],[Year 1 (Specified in RFO) - N/A]]+Table66[[#This Row],[Year 2 (Specified in RFO) - N/A]]+Table66[[#This Row],[Year 3 (Specified in RFO) - N/A]]+Table66[[#This Row],[Year 4 (Specified in RFO) - N/A]]+Table66[[#This Row],[Year 5 (Specified in RFO) - N/A]]+Table66[[#This Row],[Year 6 (Specified in RFO) - N/A]]</f>
        <v>0</v>
      </c>
      <c r="S974" s="402">
        <f ca="1">Table66[[#This Row],[Year 1  (Proposed)]]+Table66[[#This Row],[Year 2 (Proposed)]]+Table66[[#This Row],[Year 3 (Proposed)]]+Table66[[#This Row],[Year 4 (Proposed)]]+Table66[[#This Row],[Year 5 (Proposed)]]+Table66[[#This Row],[Year 6 (Proposed)]]</f>
        <v>0</v>
      </c>
      <c r="T974" s="403" t="b">
        <f ca="1">Table66[[#This Row],[Total Specifed in RFO - N/A]]=Table66[[#This Row],[Total Proposed]]</f>
        <v>1</v>
      </c>
      <c r="U974" s="439"/>
      <c r="V974" s="441">
        <f ca="1">Table66[[#This Row],[Year 6 (Specified in RFO) - N/A]]-Table66[[#This Row],[Column1]]</f>
        <v>0</v>
      </c>
    </row>
    <row r="975" spans="1:22" ht="16.5" thickBot="1">
      <c r="A975" s="227"/>
      <c r="B975" s="319"/>
      <c r="C975" s="319"/>
      <c r="D975" s="320"/>
      <c r="E975" s="320"/>
      <c r="F975" s="190"/>
      <c r="G9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5" s="190"/>
      <c r="I9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5" s="190"/>
      <c r="K9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5" s="190"/>
      <c r="M9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5" s="190"/>
      <c r="O9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5" s="190"/>
      <c r="Q9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5" s="192">
        <f ca="1">Table66[[#This Row],[Year 1 (Specified in RFO) - N/A]]+Table66[[#This Row],[Year 2 (Specified in RFO) - N/A]]+Table66[[#This Row],[Year 3 (Specified in RFO) - N/A]]+Table66[[#This Row],[Year 4 (Specified in RFO) - N/A]]+Table66[[#This Row],[Year 5 (Specified in RFO) - N/A]]+Table66[[#This Row],[Year 6 (Specified in RFO) - N/A]]</f>
        <v>0</v>
      </c>
      <c r="S975" s="402">
        <f ca="1">Table66[[#This Row],[Year 1  (Proposed)]]+Table66[[#This Row],[Year 2 (Proposed)]]+Table66[[#This Row],[Year 3 (Proposed)]]+Table66[[#This Row],[Year 4 (Proposed)]]+Table66[[#This Row],[Year 5 (Proposed)]]+Table66[[#This Row],[Year 6 (Proposed)]]</f>
        <v>0</v>
      </c>
      <c r="T975" s="403" t="b">
        <f ca="1">Table66[[#This Row],[Total Specifed in RFO - N/A]]=Table66[[#This Row],[Total Proposed]]</f>
        <v>1</v>
      </c>
      <c r="U975" s="439"/>
      <c r="V975" s="441">
        <f ca="1">Table66[[#This Row],[Year 6 (Specified in RFO) - N/A]]-Table66[[#This Row],[Column1]]</f>
        <v>0</v>
      </c>
    </row>
    <row r="976" spans="1:22" ht="16.5" thickBot="1">
      <c r="A976" s="319"/>
      <c r="B976" s="319"/>
      <c r="C976" s="319"/>
      <c r="D976" s="320"/>
      <c r="E976" s="320"/>
      <c r="F976" s="190"/>
      <c r="G9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6" s="190"/>
      <c r="I9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6" s="190"/>
      <c r="K9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6" s="190"/>
      <c r="M9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6" s="190"/>
      <c r="O9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6" s="190"/>
      <c r="Q9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6" s="192">
        <f ca="1">Table66[[#This Row],[Year 1 (Specified in RFO) - N/A]]+Table66[[#This Row],[Year 2 (Specified in RFO) - N/A]]+Table66[[#This Row],[Year 3 (Specified in RFO) - N/A]]+Table66[[#This Row],[Year 4 (Specified in RFO) - N/A]]+Table66[[#This Row],[Year 5 (Specified in RFO) - N/A]]+Table66[[#This Row],[Year 6 (Specified in RFO) - N/A]]</f>
        <v>0</v>
      </c>
      <c r="S976" s="402">
        <f ca="1">Table66[[#This Row],[Year 1  (Proposed)]]+Table66[[#This Row],[Year 2 (Proposed)]]+Table66[[#This Row],[Year 3 (Proposed)]]+Table66[[#This Row],[Year 4 (Proposed)]]+Table66[[#This Row],[Year 5 (Proposed)]]+Table66[[#This Row],[Year 6 (Proposed)]]</f>
        <v>0</v>
      </c>
      <c r="T976" s="403" t="b">
        <f ca="1">Table66[[#This Row],[Total Specifed in RFO - N/A]]=Table66[[#This Row],[Total Proposed]]</f>
        <v>1</v>
      </c>
      <c r="U976" s="439"/>
      <c r="V976" s="441">
        <f ca="1">Table66[[#This Row],[Year 6 (Specified in RFO) - N/A]]-Table66[[#This Row],[Column1]]</f>
        <v>0</v>
      </c>
    </row>
    <row r="977" spans="1:22" ht="16.5" thickBot="1">
      <c r="A977" s="227"/>
      <c r="B977" s="227"/>
      <c r="C977" s="227"/>
      <c r="D977" s="320"/>
      <c r="E977" s="231"/>
      <c r="F977" s="190"/>
      <c r="G9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7" s="190"/>
      <c r="I9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7" s="190"/>
      <c r="K9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7" s="190"/>
      <c r="M9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7" s="190"/>
      <c r="O9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7" s="190"/>
      <c r="Q9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7" s="192">
        <f ca="1">Table66[[#This Row],[Year 1 (Specified in RFO) - N/A]]+Table66[[#This Row],[Year 2 (Specified in RFO) - N/A]]+Table66[[#This Row],[Year 3 (Specified in RFO) - N/A]]+Table66[[#This Row],[Year 4 (Specified in RFO) - N/A]]+Table66[[#This Row],[Year 5 (Specified in RFO) - N/A]]+Table66[[#This Row],[Year 6 (Specified in RFO) - N/A]]</f>
        <v>0</v>
      </c>
      <c r="S977" s="402">
        <f ca="1">Table66[[#This Row],[Year 1  (Proposed)]]+Table66[[#This Row],[Year 2 (Proposed)]]+Table66[[#This Row],[Year 3 (Proposed)]]+Table66[[#This Row],[Year 4 (Proposed)]]+Table66[[#This Row],[Year 5 (Proposed)]]+Table66[[#This Row],[Year 6 (Proposed)]]</f>
        <v>0</v>
      </c>
      <c r="T977" s="403" t="b">
        <f ca="1">Table66[[#This Row],[Total Specifed in RFO - N/A]]=Table66[[#This Row],[Total Proposed]]</f>
        <v>1</v>
      </c>
      <c r="U977" s="439"/>
      <c r="V977" s="441">
        <f ca="1">Table66[[#This Row],[Year 6 (Specified in RFO) - N/A]]-Table66[[#This Row],[Column1]]</f>
        <v>0</v>
      </c>
    </row>
    <row r="978" spans="1:22" ht="16.5" thickBot="1">
      <c r="A978" s="227"/>
      <c r="B978" s="319"/>
      <c r="C978" s="319"/>
      <c r="D978" s="320"/>
      <c r="E978" s="320"/>
      <c r="F978" s="190"/>
      <c r="G9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8" s="190"/>
      <c r="I9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8" s="190"/>
      <c r="K9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8" s="190"/>
      <c r="M9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8" s="190"/>
      <c r="O9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8" s="190"/>
      <c r="Q9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8" s="192">
        <f ca="1">Table66[[#This Row],[Year 1 (Specified in RFO) - N/A]]+Table66[[#This Row],[Year 2 (Specified in RFO) - N/A]]+Table66[[#This Row],[Year 3 (Specified in RFO) - N/A]]+Table66[[#This Row],[Year 4 (Specified in RFO) - N/A]]+Table66[[#This Row],[Year 5 (Specified in RFO) - N/A]]+Table66[[#This Row],[Year 6 (Specified in RFO) - N/A]]</f>
        <v>0</v>
      </c>
      <c r="S978" s="402">
        <f ca="1">Table66[[#This Row],[Year 1  (Proposed)]]+Table66[[#This Row],[Year 2 (Proposed)]]+Table66[[#This Row],[Year 3 (Proposed)]]+Table66[[#This Row],[Year 4 (Proposed)]]+Table66[[#This Row],[Year 5 (Proposed)]]+Table66[[#This Row],[Year 6 (Proposed)]]</f>
        <v>0</v>
      </c>
      <c r="T978" s="403" t="b">
        <f ca="1">Table66[[#This Row],[Total Specifed in RFO - N/A]]=Table66[[#This Row],[Total Proposed]]</f>
        <v>1</v>
      </c>
      <c r="U978" s="439"/>
      <c r="V978" s="441">
        <f ca="1">Table66[[#This Row],[Year 6 (Specified in RFO) - N/A]]-Table66[[#This Row],[Column1]]</f>
        <v>0</v>
      </c>
    </row>
    <row r="979" spans="1:22" ht="16.5" thickBot="1">
      <c r="A979" s="319"/>
      <c r="B979" s="319"/>
      <c r="C979" s="319"/>
      <c r="D979" s="320"/>
      <c r="E979" s="320"/>
      <c r="F979" s="190"/>
      <c r="G9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9" s="190"/>
      <c r="I9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9" s="190"/>
      <c r="K9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9" s="190"/>
      <c r="M9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9" s="190"/>
      <c r="O9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9" s="190"/>
      <c r="Q9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9" s="192">
        <f ca="1">Table66[[#This Row],[Year 1 (Specified in RFO) - N/A]]+Table66[[#This Row],[Year 2 (Specified in RFO) - N/A]]+Table66[[#This Row],[Year 3 (Specified in RFO) - N/A]]+Table66[[#This Row],[Year 4 (Specified in RFO) - N/A]]+Table66[[#This Row],[Year 5 (Specified in RFO) - N/A]]+Table66[[#This Row],[Year 6 (Specified in RFO) - N/A]]</f>
        <v>0</v>
      </c>
      <c r="S979" s="402">
        <f ca="1">Table66[[#This Row],[Year 1  (Proposed)]]+Table66[[#This Row],[Year 2 (Proposed)]]+Table66[[#This Row],[Year 3 (Proposed)]]+Table66[[#This Row],[Year 4 (Proposed)]]+Table66[[#This Row],[Year 5 (Proposed)]]+Table66[[#This Row],[Year 6 (Proposed)]]</f>
        <v>0</v>
      </c>
      <c r="T979" s="403" t="b">
        <f ca="1">Table66[[#This Row],[Total Specifed in RFO - N/A]]=Table66[[#This Row],[Total Proposed]]</f>
        <v>1</v>
      </c>
      <c r="U979" s="439"/>
      <c r="V979" s="441">
        <f ca="1">Table66[[#This Row],[Year 6 (Specified in RFO) - N/A]]-Table66[[#This Row],[Column1]]</f>
        <v>0</v>
      </c>
    </row>
    <row r="980" spans="1:22" ht="16.5" thickBot="1">
      <c r="A980" s="227"/>
      <c r="B980" s="227"/>
      <c r="C980" s="227"/>
      <c r="D980" s="320"/>
      <c r="E980" s="231"/>
      <c r="F980" s="190"/>
      <c r="G9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0" s="190"/>
      <c r="I9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0" s="190"/>
      <c r="K9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0" s="190"/>
      <c r="M9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0" s="190"/>
      <c r="O9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0" s="190"/>
      <c r="Q9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0" s="192">
        <f ca="1">Table66[[#This Row],[Year 1 (Specified in RFO) - N/A]]+Table66[[#This Row],[Year 2 (Specified in RFO) - N/A]]+Table66[[#This Row],[Year 3 (Specified in RFO) - N/A]]+Table66[[#This Row],[Year 4 (Specified in RFO) - N/A]]+Table66[[#This Row],[Year 5 (Specified in RFO) - N/A]]+Table66[[#This Row],[Year 6 (Specified in RFO) - N/A]]</f>
        <v>0</v>
      </c>
      <c r="S980" s="402">
        <f ca="1">Table66[[#This Row],[Year 1  (Proposed)]]+Table66[[#This Row],[Year 2 (Proposed)]]+Table66[[#This Row],[Year 3 (Proposed)]]+Table66[[#This Row],[Year 4 (Proposed)]]+Table66[[#This Row],[Year 5 (Proposed)]]+Table66[[#This Row],[Year 6 (Proposed)]]</f>
        <v>0</v>
      </c>
      <c r="T980" s="403" t="b">
        <f ca="1">Table66[[#This Row],[Total Specifed in RFO - N/A]]=Table66[[#This Row],[Total Proposed]]</f>
        <v>1</v>
      </c>
      <c r="U980" s="439"/>
      <c r="V980" s="441">
        <f ca="1">Table66[[#This Row],[Year 6 (Specified in RFO) - N/A]]-Table66[[#This Row],[Column1]]</f>
        <v>0</v>
      </c>
    </row>
    <row r="981" spans="1:22" ht="16.5" thickBot="1">
      <c r="A981" s="227"/>
      <c r="B981" s="319"/>
      <c r="C981" s="319"/>
      <c r="D981" s="320"/>
      <c r="E981" s="320"/>
      <c r="F981" s="190"/>
      <c r="G9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1" s="190"/>
      <c r="I9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1" s="190"/>
      <c r="K9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1" s="190"/>
      <c r="M9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1" s="190"/>
      <c r="O9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1" s="190"/>
      <c r="Q9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1" s="192">
        <f ca="1">Table66[[#This Row],[Year 1 (Specified in RFO) - N/A]]+Table66[[#This Row],[Year 2 (Specified in RFO) - N/A]]+Table66[[#This Row],[Year 3 (Specified in RFO) - N/A]]+Table66[[#This Row],[Year 4 (Specified in RFO) - N/A]]+Table66[[#This Row],[Year 5 (Specified in RFO) - N/A]]+Table66[[#This Row],[Year 6 (Specified in RFO) - N/A]]</f>
        <v>0</v>
      </c>
      <c r="S981" s="402">
        <f ca="1">Table66[[#This Row],[Year 1  (Proposed)]]+Table66[[#This Row],[Year 2 (Proposed)]]+Table66[[#This Row],[Year 3 (Proposed)]]+Table66[[#This Row],[Year 4 (Proposed)]]+Table66[[#This Row],[Year 5 (Proposed)]]+Table66[[#This Row],[Year 6 (Proposed)]]</f>
        <v>0</v>
      </c>
      <c r="T981" s="403" t="b">
        <f ca="1">Table66[[#This Row],[Total Specifed in RFO - N/A]]=Table66[[#This Row],[Total Proposed]]</f>
        <v>1</v>
      </c>
      <c r="U981" s="439"/>
      <c r="V981" s="441">
        <f ca="1">Table66[[#This Row],[Year 6 (Specified in RFO) - N/A]]-Table66[[#This Row],[Column1]]</f>
        <v>0</v>
      </c>
    </row>
    <row r="982" spans="1:22" ht="16.5" thickBot="1">
      <c r="A982" s="319"/>
      <c r="B982" s="319"/>
      <c r="C982" s="319"/>
      <c r="D982" s="320"/>
      <c r="E982" s="320"/>
      <c r="F982" s="190"/>
      <c r="G9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2" s="190"/>
      <c r="I9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2" s="190"/>
      <c r="K9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2" s="190"/>
      <c r="M9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2" s="190"/>
      <c r="O9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2" s="190"/>
      <c r="Q9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2" s="192">
        <f ca="1">Table66[[#This Row],[Year 1 (Specified in RFO) - N/A]]+Table66[[#This Row],[Year 2 (Specified in RFO) - N/A]]+Table66[[#This Row],[Year 3 (Specified in RFO) - N/A]]+Table66[[#This Row],[Year 4 (Specified in RFO) - N/A]]+Table66[[#This Row],[Year 5 (Specified in RFO) - N/A]]+Table66[[#This Row],[Year 6 (Specified in RFO) - N/A]]</f>
        <v>0</v>
      </c>
      <c r="S982" s="402">
        <f ca="1">Table66[[#This Row],[Year 1  (Proposed)]]+Table66[[#This Row],[Year 2 (Proposed)]]+Table66[[#This Row],[Year 3 (Proposed)]]+Table66[[#This Row],[Year 4 (Proposed)]]+Table66[[#This Row],[Year 5 (Proposed)]]+Table66[[#This Row],[Year 6 (Proposed)]]</f>
        <v>0</v>
      </c>
      <c r="T982" s="403" t="b">
        <f ca="1">Table66[[#This Row],[Total Specifed in RFO - N/A]]=Table66[[#This Row],[Total Proposed]]</f>
        <v>1</v>
      </c>
      <c r="U982" s="439"/>
      <c r="V982" s="441">
        <f ca="1">Table66[[#This Row],[Year 6 (Specified in RFO) - N/A]]-Table66[[#This Row],[Column1]]</f>
        <v>0</v>
      </c>
    </row>
    <row r="983" spans="1:22" ht="16.5" thickBot="1">
      <c r="A983" s="227"/>
      <c r="B983" s="227"/>
      <c r="C983" s="227"/>
      <c r="D983" s="320"/>
      <c r="E983" s="231"/>
      <c r="F983" s="190"/>
      <c r="G9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3" s="190"/>
      <c r="I9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3" s="190"/>
      <c r="K9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3" s="190"/>
      <c r="M9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3" s="190"/>
      <c r="O9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3" s="190"/>
      <c r="Q9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3" s="192">
        <f ca="1">Table66[[#This Row],[Year 1 (Specified in RFO) - N/A]]+Table66[[#This Row],[Year 2 (Specified in RFO) - N/A]]+Table66[[#This Row],[Year 3 (Specified in RFO) - N/A]]+Table66[[#This Row],[Year 4 (Specified in RFO) - N/A]]+Table66[[#This Row],[Year 5 (Specified in RFO) - N/A]]+Table66[[#This Row],[Year 6 (Specified in RFO) - N/A]]</f>
        <v>0</v>
      </c>
      <c r="S983" s="402">
        <f ca="1">Table66[[#This Row],[Year 1  (Proposed)]]+Table66[[#This Row],[Year 2 (Proposed)]]+Table66[[#This Row],[Year 3 (Proposed)]]+Table66[[#This Row],[Year 4 (Proposed)]]+Table66[[#This Row],[Year 5 (Proposed)]]+Table66[[#This Row],[Year 6 (Proposed)]]</f>
        <v>0</v>
      </c>
      <c r="T983" s="403" t="b">
        <f ca="1">Table66[[#This Row],[Total Specifed in RFO - N/A]]=Table66[[#This Row],[Total Proposed]]</f>
        <v>1</v>
      </c>
      <c r="U983" s="439"/>
      <c r="V983" s="441">
        <f ca="1">Table66[[#This Row],[Year 6 (Specified in RFO) - N/A]]-Table66[[#This Row],[Column1]]</f>
        <v>0</v>
      </c>
    </row>
    <row r="984" spans="1:22" ht="16.5" thickBot="1">
      <c r="A984" s="227"/>
      <c r="B984" s="319"/>
      <c r="C984" s="319"/>
      <c r="D984" s="320"/>
      <c r="E984" s="320"/>
      <c r="F984" s="190"/>
      <c r="G9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4" s="190"/>
      <c r="I9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4" s="190"/>
      <c r="K9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4" s="190"/>
      <c r="M9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4" s="190"/>
      <c r="O9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4" s="190"/>
      <c r="Q9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4" s="192">
        <f ca="1">Table66[[#This Row],[Year 1 (Specified in RFO) - N/A]]+Table66[[#This Row],[Year 2 (Specified in RFO) - N/A]]+Table66[[#This Row],[Year 3 (Specified in RFO) - N/A]]+Table66[[#This Row],[Year 4 (Specified in RFO) - N/A]]+Table66[[#This Row],[Year 5 (Specified in RFO) - N/A]]+Table66[[#This Row],[Year 6 (Specified in RFO) - N/A]]</f>
        <v>0</v>
      </c>
      <c r="S984" s="402">
        <f ca="1">Table66[[#This Row],[Year 1  (Proposed)]]+Table66[[#This Row],[Year 2 (Proposed)]]+Table66[[#This Row],[Year 3 (Proposed)]]+Table66[[#This Row],[Year 4 (Proposed)]]+Table66[[#This Row],[Year 5 (Proposed)]]+Table66[[#This Row],[Year 6 (Proposed)]]</f>
        <v>0</v>
      </c>
      <c r="T984" s="403" t="b">
        <f ca="1">Table66[[#This Row],[Total Specifed in RFO - N/A]]=Table66[[#This Row],[Total Proposed]]</f>
        <v>1</v>
      </c>
      <c r="U984" s="439"/>
      <c r="V984" s="441">
        <f ca="1">Table66[[#This Row],[Year 6 (Specified in RFO) - N/A]]-Table66[[#This Row],[Column1]]</f>
        <v>0</v>
      </c>
    </row>
    <row r="985" spans="1:22" ht="16.5" thickBot="1">
      <c r="A985" s="319"/>
      <c r="B985" s="319"/>
      <c r="C985" s="319"/>
      <c r="D985" s="320"/>
      <c r="E985" s="320"/>
      <c r="F985" s="190"/>
      <c r="G9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5" s="190"/>
      <c r="I9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5" s="190"/>
      <c r="K9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5" s="190"/>
      <c r="M9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5" s="190"/>
      <c r="O9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5" s="190"/>
      <c r="Q9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5" s="192">
        <f ca="1">Table66[[#This Row],[Year 1 (Specified in RFO) - N/A]]+Table66[[#This Row],[Year 2 (Specified in RFO) - N/A]]+Table66[[#This Row],[Year 3 (Specified in RFO) - N/A]]+Table66[[#This Row],[Year 4 (Specified in RFO) - N/A]]+Table66[[#This Row],[Year 5 (Specified in RFO) - N/A]]+Table66[[#This Row],[Year 6 (Specified in RFO) - N/A]]</f>
        <v>0</v>
      </c>
      <c r="S985" s="402">
        <f ca="1">Table66[[#This Row],[Year 1  (Proposed)]]+Table66[[#This Row],[Year 2 (Proposed)]]+Table66[[#This Row],[Year 3 (Proposed)]]+Table66[[#This Row],[Year 4 (Proposed)]]+Table66[[#This Row],[Year 5 (Proposed)]]+Table66[[#This Row],[Year 6 (Proposed)]]</f>
        <v>0</v>
      </c>
      <c r="T985" s="403" t="b">
        <f ca="1">Table66[[#This Row],[Total Specifed in RFO - N/A]]=Table66[[#This Row],[Total Proposed]]</f>
        <v>1</v>
      </c>
      <c r="U985" s="439"/>
      <c r="V985" s="441">
        <f ca="1">Table66[[#This Row],[Year 6 (Specified in RFO) - N/A]]-Table66[[#This Row],[Column1]]</f>
        <v>0</v>
      </c>
    </row>
    <row r="986" spans="1:22" ht="16.5" thickBot="1">
      <c r="A986" s="227"/>
      <c r="B986" s="227"/>
      <c r="C986" s="227"/>
      <c r="D986" s="320"/>
      <c r="E986" s="231"/>
      <c r="F986" s="190"/>
      <c r="G9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6" s="190"/>
      <c r="I9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6" s="190"/>
      <c r="K9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6" s="190"/>
      <c r="M9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6" s="190"/>
      <c r="O9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6" s="190"/>
      <c r="Q9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6" s="192">
        <f ca="1">Table66[[#This Row],[Year 1 (Specified in RFO) - N/A]]+Table66[[#This Row],[Year 2 (Specified in RFO) - N/A]]+Table66[[#This Row],[Year 3 (Specified in RFO) - N/A]]+Table66[[#This Row],[Year 4 (Specified in RFO) - N/A]]+Table66[[#This Row],[Year 5 (Specified in RFO) - N/A]]+Table66[[#This Row],[Year 6 (Specified in RFO) - N/A]]</f>
        <v>0</v>
      </c>
      <c r="S986" s="402">
        <f ca="1">Table66[[#This Row],[Year 1  (Proposed)]]+Table66[[#This Row],[Year 2 (Proposed)]]+Table66[[#This Row],[Year 3 (Proposed)]]+Table66[[#This Row],[Year 4 (Proposed)]]+Table66[[#This Row],[Year 5 (Proposed)]]+Table66[[#This Row],[Year 6 (Proposed)]]</f>
        <v>0</v>
      </c>
      <c r="T986" s="403" t="b">
        <f ca="1">Table66[[#This Row],[Total Specifed in RFO - N/A]]=Table66[[#This Row],[Total Proposed]]</f>
        <v>1</v>
      </c>
      <c r="U986" s="439"/>
      <c r="V986" s="441">
        <f ca="1">Table66[[#This Row],[Year 6 (Specified in RFO) - N/A]]-Table66[[#This Row],[Column1]]</f>
        <v>0</v>
      </c>
    </row>
    <row r="987" spans="1:22" ht="16.5" thickBot="1">
      <c r="A987" s="227"/>
      <c r="B987" s="319"/>
      <c r="C987" s="319"/>
      <c r="D987" s="320"/>
      <c r="E987" s="320"/>
      <c r="F987" s="190"/>
      <c r="G9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7" s="190"/>
      <c r="I9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7" s="190"/>
      <c r="K9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7" s="190"/>
      <c r="M9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7" s="190"/>
      <c r="O9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7" s="190"/>
      <c r="Q9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7" s="192">
        <f ca="1">Table66[[#This Row],[Year 1 (Specified in RFO) - N/A]]+Table66[[#This Row],[Year 2 (Specified in RFO) - N/A]]+Table66[[#This Row],[Year 3 (Specified in RFO) - N/A]]+Table66[[#This Row],[Year 4 (Specified in RFO) - N/A]]+Table66[[#This Row],[Year 5 (Specified in RFO) - N/A]]+Table66[[#This Row],[Year 6 (Specified in RFO) - N/A]]</f>
        <v>0</v>
      </c>
      <c r="S987" s="402">
        <f ca="1">Table66[[#This Row],[Year 1  (Proposed)]]+Table66[[#This Row],[Year 2 (Proposed)]]+Table66[[#This Row],[Year 3 (Proposed)]]+Table66[[#This Row],[Year 4 (Proposed)]]+Table66[[#This Row],[Year 5 (Proposed)]]+Table66[[#This Row],[Year 6 (Proposed)]]</f>
        <v>0</v>
      </c>
      <c r="T987" s="403" t="b">
        <f ca="1">Table66[[#This Row],[Total Specifed in RFO - N/A]]=Table66[[#This Row],[Total Proposed]]</f>
        <v>1</v>
      </c>
      <c r="U987" s="439"/>
      <c r="V987" s="441">
        <f ca="1">Table66[[#This Row],[Year 6 (Specified in RFO) - N/A]]-Table66[[#This Row],[Column1]]</f>
        <v>0</v>
      </c>
    </row>
    <row r="988" spans="1:22" ht="16.5" thickBot="1">
      <c r="A988" s="319"/>
      <c r="B988" s="319"/>
      <c r="C988" s="319"/>
      <c r="D988" s="320"/>
      <c r="E988" s="320"/>
      <c r="F988" s="190"/>
      <c r="G9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8" s="190"/>
      <c r="I9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8" s="190"/>
      <c r="K9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8" s="190"/>
      <c r="M9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8" s="190"/>
      <c r="O9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8" s="190"/>
      <c r="Q9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8" s="192">
        <f ca="1">Table66[[#This Row],[Year 1 (Specified in RFO) - N/A]]+Table66[[#This Row],[Year 2 (Specified in RFO) - N/A]]+Table66[[#This Row],[Year 3 (Specified in RFO) - N/A]]+Table66[[#This Row],[Year 4 (Specified in RFO) - N/A]]+Table66[[#This Row],[Year 5 (Specified in RFO) - N/A]]+Table66[[#This Row],[Year 6 (Specified in RFO) - N/A]]</f>
        <v>0</v>
      </c>
      <c r="S988" s="402">
        <f ca="1">Table66[[#This Row],[Year 1  (Proposed)]]+Table66[[#This Row],[Year 2 (Proposed)]]+Table66[[#This Row],[Year 3 (Proposed)]]+Table66[[#This Row],[Year 4 (Proposed)]]+Table66[[#This Row],[Year 5 (Proposed)]]+Table66[[#This Row],[Year 6 (Proposed)]]</f>
        <v>0</v>
      </c>
      <c r="T988" s="403" t="b">
        <f ca="1">Table66[[#This Row],[Total Specifed in RFO - N/A]]=Table66[[#This Row],[Total Proposed]]</f>
        <v>1</v>
      </c>
      <c r="U988" s="439"/>
      <c r="V988" s="441">
        <f ca="1">Table66[[#This Row],[Year 6 (Specified in RFO) - N/A]]-Table66[[#This Row],[Column1]]</f>
        <v>0</v>
      </c>
    </row>
    <row r="989" spans="1:22" ht="16.5" thickBot="1">
      <c r="A989" s="227"/>
      <c r="B989" s="227"/>
      <c r="C989" s="227"/>
      <c r="D989" s="320"/>
      <c r="E989" s="231"/>
      <c r="F989" s="190"/>
      <c r="G9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9" s="190"/>
      <c r="I9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9" s="190"/>
      <c r="K9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9" s="190"/>
      <c r="M9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9" s="190"/>
      <c r="O9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9" s="190"/>
      <c r="Q9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9" s="192">
        <f ca="1">Table66[[#This Row],[Year 1 (Specified in RFO) - N/A]]+Table66[[#This Row],[Year 2 (Specified in RFO) - N/A]]+Table66[[#This Row],[Year 3 (Specified in RFO) - N/A]]+Table66[[#This Row],[Year 4 (Specified in RFO) - N/A]]+Table66[[#This Row],[Year 5 (Specified in RFO) - N/A]]+Table66[[#This Row],[Year 6 (Specified in RFO) - N/A]]</f>
        <v>0</v>
      </c>
      <c r="S989" s="402">
        <f ca="1">Table66[[#This Row],[Year 1  (Proposed)]]+Table66[[#This Row],[Year 2 (Proposed)]]+Table66[[#This Row],[Year 3 (Proposed)]]+Table66[[#This Row],[Year 4 (Proposed)]]+Table66[[#This Row],[Year 5 (Proposed)]]+Table66[[#This Row],[Year 6 (Proposed)]]</f>
        <v>0</v>
      </c>
      <c r="T989" s="403" t="b">
        <f ca="1">Table66[[#This Row],[Total Specifed in RFO - N/A]]=Table66[[#This Row],[Total Proposed]]</f>
        <v>1</v>
      </c>
      <c r="U989" s="439"/>
      <c r="V989" s="441">
        <f ca="1">Table66[[#This Row],[Year 6 (Specified in RFO) - N/A]]-Table66[[#This Row],[Column1]]</f>
        <v>0</v>
      </c>
    </row>
    <row r="990" spans="1:22" ht="16.5" thickBot="1">
      <c r="A990" s="227"/>
      <c r="B990" s="319"/>
      <c r="C990" s="319"/>
      <c r="D990" s="320"/>
      <c r="E990" s="320"/>
      <c r="F990" s="190"/>
      <c r="G9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0" s="190"/>
      <c r="I9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0" s="190"/>
      <c r="K9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0" s="190"/>
      <c r="M9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0" s="190"/>
      <c r="O9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0" s="190"/>
      <c r="Q9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0" s="192">
        <f ca="1">Table66[[#This Row],[Year 1 (Specified in RFO) - N/A]]+Table66[[#This Row],[Year 2 (Specified in RFO) - N/A]]+Table66[[#This Row],[Year 3 (Specified in RFO) - N/A]]+Table66[[#This Row],[Year 4 (Specified in RFO) - N/A]]+Table66[[#This Row],[Year 5 (Specified in RFO) - N/A]]+Table66[[#This Row],[Year 6 (Specified in RFO) - N/A]]</f>
        <v>0</v>
      </c>
      <c r="S990" s="402">
        <f ca="1">Table66[[#This Row],[Year 1  (Proposed)]]+Table66[[#This Row],[Year 2 (Proposed)]]+Table66[[#This Row],[Year 3 (Proposed)]]+Table66[[#This Row],[Year 4 (Proposed)]]+Table66[[#This Row],[Year 5 (Proposed)]]+Table66[[#This Row],[Year 6 (Proposed)]]</f>
        <v>0</v>
      </c>
      <c r="T990" s="403" t="b">
        <f ca="1">Table66[[#This Row],[Total Specifed in RFO - N/A]]=Table66[[#This Row],[Total Proposed]]</f>
        <v>1</v>
      </c>
      <c r="U990" s="439"/>
      <c r="V990" s="441">
        <f ca="1">Table66[[#This Row],[Year 6 (Specified in RFO) - N/A]]-Table66[[#This Row],[Column1]]</f>
        <v>0</v>
      </c>
    </row>
    <row r="991" spans="1:22" ht="16.5" thickBot="1">
      <c r="A991" s="319"/>
      <c r="B991" s="319"/>
      <c r="C991" s="319"/>
      <c r="D991" s="320"/>
      <c r="E991" s="320"/>
      <c r="F991" s="190"/>
      <c r="G9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1" s="190"/>
      <c r="I9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1" s="190"/>
      <c r="K9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1" s="190"/>
      <c r="M9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1" s="190"/>
      <c r="O9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1" s="190"/>
      <c r="Q9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1" s="192">
        <f ca="1">Table66[[#This Row],[Year 1 (Specified in RFO) - N/A]]+Table66[[#This Row],[Year 2 (Specified in RFO) - N/A]]+Table66[[#This Row],[Year 3 (Specified in RFO) - N/A]]+Table66[[#This Row],[Year 4 (Specified in RFO) - N/A]]+Table66[[#This Row],[Year 5 (Specified in RFO) - N/A]]+Table66[[#This Row],[Year 6 (Specified in RFO) - N/A]]</f>
        <v>0</v>
      </c>
      <c r="S991" s="402">
        <f ca="1">Table66[[#This Row],[Year 1  (Proposed)]]+Table66[[#This Row],[Year 2 (Proposed)]]+Table66[[#This Row],[Year 3 (Proposed)]]+Table66[[#This Row],[Year 4 (Proposed)]]+Table66[[#This Row],[Year 5 (Proposed)]]+Table66[[#This Row],[Year 6 (Proposed)]]</f>
        <v>0</v>
      </c>
      <c r="T991" s="403" t="b">
        <f ca="1">Table66[[#This Row],[Total Specifed in RFO - N/A]]=Table66[[#This Row],[Total Proposed]]</f>
        <v>1</v>
      </c>
      <c r="U991" s="439"/>
      <c r="V991" s="441">
        <f ca="1">Table66[[#This Row],[Year 6 (Specified in RFO) - N/A]]-Table66[[#This Row],[Column1]]</f>
        <v>0</v>
      </c>
    </row>
    <row r="992" spans="1:22" ht="16.5" thickBot="1">
      <c r="A992" s="227"/>
      <c r="B992" s="227"/>
      <c r="C992" s="227"/>
      <c r="D992" s="320"/>
      <c r="E992" s="231"/>
      <c r="F992" s="190"/>
      <c r="G9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2" s="190"/>
      <c r="I9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2" s="190"/>
      <c r="K9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2" s="190"/>
      <c r="M9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2" s="190"/>
      <c r="O9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2" s="190"/>
      <c r="Q9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2" s="192">
        <f ca="1">Table66[[#This Row],[Year 1 (Specified in RFO) - N/A]]+Table66[[#This Row],[Year 2 (Specified in RFO) - N/A]]+Table66[[#This Row],[Year 3 (Specified in RFO) - N/A]]+Table66[[#This Row],[Year 4 (Specified in RFO) - N/A]]+Table66[[#This Row],[Year 5 (Specified in RFO) - N/A]]+Table66[[#This Row],[Year 6 (Specified in RFO) - N/A]]</f>
        <v>0</v>
      </c>
      <c r="S992" s="402">
        <f ca="1">Table66[[#This Row],[Year 1  (Proposed)]]+Table66[[#This Row],[Year 2 (Proposed)]]+Table66[[#This Row],[Year 3 (Proposed)]]+Table66[[#This Row],[Year 4 (Proposed)]]+Table66[[#This Row],[Year 5 (Proposed)]]+Table66[[#This Row],[Year 6 (Proposed)]]</f>
        <v>0</v>
      </c>
      <c r="T992" s="403" t="b">
        <f ca="1">Table66[[#This Row],[Total Specifed in RFO - N/A]]=Table66[[#This Row],[Total Proposed]]</f>
        <v>1</v>
      </c>
      <c r="U992" s="439"/>
      <c r="V992" s="441">
        <f ca="1">Table66[[#This Row],[Year 6 (Specified in RFO) - N/A]]-Table66[[#This Row],[Column1]]</f>
        <v>0</v>
      </c>
    </row>
    <row r="993" spans="1:22" ht="16.5" thickBot="1">
      <c r="A993" s="227"/>
      <c r="B993" s="319"/>
      <c r="C993" s="319"/>
      <c r="D993" s="320"/>
      <c r="E993" s="320"/>
      <c r="F993" s="190"/>
      <c r="G9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3" s="190"/>
      <c r="I9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3" s="190"/>
      <c r="K9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3" s="190"/>
      <c r="M9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3" s="190"/>
      <c r="O9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3" s="190"/>
      <c r="Q9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3" s="192">
        <f ca="1">Table66[[#This Row],[Year 1 (Specified in RFO) - N/A]]+Table66[[#This Row],[Year 2 (Specified in RFO) - N/A]]+Table66[[#This Row],[Year 3 (Specified in RFO) - N/A]]+Table66[[#This Row],[Year 4 (Specified in RFO) - N/A]]+Table66[[#This Row],[Year 5 (Specified in RFO) - N/A]]+Table66[[#This Row],[Year 6 (Specified in RFO) - N/A]]</f>
        <v>0</v>
      </c>
      <c r="S993" s="402">
        <f ca="1">Table66[[#This Row],[Year 1  (Proposed)]]+Table66[[#This Row],[Year 2 (Proposed)]]+Table66[[#This Row],[Year 3 (Proposed)]]+Table66[[#This Row],[Year 4 (Proposed)]]+Table66[[#This Row],[Year 5 (Proposed)]]+Table66[[#This Row],[Year 6 (Proposed)]]</f>
        <v>0</v>
      </c>
      <c r="T993" s="403" t="b">
        <f ca="1">Table66[[#This Row],[Total Specifed in RFO - N/A]]=Table66[[#This Row],[Total Proposed]]</f>
        <v>1</v>
      </c>
      <c r="U993" s="439"/>
      <c r="V993" s="441">
        <f ca="1">Table66[[#This Row],[Year 6 (Specified in RFO) - N/A]]-Table66[[#This Row],[Column1]]</f>
        <v>0</v>
      </c>
    </row>
    <row r="994" spans="1:22" ht="16.5" thickBot="1">
      <c r="A994" s="319"/>
      <c r="B994" s="319"/>
      <c r="C994" s="319"/>
      <c r="D994" s="320"/>
      <c r="E994" s="320"/>
      <c r="F994" s="190"/>
      <c r="G9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4" s="190"/>
      <c r="I9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4" s="190"/>
      <c r="K9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4" s="190"/>
      <c r="M9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4" s="190"/>
      <c r="O9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4" s="190"/>
      <c r="Q9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4" s="192">
        <f ca="1">Table66[[#This Row],[Year 1 (Specified in RFO) - N/A]]+Table66[[#This Row],[Year 2 (Specified in RFO) - N/A]]+Table66[[#This Row],[Year 3 (Specified in RFO) - N/A]]+Table66[[#This Row],[Year 4 (Specified in RFO) - N/A]]+Table66[[#This Row],[Year 5 (Specified in RFO) - N/A]]+Table66[[#This Row],[Year 6 (Specified in RFO) - N/A]]</f>
        <v>0</v>
      </c>
      <c r="S994" s="402">
        <f ca="1">Table66[[#This Row],[Year 1  (Proposed)]]+Table66[[#This Row],[Year 2 (Proposed)]]+Table66[[#This Row],[Year 3 (Proposed)]]+Table66[[#This Row],[Year 4 (Proposed)]]+Table66[[#This Row],[Year 5 (Proposed)]]+Table66[[#This Row],[Year 6 (Proposed)]]</f>
        <v>0</v>
      </c>
      <c r="T994" s="403" t="b">
        <f ca="1">Table66[[#This Row],[Total Specifed in RFO - N/A]]=Table66[[#This Row],[Total Proposed]]</f>
        <v>1</v>
      </c>
      <c r="U994" s="439"/>
      <c r="V994" s="441">
        <f ca="1">Table66[[#This Row],[Year 6 (Specified in RFO) - N/A]]-Table66[[#This Row],[Column1]]</f>
        <v>0</v>
      </c>
    </row>
    <row r="995" spans="1:22" ht="16.5" thickBot="1">
      <c r="A995" s="227"/>
      <c r="B995" s="227"/>
      <c r="C995" s="227"/>
      <c r="D995" s="320"/>
      <c r="E995" s="231"/>
      <c r="F995" s="190"/>
      <c r="G9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5" s="190"/>
      <c r="I9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5" s="190"/>
      <c r="K9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5" s="190"/>
      <c r="M9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5" s="190"/>
      <c r="O9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5" s="190"/>
      <c r="Q9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5" s="192">
        <f ca="1">Table66[[#This Row],[Year 1 (Specified in RFO) - N/A]]+Table66[[#This Row],[Year 2 (Specified in RFO) - N/A]]+Table66[[#This Row],[Year 3 (Specified in RFO) - N/A]]+Table66[[#This Row],[Year 4 (Specified in RFO) - N/A]]+Table66[[#This Row],[Year 5 (Specified in RFO) - N/A]]+Table66[[#This Row],[Year 6 (Specified in RFO) - N/A]]</f>
        <v>0</v>
      </c>
      <c r="S995" s="402">
        <f ca="1">Table66[[#This Row],[Year 1  (Proposed)]]+Table66[[#This Row],[Year 2 (Proposed)]]+Table66[[#This Row],[Year 3 (Proposed)]]+Table66[[#This Row],[Year 4 (Proposed)]]+Table66[[#This Row],[Year 5 (Proposed)]]+Table66[[#This Row],[Year 6 (Proposed)]]</f>
        <v>0</v>
      </c>
      <c r="T995" s="403" t="b">
        <f ca="1">Table66[[#This Row],[Total Specifed in RFO - N/A]]=Table66[[#This Row],[Total Proposed]]</f>
        <v>1</v>
      </c>
      <c r="U995" s="439"/>
      <c r="V995" s="441">
        <f ca="1">Table66[[#This Row],[Year 6 (Specified in RFO) - N/A]]-Table66[[#This Row],[Column1]]</f>
        <v>0</v>
      </c>
    </row>
    <row r="996" spans="1:22" ht="16.5" thickBot="1">
      <c r="A996" s="227"/>
      <c r="B996" s="319"/>
      <c r="C996" s="319"/>
      <c r="D996" s="320"/>
      <c r="E996" s="320"/>
      <c r="F996" s="190"/>
      <c r="G9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6" s="190"/>
      <c r="I9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6" s="190"/>
      <c r="K9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6" s="190"/>
      <c r="M9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6" s="190"/>
      <c r="O9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6" s="190"/>
      <c r="Q9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6" s="192">
        <f ca="1">Table66[[#This Row],[Year 1 (Specified in RFO) - N/A]]+Table66[[#This Row],[Year 2 (Specified in RFO) - N/A]]+Table66[[#This Row],[Year 3 (Specified in RFO) - N/A]]+Table66[[#This Row],[Year 4 (Specified in RFO) - N/A]]+Table66[[#This Row],[Year 5 (Specified in RFO) - N/A]]+Table66[[#This Row],[Year 6 (Specified in RFO) - N/A]]</f>
        <v>0</v>
      </c>
      <c r="S996" s="402">
        <f ca="1">Table66[[#This Row],[Year 1  (Proposed)]]+Table66[[#This Row],[Year 2 (Proposed)]]+Table66[[#This Row],[Year 3 (Proposed)]]+Table66[[#This Row],[Year 4 (Proposed)]]+Table66[[#This Row],[Year 5 (Proposed)]]+Table66[[#This Row],[Year 6 (Proposed)]]</f>
        <v>0</v>
      </c>
      <c r="T996" s="403" t="b">
        <f ca="1">Table66[[#This Row],[Total Specifed in RFO - N/A]]=Table66[[#This Row],[Total Proposed]]</f>
        <v>1</v>
      </c>
      <c r="U996" s="439"/>
      <c r="V996" s="441">
        <f ca="1">Table66[[#This Row],[Year 6 (Specified in RFO) - N/A]]-Table66[[#This Row],[Column1]]</f>
        <v>0</v>
      </c>
    </row>
    <row r="997" spans="1:22" ht="16.5" thickBot="1">
      <c r="A997" s="319"/>
      <c r="B997" s="319"/>
      <c r="C997" s="319"/>
      <c r="D997" s="320"/>
      <c r="E997" s="320"/>
      <c r="F997" s="190"/>
      <c r="G9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7" s="190"/>
      <c r="I9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7" s="190"/>
      <c r="K9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7" s="190"/>
      <c r="M9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7" s="190"/>
      <c r="O9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7" s="190"/>
      <c r="Q9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7" s="192">
        <f ca="1">Table66[[#This Row],[Year 1 (Specified in RFO) - N/A]]+Table66[[#This Row],[Year 2 (Specified in RFO) - N/A]]+Table66[[#This Row],[Year 3 (Specified in RFO) - N/A]]+Table66[[#This Row],[Year 4 (Specified in RFO) - N/A]]+Table66[[#This Row],[Year 5 (Specified in RFO) - N/A]]+Table66[[#This Row],[Year 6 (Specified in RFO) - N/A]]</f>
        <v>0</v>
      </c>
      <c r="S997" s="402">
        <f ca="1">Table66[[#This Row],[Year 1  (Proposed)]]+Table66[[#This Row],[Year 2 (Proposed)]]+Table66[[#This Row],[Year 3 (Proposed)]]+Table66[[#This Row],[Year 4 (Proposed)]]+Table66[[#This Row],[Year 5 (Proposed)]]+Table66[[#This Row],[Year 6 (Proposed)]]</f>
        <v>0</v>
      </c>
      <c r="T997" s="403" t="b">
        <f ca="1">Table66[[#This Row],[Total Specifed in RFO - N/A]]=Table66[[#This Row],[Total Proposed]]</f>
        <v>1</v>
      </c>
      <c r="U997" s="439"/>
      <c r="V997" s="441">
        <f ca="1">Table66[[#This Row],[Year 6 (Specified in RFO) - N/A]]-Table66[[#This Row],[Column1]]</f>
        <v>0</v>
      </c>
    </row>
    <row r="998" spans="1:22" ht="16.5" thickBot="1">
      <c r="A998" s="227"/>
      <c r="B998" s="227"/>
      <c r="C998" s="227"/>
      <c r="D998" s="320"/>
      <c r="E998" s="231"/>
      <c r="F998" s="190"/>
      <c r="G9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8" s="190"/>
      <c r="I9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8" s="190"/>
      <c r="K9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8" s="190"/>
      <c r="M9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8" s="190"/>
      <c r="O9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8" s="190"/>
      <c r="Q9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8" s="192">
        <f ca="1">Table66[[#This Row],[Year 1 (Specified in RFO) - N/A]]+Table66[[#This Row],[Year 2 (Specified in RFO) - N/A]]+Table66[[#This Row],[Year 3 (Specified in RFO) - N/A]]+Table66[[#This Row],[Year 4 (Specified in RFO) - N/A]]+Table66[[#This Row],[Year 5 (Specified in RFO) - N/A]]+Table66[[#This Row],[Year 6 (Specified in RFO) - N/A]]</f>
        <v>0</v>
      </c>
      <c r="S998" s="402">
        <f ca="1">Table66[[#This Row],[Year 1  (Proposed)]]+Table66[[#This Row],[Year 2 (Proposed)]]+Table66[[#This Row],[Year 3 (Proposed)]]+Table66[[#This Row],[Year 4 (Proposed)]]+Table66[[#This Row],[Year 5 (Proposed)]]+Table66[[#This Row],[Year 6 (Proposed)]]</f>
        <v>0</v>
      </c>
      <c r="T998" s="403" t="b">
        <f ca="1">Table66[[#This Row],[Total Specifed in RFO - N/A]]=Table66[[#This Row],[Total Proposed]]</f>
        <v>1</v>
      </c>
      <c r="U998" s="439"/>
      <c r="V998" s="441">
        <f ca="1">Table66[[#This Row],[Year 6 (Specified in RFO) - N/A]]-Table66[[#This Row],[Column1]]</f>
        <v>0</v>
      </c>
    </row>
    <row r="999" spans="1:22" ht="16.5" thickBot="1">
      <c r="A999" s="227"/>
      <c r="B999" s="319"/>
      <c r="C999" s="319"/>
      <c r="D999" s="320"/>
      <c r="E999" s="320"/>
      <c r="F999" s="190"/>
      <c r="G9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9" s="190"/>
      <c r="I9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9" s="190"/>
      <c r="K9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9" s="190"/>
      <c r="M9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9" s="190"/>
      <c r="O9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9" s="190"/>
      <c r="Q9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9" s="192">
        <f ca="1">Table66[[#This Row],[Year 1 (Specified in RFO) - N/A]]+Table66[[#This Row],[Year 2 (Specified in RFO) - N/A]]+Table66[[#This Row],[Year 3 (Specified in RFO) - N/A]]+Table66[[#This Row],[Year 4 (Specified in RFO) - N/A]]+Table66[[#This Row],[Year 5 (Specified in RFO) - N/A]]+Table66[[#This Row],[Year 6 (Specified in RFO) - N/A]]</f>
        <v>0</v>
      </c>
      <c r="S999" s="402">
        <f ca="1">Table66[[#This Row],[Year 1  (Proposed)]]+Table66[[#This Row],[Year 2 (Proposed)]]+Table66[[#This Row],[Year 3 (Proposed)]]+Table66[[#This Row],[Year 4 (Proposed)]]+Table66[[#This Row],[Year 5 (Proposed)]]+Table66[[#This Row],[Year 6 (Proposed)]]</f>
        <v>0</v>
      </c>
      <c r="T999" s="403" t="b">
        <f ca="1">Table66[[#This Row],[Total Specifed in RFO - N/A]]=Table66[[#This Row],[Total Proposed]]</f>
        <v>1</v>
      </c>
      <c r="U999" s="439"/>
      <c r="V999" s="441">
        <f ca="1">Table66[[#This Row],[Year 6 (Specified in RFO) - N/A]]-Table66[[#This Row],[Column1]]</f>
        <v>0</v>
      </c>
    </row>
    <row r="1000" spans="1:22" ht="16.5" thickBot="1">
      <c r="A1000" s="227"/>
      <c r="B1000" s="319"/>
      <c r="C1000" s="319"/>
      <c r="D1000" s="320"/>
      <c r="E1000" s="320"/>
      <c r="F1000" s="190"/>
      <c r="G10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0" s="190"/>
      <c r="I10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0" s="190"/>
      <c r="K10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0" s="190"/>
      <c r="M10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0" s="190"/>
      <c r="O10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0" s="190"/>
      <c r="Q10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0" s="192">
        <f ca="1">Table66[[#This Row],[Year 1 (Specified in RFO) - N/A]]+Table66[[#This Row],[Year 2 (Specified in RFO) - N/A]]+Table66[[#This Row],[Year 3 (Specified in RFO) - N/A]]+Table66[[#This Row],[Year 4 (Specified in RFO) - N/A]]+Table66[[#This Row],[Year 5 (Specified in RFO) - N/A]]+Table66[[#This Row],[Year 6 (Specified in RFO) - N/A]]</f>
        <v>0</v>
      </c>
      <c r="S1000" s="402">
        <f ca="1">Table66[[#This Row],[Year 1  (Proposed)]]+Table66[[#This Row],[Year 2 (Proposed)]]+Table66[[#This Row],[Year 3 (Proposed)]]+Table66[[#This Row],[Year 4 (Proposed)]]+Table66[[#This Row],[Year 5 (Proposed)]]+Table66[[#This Row],[Year 6 (Proposed)]]</f>
        <v>0</v>
      </c>
      <c r="T1000" s="403" t="b">
        <f ca="1">Table66[[#This Row],[Total Specifed in RFO - N/A]]=Table66[[#This Row],[Total Proposed]]</f>
        <v>1</v>
      </c>
      <c r="U1000" s="439"/>
      <c r="V1000" s="441">
        <f ca="1">Table66[[#This Row],[Year 6 (Specified in RFO) - N/A]]-Table66[[#This Row],[Column1]]</f>
        <v>0</v>
      </c>
    </row>
    <row r="1001" spans="1:22" ht="16.5" thickBot="1">
      <c r="A1001" s="227"/>
      <c r="B1001" s="319"/>
      <c r="C1001" s="319"/>
      <c r="D1001" s="320"/>
      <c r="E1001" s="320"/>
      <c r="F1001" s="190"/>
      <c r="G10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1" s="190"/>
      <c r="I10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1" s="190"/>
      <c r="K10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1" s="190"/>
      <c r="M10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1" s="190"/>
      <c r="O10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1" s="190"/>
      <c r="Q10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1" s="192">
        <f ca="1">Table66[[#This Row],[Year 1 (Specified in RFO) - N/A]]+Table66[[#This Row],[Year 2 (Specified in RFO) - N/A]]+Table66[[#This Row],[Year 3 (Specified in RFO) - N/A]]+Table66[[#This Row],[Year 4 (Specified in RFO) - N/A]]+Table66[[#This Row],[Year 5 (Specified in RFO) - N/A]]+Table66[[#This Row],[Year 6 (Specified in RFO) - N/A]]</f>
        <v>0</v>
      </c>
      <c r="S1001" s="402">
        <f ca="1">Table66[[#This Row],[Year 1  (Proposed)]]+Table66[[#This Row],[Year 2 (Proposed)]]+Table66[[#This Row],[Year 3 (Proposed)]]+Table66[[#This Row],[Year 4 (Proposed)]]+Table66[[#This Row],[Year 5 (Proposed)]]+Table66[[#This Row],[Year 6 (Proposed)]]</f>
        <v>0</v>
      </c>
      <c r="T1001" s="403" t="b">
        <f ca="1">Table66[[#This Row],[Total Specifed in RFO - N/A]]=Table66[[#This Row],[Total Proposed]]</f>
        <v>1</v>
      </c>
      <c r="U1001" s="439"/>
      <c r="V1001" s="441">
        <f ca="1">Table66[[#This Row],[Year 6 (Specified in RFO) - N/A]]-Table66[[#This Row],[Column1]]</f>
        <v>0</v>
      </c>
    </row>
    <row r="1002" spans="1:22" ht="16.5" thickBot="1">
      <c r="A1002" s="227"/>
      <c r="B1002" s="319"/>
      <c r="C1002" s="319"/>
      <c r="D1002" s="320"/>
      <c r="E1002" s="320"/>
      <c r="F1002" s="190"/>
      <c r="G10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2" s="190"/>
      <c r="I10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2" s="190"/>
      <c r="K10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2" s="190"/>
      <c r="M10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2" s="190"/>
      <c r="O10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2" s="190"/>
      <c r="Q10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2" s="192">
        <f ca="1">Table66[[#This Row],[Year 1 (Specified in RFO) - N/A]]+Table66[[#This Row],[Year 2 (Specified in RFO) - N/A]]+Table66[[#This Row],[Year 3 (Specified in RFO) - N/A]]+Table66[[#This Row],[Year 4 (Specified in RFO) - N/A]]+Table66[[#This Row],[Year 5 (Specified in RFO) - N/A]]+Table66[[#This Row],[Year 6 (Specified in RFO) - N/A]]</f>
        <v>0</v>
      </c>
      <c r="S1002" s="402">
        <f ca="1">Table66[[#This Row],[Year 1  (Proposed)]]+Table66[[#This Row],[Year 2 (Proposed)]]+Table66[[#This Row],[Year 3 (Proposed)]]+Table66[[#This Row],[Year 4 (Proposed)]]+Table66[[#This Row],[Year 5 (Proposed)]]+Table66[[#This Row],[Year 6 (Proposed)]]</f>
        <v>0</v>
      </c>
      <c r="T1002" s="403" t="b">
        <f ca="1">Table66[[#This Row],[Total Specifed in RFO - N/A]]=Table66[[#This Row],[Total Proposed]]</f>
        <v>1</v>
      </c>
      <c r="U1002" s="439"/>
      <c r="V1002" s="441">
        <f ca="1">Table66[[#This Row],[Year 6 (Specified in RFO) - N/A]]-Table66[[#This Row],[Column1]]</f>
        <v>0</v>
      </c>
    </row>
    <row r="1003" spans="1:22" ht="16.5" thickBot="1">
      <c r="A1003" s="227"/>
      <c r="B1003" s="319"/>
      <c r="C1003" s="319"/>
      <c r="D1003" s="320"/>
      <c r="E1003" s="320"/>
      <c r="F1003" s="190"/>
      <c r="G10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3" s="190"/>
      <c r="I10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3" s="190"/>
      <c r="K10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3" s="190"/>
      <c r="M10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3" s="190"/>
      <c r="O10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3" s="190"/>
      <c r="Q10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3" s="192">
        <f ca="1">Table66[[#This Row],[Year 1 (Specified in RFO) - N/A]]+Table66[[#This Row],[Year 2 (Specified in RFO) - N/A]]+Table66[[#This Row],[Year 3 (Specified in RFO) - N/A]]+Table66[[#This Row],[Year 4 (Specified in RFO) - N/A]]+Table66[[#This Row],[Year 5 (Specified in RFO) - N/A]]+Table66[[#This Row],[Year 6 (Specified in RFO) - N/A]]</f>
        <v>0</v>
      </c>
      <c r="S1003" s="402">
        <f ca="1">Table66[[#This Row],[Year 1  (Proposed)]]+Table66[[#This Row],[Year 2 (Proposed)]]+Table66[[#This Row],[Year 3 (Proposed)]]+Table66[[#This Row],[Year 4 (Proposed)]]+Table66[[#This Row],[Year 5 (Proposed)]]+Table66[[#This Row],[Year 6 (Proposed)]]</f>
        <v>0</v>
      </c>
      <c r="T1003" s="403" t="b">
        <f ca="1">Table66[[#This Row],[Total Specifed in RFO - N/A]]=Table66[[#This Row],[Total Proposed]]</f>
        <v>1</v>
      </c>
      <c r="U1003" s="439"/>
      <c r="V1003" s="441">
        <f ca="1">Table66[[#This Row],[Year 6 (Specified in RFO) - N/A]]-Table66[[#This Row],[Column1]]</f>
        <v>0</v>
      </c>
    </row>
    <row r="1004" spans="1:22" ht="16.5" thickBot="1">
      <c r="A1004" s="227"/>
      <c r="B1004" s="319"/>
      <c r="C1004" s="319"/>
      <c r="D1004" s="320"/>
      <c r="E1004" s="320"/>
      <c r="F1004" s="190"/>
      <c r="G10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4" s="190"/>
      <c r="I10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4" s="190"/>
      <c r="K10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4" s="190"/>
      <c r="M10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4" s="190"/>
      <c r="O10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4" s="190"/>
      <c r="Q10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4" s="192">
        <f ca="1">Table66[[#This Row],[Year 1 (Specified in RFO) - N/A]]+Table66[[#This Row],[Year 2 (Specified in RFO) - N/A]]+Table66[[#This Row],[Year 3 (Specified in RFO) - N/A]]+Table66[[#This Row],[Year 4 (Specified in RFO) - N/A]]+Table66[[#This Row],[Year 5 (Specified in RFO) - N/A]]+Table66[[#This Row],[Year 6 (Specified in RFO) - N/A]]</f>
        <v>0</v>
      </c>
      <c r="S1004" s="402">
        <f ca="1">Table66[[#This Row],[Year 1  (Proposed)]]+Table66[[#This Row],[Year 2 (Proposed)]]+Table66[[#This Row],[Year 3 (Proposed)]]+Table66[[#This Row],[Year 4 (Proposed)]]+Table66[[#This Row],[Year 5 (Proposed)]]+Table66[[#This Row],[Year 6 (Proposed)]]</f>
        <v>0</v>
      </c>
      <c r="T1004" s="403" t="b">
        <f ca="1">Table66[[#This Row],[Total Specifed in RFO - N/A]]=Table66[[#This Row],[Total Proposed]]</f>
        <v>1</v>
      </c>
      <c r="U1004" s="439"/>
      <c r="V1004" s="441">
        <f ca="1">Table66[[#This Row],[Year 6 (Specified in RFO) - N/A]]-Table66[[#This Row],[Column1]]</f>
        <v>0</v>
      </c>
    </row>
    <row r="1005" spans="1:22" ht="16.5" thickBot="1">
      <c r="A1005" s="227"/>
      <c r="B1005" s="319"/>
      <c r="C1005" s="319"/>
      <c r="D1005" s="320"/>
      <c r="E1005" s="320"/>
      <c r="F1005" s="190"/>
      <c r="G10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5" s="190"/>
      <c r="I10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5" s="190"/>
      <c r="K10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5" s="190"/>
      <c r="M10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5" s="190"/>
      <c r="O10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5" s="190"/>
      <c r="Q10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5" s="192">
        <f ca="1">Table66[[#This Row],[Year 1 (Specified in RFO) - N/A]]+Table66[[#This Row],[Year 2 (Specified in RFO) - N/A]]+Table66[[#This Row],[Year 3 (Specified in RFO) - N/A]]+Table66[[#This Row],[Year 4 (Specified in RFO) - N/A]]+Table66[[#This Row],[Year 5 (Specified in RFO) - N/A]]+Table66[[#This Row],[Year 6 (Specified in RFO) - N/A]]</f>
        <v>0</v>
      </c>
      <c r="S1005" s="402">
        <f ca="1">Table66[[#This Row],[Year 1  (Proposed)]]+Table66[[#This Row],[Year 2 (Proposed)]]+Table66[[#This Row],[Year 3 (Proposed)]]+Table66[[#This Row],[Year 4 (Proposed)]]+Table66[[#This Row],[Year 5 (Proposed)]]+Table66[[#This Row],[Year 6 (Proposed)]]</f>
        <v>0</v>
      </c>
      <c r="T1005" s="403" t="b">
        <f ca="1">Table66[[#This Row],[Total Specifed in RFO - N/A]]=Table66[[#This Row],[Total Proposed]]</f>
        <v>1</v>
      </c>
      <c r="U1005" s="439"/>
      <c r="V1005" s="441">
        <f ca="1">Table66[[#This Row],[Year 6 (Specified in RFO) - N/A]]-Table66[[#This Row],[Column1]]</f>
        <v>0</v>
      </c>
    </row>
    <row r="1006" spans="1:22" ht="16.5" thickBot="1">
      <c r="A1006" s="227"/>
      <c r="B1006" s="319"/>
      <c r="C1006" s="319"/>
      <c r="D1006" s="320"/>
      <c r="E1006" s="320"/>
      <c r="F1006" s="190"/>
      <c r="G10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6" s="190"/>
      <c r="I10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6" s="190"/>
      <c r="K10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6" s="190"/>
      <c r="M10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6" s="190"/>
      <c r="O10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6" s="190"/>
      <c r="Q10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6" s="192">
        <f ca="1">Table66[[#This Row],[Year 1 (Specified in RFO) - N/A]]+Table66[[#This Row],[Year 2 (Specified in RFO) - N/A]]+Table66[[#This Row],[Year 3 (Specified in RFO) - N/A]]+Table66[[#This Row],[Year 4 (Specified in RFO) - N/A]]+Table66[[#This Row],[Year 5 (Specified in RFO) - N/A]]+Table66[[#This Row],[Year 6 (Specified in RFO) - N/A]]</f>
        <v>0</v>
      </c>
      <c r="S1006" s="402">
        <f ca="1">Table66[[#This Row],[Year 1  (Proposed)]]+Table66[[#This Row],[Year 2 (Proposed)]]+Table66[[#This Row],[Year 3 (Proposed)]]+Table66[[#This Row],[Year 4 (Proposed)]]+Table66[[#This Row],[Year 5 (Proposed)]]+Table66[[#This Row],[Year 6 (Proposed)]]</f>
        <v>0</v>
      </c>
      <c r="T1006" s="403" t="b">
        <f ca="1">Table66[[#This Row],[Total Specifed in RFO - N/A]]=Table66[[#This Row],[Total Proposed]]</f>
        <v>1</v>
      </c>
      <c r="U1006" s="439"/>
      <c r="V1006" s="441">
        <f ca="1">Table66[[#This Row],[Year 6 (Specified in RFO) - N/A]]-Table66[[#This Row],[Column1]]</f>
        <v>0</v>
      </c>
    </row>
    <row r="1007" spans="1:22" ht="16.5" thickBot="1">
      <c r="A1007" s="227"/>
      <c r="B1007" s="319"/>
      <c r="C1007" s="319"/>
      <c r="D1007" s="320"/>
      <c r="E1007" s="320"/>
      <c r="F1007" s="190"/>
      <c r="G10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7" s="190"/>
      <c r="I10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7" s="190"/>
      <c r="K10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7" s="190"/>
      <c r="M10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7" s="190"/>
      <c r="O10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7" s="190"/>
      <c r="Q10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7" s="192">
        <f ca="1">Table66[[#This Row],[Year 1 (Specified in RFO) - N/A]]+Table66[[#This Row],[Year 2 (Specified in RFO) - N/A]]+Table66[[#This Row],[Year 3 (Specified in RFO) - N/A]]+Table66[[#This Row],[Year 4 (Specified in RFO) - N/A]]+Table66[[#This Row],[Year 5 (Specified in RFO) - N/A]]+Table66[[#This Row],[Year 6 (Specified in RFO) - N/A]]</f>
        <v>0</v>
      </c>
      <c r="S1007" s="402">
        <f ca="1">Table66[[#This Row],[Year 1  (Proposed)]]+Table66[[#This Row],[Year 2 (Proposed)]]+Table66[[#This Row],[Year 3 (Proposed)]]+Table66[[#This Row],[Year 4 (Proposed)]]+Table66[[#This Row],[Year 5 (Proposed)]]+Table66[[#This Row],[Year 6 (Proposed)]]</f>
        <v>0</v>
      </c>
      <c r="T1007" s="403" t="b">
        <f ca="1">Table66[[#This Row],[Total Specifed in RFO - N/A]]=Table66[[#This Row],[Total Proposed]]</f>
        <v>1</v>
      </c>
      <c r="U1007" s="439"/>
      <c r="V1007" s="441">
        <f ca="1">Table66[[#This Row],[Year 6 (Specified in RFO) - N/A]]-Table66[[#This Row],[Column1]]</f>
        <v>0</v>
      </c>
    </row>
    <row r="1008" spans="1:22" ht="16.5" thickBot="1">
      <c r="A1008" s="227"/>
      <c r="B1008" s="319"/>
      <c r="C1008" s="319"/>
      <c r="D1008" s="320"/>
      <c r="E1008" s="320"/>
      <c r="F1008" s="190"/>
      <c r="G10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8" s="190"/>
      <c r="I10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8" s="190"/>
      <c r="K10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8" s="190"/>
      <c r="M10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8" s="190"/>
      <c r="O10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8" s="190"/>
      <c r="Q10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8" s="192">
        <f ca="1">Table66[[#This Row],[Year 1 (Specified in RFO) - N/A]]+Table66[[#This Row],[Year 2 (Specified in RFO) - N/A]]+Table66[[#This Row],[Year 3 (Specified in RFO) - N/A]]+Table66[[#This Row],[Year 4 (Specified in RFO) - N/A]]+Table66[[#This Row],[Year 5 (Specified in RFO) - N/A]]+Table66[[#This Row],[Year 6 (Specified in RFO) - N/A]]</f>
        <v>0</v>
      </c>
      <c r="S1008" s="402">
        <f ca="1">Table66[[#This Row],[Year 1  (Proposed)]]+Table66[[#This Row],[Year 2 (Proposed)]]+Table66[[#This Row],[Year 3 (Proposed)]]+Table66[[#This Row],[Year 4 (Proposed)]]+Table66[[#This Row],[Year 5 (Proposed)]]+Table66[[#This Row],[Year 6 (Proposed)]]</f>
        <v>0</v>
      </c>
      <c r="T1008" s="403" t="b">
        <f ca="1">Table66[[#This Row],[Total Specifed in RFO - N/A]]=Table66[[#This Row],[Total Proposed]]</f>
        <v>1</v>
      </c>
      <c r="U1008" s="439"/>
      <c r="V1008" s="441">
        <f ca="1">Table66[[#This Row],[Year 6 (Specified in RFO) - N/A]]-Table66[[#This Row],[Column1]]</f>
        <v>0</v>
      </c>
    </row>
    <row r="1009" spans="1:22" ht="16.5" thickBot="1">
      <c r="A1009" s="227"/>
      <c r="B1009" s="319"/>
      <c r="C1009" s="319"/>
      <c r="D1009" s="320"/>
      <c r="E1009" s="320"/>
      <c r="F1009" s="190"/>
      <c r="G10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9" s="190"/>
      <c r="I10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9" s="190"/>
      <c r="K10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9" s="190"/>
      <c r="M10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9" s="190"/>
      <c r="O10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9" s="190"/>
      <c r="Q10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9" s="192">
        <f ca="1">Table66[[#This Row],[Year 1 (Specified in RFO) - N/A]]+Table66[[#This Row],[Year 2 (Specified in RFO) - N/A]]+Table66[[#This Row],[Year 3 (Specified in RFO) - N/A]]+Table66[[#This Row],[Year 4 (Specified in RFO) - N/A]]+Table66[[#This Row],[Year 5 (Specified in RFO) - N/A]]+Table66[[#This Row],[Year 6 (Specified in RFO) - N/A]]</f>
        <v>0</v>
      </c>
      <c r="S1009" s="402">
        <f ca="1">Table66[[#This Row],[Year 1  (Proposed)]]+Table66[[#This Row],[Year 2 (Proposed)]]+Table66[[#This Row],[Year 3 (Proposed)]]+Table66[[#This Row],[Year 4 (Proposed)]]+Table66[[#This Row],[Year 5 (Proposed)]]+Table66[[#This Row],[Year 6 (Proposed)]]</f>
        <v>0</v>
      </c>
      <c r="T1009" s="403" t="b">
        <f ca="1">Table66[[#This Row],[Total Specifed in RFO - N/A]]=Table66[[#This Row],[Total Proposed]]</f>
        <v>1</v>
      </c>
      <c r="U1009" s="439"/>
      <c r="V1009" s="441">
        <f ca="1">Table66[[#This Row],[Year 6 (Specified in RFO) - N/A]]-Table66[[#This Row],[Column1]]</f>
        <v>0</v>
      </c>
    </row>
    <row r="1010" spans="1:22" ht="16.5" thickBot="1">
      <c r="A1010" s="227"/>
      <c r="B1010" s="319"/>
      <c r="C1010" s="319"/>
      <c r="D1010" s="320"/>
      <c r="E1010" s="320"/>
      <c r="F1010" s="190"/>
      <c r="G10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0" s="190"/>
      <c r="I10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0" s="190"/>
      <c r="K10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0" s="190"/>
      <c r="M10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0" s="190"/>
      <c r="O10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0" s="190"/>
      <c r="Q10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0" s="192">
        <f ca="1">Table66[[#This Row],[Year 1 (Specified in RFO) - N/A]]+Table66[[#This Row],[Year 2 (Specified in RFO) - N/A]]+Table66[[#This Row],[Year 3 (Specified in RFO) - N/A]]+Table66[[#This Row],[Year 4 (Specified in RFO) - N/A]]+Table66[[#This Row],[Year 5 (Specified in RFO) - N/A]]+Table66[[#This Row],[Year 6 (Specified in RFO) - N/A]]</f>
        <v>0</v>
      </c>
      <c r="S1010" s="402">
        <f ca="1">Table66[[#This Row],[Year 1  (Proposed)]]+Table66[[#This Row],[Year 2 (Proposed)]]+Table66[[#This Row],[Year 3 (Proposed)]]+Table66[[#This Row],[Year 4 (Proposed)]]+Table66[[#This Row],[Year 5 (Proposed)]]+Table66[[#This Row],[Year 6 (Proposed)]]</f>
        <v>0</v>
      </c>
      <c r="T1010" s="403" t="b">
        <f ca="1">Table66[[#This Row],[Total Specifed in RFO - N/A]]=Table66[[#This Row],[Total Proposed]]</f>
        <v>1</v>
      </c>
      <c r="U1010" s="439"/>
      <c r="V1010" s="441">
        <f ca="1">Table66[[#This Row],[Year 6 (Specified in RFO) - N/A]]-Table66[[#This Row],[Column1]]</f>
        <v>0</v>
      </c>
    </row>
    <row r="1011" spans="1:22" ht="16.5" thickBot="1">
      <c r="A1011" s="227"/>
      <c r="B1011" s="319"/>
      <c r="C1011" s="319"/>
      <c r="D1011" s="320"/>
      <c r="E1011" s="320"/>
      <c r="F1011" s="190"/>
      <c r="G10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1" s="190"/>
      <c r="I10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1" s="190"/>
      <c r="K10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1" s="190"/>
      <c r="M10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1" s="190"/>
      <c r="O10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1" s="190"/>
      <c r="Q10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1" s="192">
        <f ca="1">Table66[[#This Row],[Year 1 (Specified in RFO) - N/A]]+Table66[[#This Row],[Year 2 (Specified in RFO) - N/A]]+Table66[[#This Row],[Year 3 (Specified in RFO) - N/A]]+Table66[[#This Row],[Year 4 (Specified in RFO) - N/A]]+Table66[[#This Row],[Year 5 (Specified in RFO) - N/A]]+Table66[[#This Row],[Year 6 (Specified in RFO) - N/A]]</f>
        <v>0</v>
      </c>
      <c r="S1011" s="402">
        <f ca="1">Table66[[#This Row],[Year 1  (Proposed)]]+Table66[[#This Row],[Year 2 (Proposed)]]+Table66[[#This Row],[Year 3 (Proposed)]]+Table66[[#This Row],[Year 4 (Proposed)]]+Table66[[#This Row],[Year 5 (Proposed)]]+Table66[[#This Row],[Year 6 (Proposed)]]</f>
        <v>0</v>
      </c>
      <c r="T1011" s="403" t="b">
        <f ca="1">Table66[[#This Row],[Total Specifed in RFO - N/A]]=Table66[[#This Row],[Total Proposed]]</f>
        <v>1</v>
      </c>
      <c r="U1011" s="439"/>
      <c r="V1011" s="441">
        <f ca="1">Table66[[#This Row],[Year 6 (Specified in RFO) - N/A]]-Table66[[#This Row],[Column1]]</f>
        <v>0</v>
      </c>
    </row>
    <row r="1012" spans="1:22" ht="16.5" thickBot="1">
      <c r="A1012" s="227"/>
      <c r="B1012" s="319"/>
      <c r="C1012" s="319"/>
      <c r="D1012" s="320"/>
      <c r="E1012" s="320"/>
      <c r="F1012" s="190"/>
      <c r="G10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2" s="190"/>
      <c r="I10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2" s="190"/>
      <c r="K10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2" s="190"/>
      <c r="M10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2" s="190"/>
      <c r="O10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2" s="190"/>
      <c r="Q10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2" s="192">
        <f ca="1">Table66[[#This Row],[Year 1 (Specified in RFO) - N/A]]+Table66[[#This Row],[Year 2 (Specified in RFO) - N/A]]+Table66[[#This Row],[Year 3 (Specified in RFO) - N/A]]+Table66[[#This Row],[Year 4 (Specified in RFO) - N/A]]+Table66[[#This Row],[Year 5 (Specified in RFO) - N/A]]+Table66[[#This Row],[Year 6 (Specified in RFO) - N/A]]</f>
        <v>0</v>
      </c>
      <c r="S1012" s="402">
        <f ca="1">Table66[[#This Row],[Year 1  (Proposed)]]+Table66[[#This Row],[Year 2 (Proposed)]]+Table66[[#This Row],[Year 3 (Proposed)]]+Table66[[#This Row],[Year 4 (Proposed)]]+Table66[[#This Row],[Year 5 (Proposed)]]+Table66[[#This Row],[Year 6 (Proposed)]]</f>
        <v>0</v>
      </c>
      <c r="T1012" s="403" t="b">
        <f ca="1">Table66[[#This Row],[Total Specifed in RFO - N/A]]=Table66[[#This Row],[Total Proposed]]</f>
        <v>1</v>
      </c>
      <c r="U1012" s="439"/>
      <c r="V1012" s="441">
        <f ca="1">Table66[[#This Row],[Year 6 (Specified in RFO) - N/A]]-Table66[[#This Row],[Column1]]</f>
        <v>0</v>
      </c>
    </row>
    <row r="1013" spans="1:22" ht="16.5" thickBot="1">
      <c r="A1013" s="227"/>
      <c r="B1013" s="319"/>
      <c r="C1013" s="319"/>
      <c r="D1013" s="320"/>
      <c r="E1013" s="320"/>
      <c r="F1013" s="190"/>
      <c r="G10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3" s="190"/>
      <c r="I10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3" s="190"/>
      <c r="K10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3" s="190"/>
      <c r="M10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3" s="190"/>
      <c r="O10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3" s="190"/>
      <c r="Q10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3" s="192">
        <f ca="1">Table66[[#This Row],[Year 1 (Specified in RFO) - N/A]]+Table66[[#This Row],[Year 2 (Specified in RFO) - N/A]]+Table66[[#This Row],[Year 3 (Specified in RFO) - N/A]]+Table66[[#This Row],[Year 4 (Specified in RFO) - N/A]]+Table66[[#This Row],[Year 5 (Specified in RFO) - N/A]]+Table66[[#This Row],[Year 6 (Specified in RFO) - N/A]]</f>
        <v>0</v>
      </c>
      <c r="S1013" s="402">
        <f ca="1">Table66[[#This Row],[Year 1  (Proposed)]]+Table66[[#This Row],[Year 2 (Proposed)]]+Table66[[#This Row],[Year 3 (Proposed)]]+Table66[[#This Row],[Year 4 (Proposed)]]+Table66[[#This Row],[Year 5 (Proposed)]]+Table66[[#This Row],[Year 6 (Proposed)]]</f>
        <v>0</v>
      </c>
      <c r="T1013" s="403" t="b">
        <f ca="1">Table66[[#This Row],[Total Specifed in RFO - N/A]]=Table66[[#This Row],[Total Proposed]]</f>
        <v>1</v>
      </c>
      <c r="U1013" s="439"/>
      <c r="V1013" s="441">
        <f ca="1">Table66[[#This Row],[Year 6 (Specified in RFO) - N/A]]-Table66[[#This Row],[Column1]]</f>
        <v>0</v>
      </c>
    </row>
    <row r="1014" spans="1:22" ht="16.5" thickBot="1">
      <c r="A1014" s="227"/>
      <c r="B1014" s="319"/>
      <c r="C1014" s="319"/>
      <c r="D1014" s="320"/>
      <c r="E1014" s="320"/>
      <c r="F1014" s="190"/>
      <c r="G10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4" s="190"/>
      <c r="I10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4" s="190"/>
      <c r="K10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4" s="190"/>
      <c r="M10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4" s="190"/>
      <c r="O10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4" s="190"/>
      <c r="Q10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4" s="192">
        <f ca="1">Table66[[#This Row],[Year 1 (Specified in RFO) - N/A]]+Table66[[#This Row],[Year 2 (Specified in RFO) - N/A]]+Table66[[#This Row],[Year 3 (Specified in RFO) - N/A]]+Table66[[#This Row],[Year 4 (Specified in RFO) - N/A]]+Table66[[#This Row],[Year 5 (Specified in RFO) - N/A]]+Table66[[#This Row],[Year 6 (Specified in RFO) - N/A]]</f>
        <v>0</v>
      </c>
      <c r="S1014" s="402">
        <f ca="1">Table66[[#This Row],[Year 1  (Proposed)]]+Table66[[#This Row],[Year 2 (Proposed)]]+Table66[[#This Row],[Year 3 (Proposed)]]+Table66[[#This Row],[Year 4 (Proposed)]]+Table66[[#This Row],[Year 5 (Proposed)]]+Table66[[#This Row],[Year 6 (Proposed)]]</f>
        <v>0</v>
      </c>
      <c r="T1014" s="403" t="b">
        <f ca="1">Table66[[#This Row],[Total Specifed in RFO - N/A]]=Table66[[#This Row],[Total Proposed]]</f>
        <v>1</v>
      </c>
      <c r="U1014" s="439"/>
      <c r="V1014" s="441">
        <f ca="1">Table66[[#This Row],[Year 6 (Specified in RFO) - N/A]]-Table66[[#This Row],[Column1]]</f>
        <v>0</v>
      </c>
    </row>
    <row r="1015" spans="1:22" ht="16.5" thickBot="1">
      <c r="A1015" s="227"/>
      <c r="B1015" s="319"/>
      <c r="C1015" s="319"/>
      <c r="D1015" s="320"/>
      <c r="E1015" s="320"/>
      <c r="F1015" s="190"/>
      <c r="G10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5" s="190"/>
      <c r="I10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5" s="190"/>
      <c r="K10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5" s="190"/>
      <c r="M10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5" s="190"/>
      <c r="O10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5" s="190"/>
      <c r="Q10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5" s="192">
        <f ca="1">Table66[[#This Row],[Year 1 (Specified in RFO) - N/A]]+Table66[[#This Row],[Year 2 (Specified in RFO) - N/A]]+Table66[[#This Row],[Year 3 (Specified in RFO) - N/A]]+Table66[[#This Row],[Year 4 (Specified in RFO) - N/A]]+Table66[[#This Row],[Year 5 (Specified in RFO) - N/A]]+Table66[[#This Row],[Year 6 (Specified in RFO) - N/A]]</f>
        <v>0</v>
      </c>
      <c r="S1015" s="402">
        <f ca="1">Table66[[#This Row],[Year 1  (Proposed)]]+Table66[[#This Row],[Year 2 (Proposed)]]+Table66[[#This Row],[Year 3 (Proposed)]]+Table66[[#This Row],[Year 4 (Proposed)]]+Table66[[#This Row],[Year 5 (Proposed)]]+Table66[[#This Row],[Year 6 (Proposed)]]</f>
        <v>0</v>
      </c>
      <c r="T1015" s="403" t="b">
        <f ca="1">Table66[[#This Row],[Total Specifed in RFO - N/A]]=Table66[[#This Row],[Total Proposed]]</f>
        <v>1</v>
      </c>
      <c r="U1015" s="439"/>
      <c r="V1015" s="441">
        <f ca="1">Table66[[#This Row],[Year 6 (Specified in RFO) - N/A]]-Table66[[#This Row],[Column1]]</f>
        <v>0</v>
      </c>
    </row>
    <row r="1016" spans="1:22" ht="16.5" thickBot="1">
      <c r="A1016" s="227"/>
      <c r="B1016" s="319"/>
      <c r="C1016" s="319"/>
      <c r="D1016" s="320"/>
      <c r="E1016" s="320"/>
      <c r="F1016" s="190"/>
      <c r="G10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6" s="190"/>
      <c r="I10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6" s="190"/>
      <c r="K10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6" s="190"/>
      <c r="M10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6" s="190"/>
      <c r="O10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6" s="190"/>
      <c r="Q10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6" s="192">
        <f ca="1">Table66[[#This Row],[Year 1 (Specified in RFO) - N/A]]+Table66[[#This Row],[Year 2 (Specified in RFO) - N/A]]+Table66[[#This Row],[Year 3 (Specified in RFO) - N/A]]+Table66[[#This Row],[Year 4 (Specified in RFO) - N/A]]+Table66[[#This Row],[Year 5 (Specified in RFO) - N/A]]+Table66[[#This Row],[Year 6 (Specified in RFO) - N/A]]</f>
        <v>0</v>
      </c>
      <c r="S1016" s="402">
        <f ca="1">Table66[[#This Row],[Year 1  (Proposed)]]+Table66[[#This Row],[Year 2 (Proposed)]]+Table66[[#This Row],[Year 3 (Proposed)]]+Table66[[#This Row],[Year 4 (Proposed)]]+Table66[[#This Row],[Year 5 (Proposed)]]+Table66[[#This Row],[Year 6 (Proposed)]]</f>
        <v>0</v>
      </c>
      <c r="T1016" s="403" t="b">
        <f ca="1">Table66[[#This Row],[Total Specifed in RFO - N/A]]=Table66[[#This Row],[Total Proposed]]</f>
        <v>1</v>
      </c>
      <c r="U1016" s="439"/>
      <c r="V1016" s="441">
        <f ca="1">Table66[[#This Row],[Year 6 (Specified in RFO) - N/A]]-Table66[[#This Row],[Column1]]</f>
        <v>0</v>
      </c>
    </row>
    <row r="1017" spans="1:22" ht="16.5" thickBot="1">
      <c r="A1017" s="227"/>
      <c r="B1017" s="319"/>
      <c r="C1017" s="319"/>
      <c r="D1017" s="320"/>
      <c r="E1017" s="320"/>
      <c r="F1017" s="190"/>
      <c r="G10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7" s="190"/>
      <c r="I10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7" s="190"/>
      <c r="K10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7" s="190"/>
      <c r="M10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7" s="190"/>
      <c r="O10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7" s="190"/>
      <c r="Q10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7" s="192">
        <f ca="1">Table66[[#This Row],[Year 1 (Specified in RFO) - N/A]]+Table66[[#This Row],[Year 2 (Specified in RFO) - N/A]]+Table66[[#This Row],[Year 3 (Specified in RFO) - N/A]]+Table66[[#This Row],[Year 4 (Specified in RFO) - N/A]]+Table66[[#This Row],[Year 5 (Specified in RFO) - N/A]]+Table66[[#This Row],[Year 6 (Specified in RFO) - N/A]]</f>
        <v>0</v>
      </c>
      <c r="S1017" s="402">
        <f ca="1">Table66[[#This Row],[Year 1  (Proposed)]]+Table66[[#This Row],[Year 2 (Proposed)]]+Table66[[#This Row],[Year 3 (Proposed)]]+Table66[[#This Row],[Year 4 (Proposed)]]+Table66[[#This Row],[Year 5 (Proposed)]]+Table66[[#This Row],[Year 6 (Proposed)]]</f>
        <v>0</v>
      </c>
      <c r="T1017" s="403" t="b">
        <f ca="1">Table66[[#This Row],[Total Specifed in RFO - N/A]]=Table66[[#This Row],[Total Proposed]]</f>
        <v>1</v>
      </c>
      <c r="U1017" s="439"/>
      <c r="V1017" s="441">
        <f ca="1">Table66[[#This Row],[Year 6 (Specified in RFO) - N/A]]-Table66[[#This Row],[Column1]]</f>
        <v>0</v>
      </c>
    </row>
    <row r="1018" spans="1:22" ht="16.5" thickBot="1">
      <c r="A1018" s="227"/>
      <c r="B1018" s="319"/>
      <c r="C1018" s="319"/>
      <c r="D1018" s="320"/>
      <c r="E1018" s="320"/>
      <c r="F1018" s="190"/>
      <c r="G10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8" s="190"/>
      <c r="I10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8" s="190"/>
      <c r="K10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8" s="190"/>
      <c r="M10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8" s="190"/>
      <c r="O10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8" s="190"/>
      <c r="Q10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8" s="192">
        <f ca="1">Table66[[#This Row],[Year 1 (Specified in RFO) - N/A]]+Table66[[#This Row],[Year 2 (Specified in RFO) - N/A]]+Table66[[#This Row],[Year 3 (Specified in RFO) - N/A]]+Table66[[#This Row],[Year 4 (Specified in RFO) - N/A]]+Table66[[#This Row],[Year 5 (Specified in RFO) - N/A]]+Table66[[#This Row],[Year 6 (Specified in RFO) - N/A]]</f>
        <v>0</v>
      </c>
      <c r="S1018" s="402">
        <f ca="1">Table66[[#This Row],[Year 1  (Proposed)]]+Table66[[#This Row],[Year 2 (Proposed)]]+Table66[[#This Row],[Year 3 (Proposed)]]+Table66[[#This Row],[Year 4 (Proposed)]]+Table66[[#This Row],[Year 5 (Proposed)]]+Table66[[#This Row],[Year 6 (Proposed)]]</f>
        <v>0</v>
      </c>
      <c r="T1018" s="403" t="b">
        <f ca="1">Table66[[#This Row],[Total Specifed in RFO - N/A]]=Table66[[#This Row],[Total Proposed]]</f>
        <v>1</v>
      </c>
      <c r="U1018" s="439"/>
      <c r="V1018" s="441">
        <f ca="1">Table66[[#This Row],[Year 6 (Specified in RFO) - N/A]]-Table66[[#This Row],[Column1]]</f>
        <v>0</v>
      </c>
    </row>
    <row r="1019" spans="1:22" ht="16.5" thickBot="1">
      <c r="A1019" s="227"/>
      <c r="B1019" s="319"/>
      <c r="C1019" s="319"/>
      <c r="D1019" s="320"/>
      <c r="E1019" s="320"/>
      <c r="F1019" s="190"/>
      <c r="G10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9" s="190"/>
      <c r="I10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9" s="190"/>
      <c r="K10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9" s="190"/>
      <c r="M10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9" s="190"/>
      <c r="O10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9" s="190"/>
      <c r="Q10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9" s="192">
        <f ca="1">Table66[[#This Row],[Year 1 (Specified in RFO) - N/A]]+Table66[[#This Row],[Year 2 (Specified in RFO) - N/A]]+Table66[[#This Row],[Year 3 (Specified in RFO) - N/A]]+Table66[[#This Row],[Year 4 (Specified in RFO) - N/A]]+Table66[[#This Row],[Year 5 (Specified in RFO) - N/A]]+Table66[[#This Row],[Year 6 (Specified in RFO) - N/A]]</f>
        <v>0</v>
      </c>
      <c r="S1019" s="402">
        <f ca="1">Table66[[#This Row],[Year 1  (Proposed)]]+Table66[[#This Row],[Year 2 (Proposed)]]+Table66[[#This Row],[Year 3 (Proposed)]]+Table66[[#This Row],[Year 4 (Proposed)]]+Table66[[#This Row],[Year 5 (Proposed)]]+Table66[[#This Row],[Year 6 (Proposed)]]</f>
        <v>0</v>
      </c>
      <c r="T1019" s="403" t="b">
        <f ca="1">Table66[[#This Row],[Total Specifed in RFO - N/A]]=Table66[[#This Row],[Total Proposed]]</f>
        <v>1</v>
      </c>
      <c r="U1019" s="439"/>
      <c r="V1019" s="441">
        <f ca="1">Table66[[#This Row],[Year 6 (Specified in RFO) - N/A]]-Table66[[#This Row],[Column1]]</f>
        <v>0</v>
      </c>
    </row>
    <row r="1020" spans="1:22" ht="16.5" thickBot="1">
      <c r="A1020" s="227"/>
      <c r="B1020" s="319"/>
      <c r="C1020" s="319"/>
      <c r="D1020" s="320"/>
      <c r="E1020" s="320"/>
      <c r="F1020" s="190"/>
      <c r="G10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0" s="190"/>
      <c r="I10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0" s="190"/>
      <c r="K10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0" s="190"/>
      <c r="M10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0" s="190"/>
      <c r="O10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0" s="190"/>
      <c r="Q10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0" s="192">
        <f ca="1">Table66[[#This Row],[Year 1 (Specified in RFO) - N/A]]+Table66[[#This Row],[Year 2 (Specified in RFO) - N/A]]+Table66[[#This Row],[Year 3 (Specified in RFO) - N/A]]+Table66[[#This Row],[Year 4 (Specified in RFO) - N/A]]+Table66[[#This Row],[Year 5 (Specified in RFO) - N/A]]+Table66[[#This Row],[Year 6 (Specified in RFO) - N/A]]</f>
        <v>0</v>
      </c>
      <c r="S1020" s="402">
        <f ca="1">Table66[[#This Row],[Year 1  (Proposed)]]+Table66[[#This Row],[Year 2 (Proposed)]]+Table66[[#This Row],[Year 3 (Proposed)]]+Table66[[#This Row],[Year 4 (Proposed)]]+Table66[[#This Row],[Year 5 (Proposed)]]+Table66[[#This Row],[Year 6 (Proposed)]]</f>
        <v>0</v>
      </c>
      <c r="T1020" s="403" t="b">
        <f ca="1">Table66[[#This Row],[Total Specifed in RFO - N/A]]=Table66[[#This Row],[Total Proposed]]</f>
        <v>1</v>
      </c>
      <c r="U1020" s="439"/>
      <c r="V1020" s="441">
        <f ca="1">Table66[[#This Row],[Year 6 (Specified in RFO) - N/A]]-Table66[[#This Row],[Column1]]</f>
        <v>0</v>
      </c>
    </row>
    <row r="1021" spans="1:22" ht="16.5" thickBot="1">
      <c r="A1021" s="227"/>
      <c r="B1021" s="319"/>
      <c r="C1021" s="319"/>
      <c r="D1021" s="320"/>
      <c r="E1021" s="320"/>
      <c r="F1021" s="190"/>
      <c r="G10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1" s="190"/>
      <c r="I10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1" s="190"/>
      <c r="K10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1" s="190"/>
      <c r="M10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1" s="190"/>
      <c r="O10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1" s="190"/>
      <c r="Q10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1" s="192">
        <f ca="1">Table66[[#This Row],[Year 1 (Specified in RFO) - N/A]]+Table66[[#This Row],[Year 2 (Specified in RFO) - N/A]]+Table66[[#This Row],[Year 3 (Specified in RFO) - N/A]]+Table66[[#This Row],[Year 4 (Specified in RFO) - N/A]]+Table66[[#This Row],[Year 5 (Specified in RFO) - N/A]]+Table66[[#This Row],[Year 6 (Specified in RFO) - N/A]]</f>
        <v>0</v>
      </c>
      <c r="S1021" s="402">
        <f ca="1">Table66[[#This Row],[Year 1  (Proposed)]]+Table66[[#This Row],[Year 2 (Proposed)]]+Table66[[#This Row],[Year 3 (Proposed)]]+Table66[[#This Row],[Year 4 (Proposed)]]+Table66[[#This Row],[Year 5 (Proposed)]]+Table66[[#This Row],[Year 6 (Proposed)]]</f>
        <v>0</v>
      </c>
      <c r="T1021" s="403" t="b">
        <f ca="1">Table66[[#This Row],[Total Specifed in RFO - N/A]]=Table66[[#This Row],[Total Proposed]]</f>
        <v>1</v>
      </c>
      <c r="U1021" s="439"/>
      <c r="V1021" s="441">
        <f ca="1">Table66[[#This Row],[Year 6 (Specified in RFO) - N/A]]-Table66[[#This Row],[Column1]]</f>
        <v>0</v>
      </c>
    </row>
    <row r="1022" spans="1:22" ht="16.5" thickBot="1">
      <c r="A1022" s="227"/>
      <c r="B1022" s="319"/>
      <c r="C1022" s="319"/>
      <c r="D1022" s="320"/>
      <c r="E1022" s="320"/>
      <c r="F1022" s="190"/>
      <c r="G10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2" s="190"/>
      <c r="I10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2" s="190"/>
      <c r="K10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2" s="190"/>
      <c r="M10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2" s="190"/>
      <c r="O10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2" s="190"/>
      <c r="Q10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2" s="192">
        <f ca="1">Table66[[#This Row],[Year 1 (Specified in RFO) - N/A]]+Table66[[#This Row],[Year 2 (Specified in RFO) - N/A]]+Table66[[#This Row],[Year 3 (Specified in RFO) - N/A]]+Table66[[#This Row],[Year 4 (Specified in RFO) - N/A]]+Table66[[#This Row],[Year 5 (Specified in RFO) - N/A]]+Table66[[#This Row],[Year 6 (Specified in RFO) - N/A]]</f>
        <v>0</v>
      </c>
      <c r="S1022" s="402">
        <f ca="1">Table66[[#This Row],[Year 1  (Proposed)]]+Table66[[#This Row],[Year 2 (Proposed)]]+Table66[[#This Row],[Year 3 (Proposed)]]+Table66[[#This Row],[Year 4 (Proposed)]]+Table66[[#This Row],[Year 5 (Proposed)]]+Table66[[#This Row],[Year 6 (Proposed)]]</f>
        <v>0</v>
      </c>
      <c r="T1022" s="403" t="b">
        <f ca="1">Table66[[#This Row],[Total Specifed in RFO - N/A]]=Table66[[#This Row],[Total Proposed]]</f>
        <v>1</v>
      </c>
      <c r="U1022" s="439"/>
      <c r="V1022" s="441">
        <f ca="1">Table66[[#This Row],[Year 6 (Specified in RFO) - N/A]]-Table66[[#This Row],[Column1]]</f>
        <v>0</v>
      </c>
    </row>
    <row r="1023" spans="1:22" ht="16.5" thickBot="1">
      <c r="A1023" s="227"/>
      <c r="B1023" s="319"/>
      <c r="C1023" s="319"/>
      <c r="D1023" s="320"/>
      <c r="E1023" s="320"/>
      <c r="F1023" s="190"/>
      <c r="G10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3" s="190"/>
      <c r="I10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3" s="190"/>
      <c r="K10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3" s="190"/>
      <c r="M10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3" s="190"/>
      <c r="O10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3" s="190"/>
      <c r="Q10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3" s="192">
        <f ca="1">Table66[[#This Row],[Year 1 (Specified in RFO) - N/A]]+Table66[[#This Row],[Year 2 (Specified in RFO) - N/A]]+Table66[[#This Row],[Year 3 (Specified in RFO) - N/A]]+Table66[[#This Row],[Year 4 (Specified in RFO) - N/A]]+Table66[[#This Row],[Year 5 (Specified in RFO) - N/A]]+Table66[[#This Row],[Year 6 (Specified in RFO) - N/A]]</f>
        <v>0</v>
      </c>
      <c r="S1023" s="402">
        <f ca="1">Table66[[#This Row],[Year 1  (Proposed)]]+Table66[[#This Row],[Year 2 (Proposed)]]+Table66[[#This Row],[Year 3 (Proposed)]]+Table66[[#This Row],[Year 4 (Proposed)]]+Table66[[#This Row],[Year 5 (Proposed)]]+Table66[[#This Row],[Year 6 (Proposed)]]</f>
        <v>0</v>
      </c>
      <c r="T1023" s="403" t="b">
        <f ca="1">Table66[[#This Row],[Total Specifed in RFO - N/A]]=Table66[[#This Row],[Total Proposed]]</f>
        <v>1</v>
      </c>
      <c r="U1023" s="439"/>
      <c r="V1023" s="441">
        <f ca="1">Table66[[#This Row],[Year 6 (Specified in RFO) - N/A]]-Table66[[#This Row],[Column1]]</f>
        <v>0</v>
      </c>
    </row>
    <row r="1024" spans="1:22" ht="16.5" thickBot="1">
      <c r="A1024" s="227"/>
      <c r="B1024" s="319"/>
      <c r="C1024" s="319"/>
      <c r="D1024" s="320"/>
      <c r="E1024" s="320"/>
      <c r="F1024" s="190"/>
      <c r="G10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4" s="190"/>
      <c r="I10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4" s="190"/>
      <c r="K10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4" s="190"/>
      <c r="M10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4" s="190"/>
      <c r="O10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4" s="190"/>
      <c r="Q10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4" s="192">
        <f ca="1">Table66[[#This Row],[Year 1 (Specified in RFO) - N/A]]+Table66[[#This Row],[Year 2 (Specified in RFO) - N/A]]+Table66[[#This Row],[Year 3 (Specified in RFO) - N/A]]+Table66[[#This Row],[Year 4 (Specified in RFO) - N/A]]+Table66[[#This Row],[Year 5 (Specified in RFO) - N/A]]+Table66[[#This Row],[Year 6 (Specified in RFO) - N/A]]</f>
        <v>0</v>
      </c>
      <c r="S1024" s="402">
        <f ca="1">Table66[[#This Row],[Year 1  (Proposed)]]+Table66[[#This Row],[Year 2 (Proposed)]]+Table66[[#This Row],[Year 3 (Proposed)]]+Table66[[#This Row],[Year 4 (Proposed)]]+Table66[[#This Row],[Year 5 (Proposed)]]+Table66[[#This Row],[Year 6 (Proposed)]]</f>
        <v>0</v>
      </c>
      <c r="T1024" s="403" t="b">
        <f ca="1">Table66[[#This Row],[Total Specifed in RFO - N/A]]=Table66[[#This Row],[Total Proposed]]</f>
        <v>1</v>
      </c>
      <c r="U1024" s="439"/>
      <c r="V1024" s="441">
        <f ca="1">Table66[[#This Row],[Year 6 (Specified in RFO) - N/A]]-Table66[[#This Row],[Column1]]</f>
        <v>0</v>
      </c>
    </row>
    <row r="1025" spans="1:22" ht="16.5" thickBot="1">
      <c r="A1025" s="227"/>
      <c r="B1025" s="319"/>
      <c r="C1025" s="319"/>
      <c r="D1025" s="320"/>
      <c r="E1025" s="320"/>
      <c r="F1025" s="190"/>
      <c r="G10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5" s="190"/>
      <c r="I10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5" s="190"/>
      <c r="K10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5" s="190"/>
      <c r="M10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5" s="190"/>
      <c r="O10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5" s="190"/>
      <c r="Q10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5" s="192">
        <f ca="1">Table66[[#This Row],[Year 1 (Specified in RFO) - N/A]]+Table66[[#This Row],[Year 2 (Specified in RFO) - N/A]]+Table66[[#This Row],[Year 3 (Specified in RFO) - N/A]]+Table66[[#This Row],[Year 4 (Specified in RFO) - N/A]]+Table66[[#This Row],[Year 5 (Specified in RFO) - N/A]]+Table66[[#This Row],[Year 6 (Specified in RFO) - N/A]]</f>
        <v>0</v>
      </c>
      <c r="S1025" s="402">
        <f ca="1">Table66[[#This Row],[Year 1  (Proposed)]]+Table66[[#This Row],[Year 2 (Proposed)]]+Table66[[#This Row],[Year 3 (Proposed)]]+Table66[[#This Row],[Year 4 (Proposed)]]+Table66[[#This Row],[Year 5 (Proposed)]]+Table66[[#This Row],[Year 6 (Proposed)]]</f>
        <v>0</v>
      </c>
      <c r="T1025" s="403" t="b">
        <f ca="1">Table66[[#This Row],[Total Specifed in RFO - N/A]]=Table66[[#This Row],[Total Proposed]]</f>
        <v>1</v>
      </c>
      <c r="U1025" s="439"/>
      <c r="V1025" s="441">
        <f ca="1">Table66[[#This Row],[Year 6 (Specified in RFO) - N/A]]-Table66[[#This Row],[Column1]]</f>
        <v>0</v>
      </c>
    </row>
    <row r="1026" spans="1:22" ht="16.5" thickBot="1">
      <c r="A1026" s="227"/>
      <c r="B1026" s="319"/>
      <c r="C1026" s="319"/>
      <c r="D1026" s="320"/>
      <c r="E1026" s="320"/>
      <c r="F1026" s="190"/>
      <c r="G10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6" s="190"/>
      <c r="I10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6" s="190"/>
      <c r="K10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6" s="190"/>
      <c r="M10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6" s="190"/>
      <c r="O10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6" s="190"/>
      <c r="Q10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6" s="192">
        <f ca="1">Table66[[#This Row],[Year 1 (Specified in RFO) - N/A]]+Table66[[#This Row],[Year 2 (Specified in RFO) - N/A]]+Table66[[#This Row],[Year 3 (Specified in RFO) - N/A]]+Table66[[#This Row],[Year 4 (Specified in RFO) - N/A]]+Table66[[#This Row],[Year 5 (Specified in RFO) - N/A]]+Table66[[#This Row],[Year 6 (Specified in RFO) - N/A]]</f>
        <v>0</v>
      </c>
      <c r="S1026" s="402">
        <f ca="1">Table66[[#This Row],[Year 1  (Proposed)]]+Table66[[#This Row],[Year 2 (Proposed)]]+Table66[[#This Row],[Year 3 (Proposed)]]+Table66[[#This Row],[Year 4 (Proposed)]]+Table66[[#This Row],[Year 5 (Proposed)]]+Table66[[#This Row],[Year 6 (Proposed)]]</f>
        <v>0</v>
      </c>
      <c r="T1026" s="403" t="b">
        <f ca="1">Table66[[#This Row],[Total Specifed in RFO - N/A]]=Table66[[#This Row],[Total Proposed]]</f>
        <v>1</v>
      </c>
      <c r="U1026" s="439"/>
      <c r="V1026" s="441">
        <f ca="1">Table66[[#This Row],[Year 6 (Specified in RFO) - N/A]]-Table66[[#This Row],[Column1]]</f>
        <v>0</v>
      </c>
    </row>
    <row r="1027" spans="1:22" ht="16.5" thickBot="1">
      <c r="A1027" s="227"/>
      <c r="B1027" s="319"/>
      <c r="C1027" s="319"/>
      <c r="D1027" s="320"/>
      <c r="E1027" s="320"/>
      <c r="F1027" s="190"/>
      <c r="G10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7" s="190"/>
      <c r="I10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7" s="190"/>
      <c r="K10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7" s="190"/>
      <c r="M10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7" s="190"/>
      <c r="O10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7" s="190"/>
      <c r="Q10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7" s="192">
        <f ca="1">Table66[[#This Row],[Year 1 (Specified in RFO) - N/A]]+Table66[[#This Row],[Year 2 (Specified in RFO) - N/A]]+Table66[[#This Row],[Year 3 (Specified in RFO) - N/A]]+Table66[[#This Row],[Year 4 (Specified in RFO) - N/A]]+Table66[[#This Row],[Year 5 (Specified in RFO) - N/A]]+Table66[[#This Row],[Year 6 (Specified in RFO) - N/A]]</f>
        <v>0</v>
      </c>
      <c r="S1027" s="402">
        <f ca="1">Table66[[#This Row],[Year 1  (Proposed)]]+Table66[[#This Row],[Year 2 (Proposed)]]+Table66[[#This Row],[Year 3 (Proposed)]]+Table66[[#This Row],[Year 4 (Proposed)]]+Table66[[#This Row],[Year 5 (Proposed)]]+Table66[[#This Row],[Year 6 (Proposed)]]</f>
        <v>0</v>
      </c>
      <c r="T1027" s="403" t="b">
        <f ca="1">Table66[[#This Row],[Total Specifed in RFO - N/A]]=Table66[[#This Row],[Total Proposed]]</f>
        <v>1</v>
      </c>
      <c r="U1027" s="439"/>
      <c r="V1027" s="441">
        <f ca="1">Table66[[#This Row],[Year 6 (Specified in RFO) - N/A]]-Table66[[#This Row],[Column1]]</f>
        <v>0</v>
      </c>
    </row>
    <row r="1028" spans="1:22" ht="16.5" thickBot="1">
      <c r="A1028" s="227"/>
      <c r="B1028" s="319"/>
      <c r="C1028" s="319"/>
      <c r="D1028" s="320"/>
      <c r="E1028" s="320"/>
      <c r="F1028" s="190"/>
      <c r="G10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8" s="190"/>
      <c r="I10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8" s="190"/>
      <c r="K10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8" s="190"/>
      <c r="M10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8" s="190"/>
      <c r="O10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8" s="190"/>
      <c r="Q10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8" s="192">
        <f ca="1">Table66[[#This Row],[Year 1 (Specified in RFO) - N/A]]+Table66[[#This Row],[Year 2 (Specified in RFO) - N/A]]+Table66[[#This Row],[Year 3 (Specified in RFO) - N/A]]+Table66[[#This Row],[Year 4 (Specified in RFO) - N/A]]+Table66[[#This Row],[Year 5 (Specified in RFO) - N/A]]+Table66[[#This Row],[Year 6 (Specified in RFO) - N/A]]</f>
        <v>0</v>
      </c>
      <c r="S1028" s="402">
        <f ca="1">Table66[[#This Row],[Year 1  (Proposed)]]+Table66[[#This Row],[Year 2 (Proposed)]]+Table66[[#This Row],[Year 3 (Proposed)]]+Table66[[#This Row],[Year 4 (Proposed)]]+Table66[[#This Row],[Year 5 (Proposed)]]+Table66[[#This Row],[Year 6 (Proposed)]]</f>
        <v>0</v>
      </c>
      <c r="T1028" s="403" t="b">
        <f ca="1">Table66[[#This Row],[Total Specifed in RFO - N/A]]=Table66[[#This Row],[Total Proposed]]</f>
        <v>1</v>
      </c>
      <c r="U1028" s="439"/>
      <c r="V1028" s="441">
        <f ca="1">Table66[[#This Row],[Year 6 (Specified in RFO) - N/A]]-Table66[[#This Row],[Column1]]</f>
        <v>0</v>
      </c>
    </row>
    <row r="1029" spans="1:22" ht="16.5" thickBot="1">
      <c r="A1029" s="227"/>
      <c r="B1029" s="319"/>
      <c r="C1029" s="319"/>
      <c r="D1029" s="320"/>
      <c r="E1029" s="320"/>
      <c r="F1029" s="190"/>
      <c r="G10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9" s="190"/>
      <c r="I10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9" s="190"/>
      <c r="K10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9" s="190"/>
      <c r="M10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9" s="190"/>
      <c r="O10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9" s="190"/>
      <c r="Q10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9" s="192">
        <f ca="1">Table66[[#This Row],[Year 1 (Specified in RFO) - N/A]]+Table66[[#This Row],[Year 2 (Specified in RFO) - N/A]]+Table66[[#This Row],[Year 3 (Specified in RFO) - N/A]]+Table66[[#This Row],[Year 4 (Specified in RFO) - N/A]]+Table66[[#This Row],[Year 5 (Specified in RFO) - N/A]]+Table66[[#This Row],[Year 6 (Specified in RFO) - N/A]]</f>
        <v>0</v>
      </c>
      <c r="S1029" s="402">
        <f ca="1">Table66[[#This Row],[Year 1  (Proposed)]]+Table66[[#This Row],[Year 2 (Proposed)]]+Table66[[#This Row],[Year 3 (Proposed)]]+Table66[[#This Row],[Year 4 (Proposed)]]+Table66[[#This Row],[Year 5 (Proposed)]]+Table66[[#This Row],[Year 6 (Proposed)]]</f>
        <v>0</v>
      </c>
      <c r="T1029" s="403" t="b">
        <f ca="1">Table66[[#This Row],[Total Specifed in RFO - N/A]]=Table66[[#This Row],[Total Proposed]]</f>
        <v>1</v>
      </c>
      <c r="U1029" s="439"/>
      <c r="V1029" s="441">
        <f ca="1">Table66[[#This Row],[Year 6 (Specified in RFO) - N/A]]-Table66[[#This Row],[Column1]]</f>
        <v>0</v>
      </c>
    </row>
    <row r="1030" spans="1:22" ht="16.5" thickBot="1">
      <c r="A1030" s="227"/>
      <c r="B1030" s="319"/>
      <c r="C1030" s="319"/>
      <c r="D1030" s="320"/>
      <c r="E1030" s="320"/>
      <c r="F1030" s="190"/>
      <c r="G10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0" s="190"/>
      <c r="I10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0" s="190"/>
      <c r="K10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0" s="190"/>
      <c r="M10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0" s="190"/>
      <c r="O10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0" s="190"/>
      <c r="Q10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0" s="192">
        <f ca="1">Table66[[#This Row],[Year 1 (Specified in RFO) - N/A]]+Table66[[#This Row],[Year 2 (Specified in RFO) - N/A]]+Table66[[#This Row],[Year 3 (Specified in RFO) - N/A]]+Table66[[#This Row],[Year 4 (Specified in RFO) - N/A]]+Table66[[#This Row],[Year 5 (Specified in RFO) - N/A]]+Table66[[#This Row],[Year 6 (Specified in RFO) - N/A]]</f>
        <v>0</v>
      </c>
      <c r="S1030" s="402">
        <f ca="1">Table66[[#This Row],[Year 1  (Proposed)]]+Table66[[#This Row],[Year 2 (Proposed)]]+Table66[[#This Row],[Year 3 (Proposed)]]+Table66[[#This Row],[Year 4 (Proposed)]]+Table66[[#This Row],[Year 5 (Proposed)]]+Table66[[#This Row],[Year 6 (Proposed)]]</f>
        <v>0</v>
      </c>
      <c r="T1030" s="403" t="b">
        <f ca="1">Table66[[#This Row],[Total Specifed in RFO - N/A]]=Table66[[#This Row],[Total Proposed]]</f>
        <v>1</v>
      </c>
      <c r="U1030" s="439"/>
      <c r="V1030" s="441">
        <f ca="1">Table66[[#This Row],[Year 6 (Specified in RFO) - N/A]]-Table66[[#This Row],[Column1]]</f>
        <v>0</v>
      </c>
    </row>
    <row r="1031" spans="1:22" ht="16.5" thickBot="1">
      <c r="A1031" s="227"/>
      <c r="B1031" s="319"/>
      <c r="C1031" s="319"/>
      <c r="D1031" s="320"/>
      <c r="E1031" s="320"/>
      <c r="F1031" s="190"/>
      <c r="G10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1" s="190"/>
      <c r="I10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1" s="190"/>
      <c r="K10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1" s="190"/>
      <c r="M10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1" s="190"/>
      <c r="O10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1" s="190"/>
      <c r="Q10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1" s="192">
        <f ca="1">Table66[[#This Row],[Year 1 (Specified in RFO) - N/A]]+Table66[[#This Row],[Year 2 (Specified in RFO) - N/A]]+Table66[[#This Row],[Year 3 (Specified in RFO) - N/A]]+Table66[[#This Row],[Year 4 (Specified in RFO) - N/A]]+Table66[[#This Row],[Year 5 (Specified in RFO) - N/A]]+Table66[[#This Row],[Year 6 (Specified in RFO) - N/A]]</f>
        <v>0</v>
      </c>
      <c r="S1031" s="402">
        <f ca="1">Table66[[#This Row],[Year 1  (Proposed)]]+Table66[[#This Row],[Year 2 (Proposed)]]+Table66[[#This Row],[Year 3 (Proposed)]]+Table66[[#This Row],[Year 4 (Proposed)]]+Table66[[#This Row],[Year 5 (Proposed)]]+Table66[[#This Row],[Year 6 (Proposed)]]</f>
        <v>0</v>
      </c>
      <c r="T1031" s="403" t="b">
        <f ca="1">Table66[[#This Row],[Total Specifed in RFO - N/A]]=Table66[[#This Row],[Total Proposed]]</f>
        <v>1</v>
      </c>
      <c r="U1031" s="439"/>
      <c r="V1031" s="441">
        <f ca="1">Table66[[#This Row],[Year 6 (Specified in RFO) - N/A]]-Table66[[#This Row],[Column1]]</f>
        <v>0</v>
      </c>
    </row>
    <row r="1032" spans="1:22" ht="16.5" thickBot="1">
      <c r="A1032" s="227"/>
      <c r="B1032" s="319"/>
      <c r="C1032" s="319"/>
      <c r="D1032" s="320"/>
      <c r="E1032" s="320"/>
      <c r="F1032" s="190"/>
      <c r="G10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2" s="190"/>
      <c r="I10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2" s="190"/>
      <c r="K10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2" s="190"/>
      <c r="M10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2" s="190"/>
      <c r="O10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2" s="190"/>
      <c r="Q10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2" s="192">
        <f ca="1">Table66[[#This Row],[Year 1 (Specified in RFO) - N/A]]+Table66[[#This Row],[Year 2 (Specified in RFO) - N/A]]+Table66[[#This Row],[Year 3 (Specified in RFO) - N/A]]+Table66[[#This Row],[Year 4 (Specified in RFO) - N/A]]+Table66[[#This Row],[Year 5 (Specified in RFO) - N/A]]+Table66[[#This Row],[Year 6 (Specified in RFO) - N/A]]</f>
        <v>0</v>
      </c>
      <c r="S1032" s="402">
        <f ca="1">Table66[[#This Row],[Year 1  (Proposed)]]+Table66[[#This Row],[Year 2 (Proposed)]]+Table66[[#This Row],[Year 3 (Proposed)]]+Table66[[#This Row],[Year 4 (Proposed)]]+Table66[[#This Row],[Year 5 (Proposed)]]+Table66[[#This Row],[Year 6 (Proposed)]]</f>
        <v>0</v>
      </c>
      <c r="T1032" s="403" t="b">
        <f ca="1">Table66[[#This Row],[Total Specifed in RFO - N/A]]=Table66[[#This Row],[Total Proposed]]</f>
        <v>1</v>
      </c>
      <c r="U1032" s="439"/>
      <c r="V1032" s="441">
        <f ca="1">Table66[[#This Row],[Year 6 (Specified in RFO) - N/A]]-Table66[[#This Row],[Column1]]</f>
        <v>0</v>
      </c>
    </row>
    <row r="1033" spans="1:22" ht="16.5" thickBot="1">
      <c r="A1033" s="227"/>
      <c r="B1033" s="319"/>
      <c r="C1033" s="319"/>
      <c r="D1033" s="320"/>
      <c r="E1033" s="320"/>
      <c r="F1033" s="190"/>
      <c r="G10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3" s="190"/>
      <c r="I10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3" s="190"/>
      <c r="K10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3" s="190"/>
      <c r="M10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3" s="190"/>
      <c r="O10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3" s="190"/>
      <c r="Q10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3" s="192">
        <f ca="1">Table66[[#This Row],[Year 1 (Specified in RFO) - N/A]]+Table66[[#This Row],[Year 2 (Specified in RFO) - N/A]]+Table66[[#This Row],[Year 3 (Specified in RFO) - N/A]]+Table66[[#This Row],[Year 4 (Specified in RFO) - N/A]]+Table66[[#This Row],[Year 5 (Specified in RFO) - N/A]]+Table66[[#This Row],[Year 6 (Specified in RFO) - N/A]]</f>
        <v>0</v>
      </c>
      <c r="S1033" s="402">
        <f ca="1">Table66[[#This Row],[Year 1  (Proposed)]]+Table66[[#This Row],[Year 2 (Proposed)]]+Table66[[#This Row],[Year 3 (Proposed)]]+Table66[[#This Row],[Year 4 (Proposed)]]+Table66[[#This Row],[Year 5 (Proposed)]]+Table66[[#This Row],[Year 6 (Proposed)]]</f>
        <v>0</v>
      </c>
      <c r="T1033" s="403" t="b">
        <f ca="1">Table66[[#This Row],[Total Specifed in RFO - N/A]]=Table66[[#This Row],[Total Proposed]]</f>
        <v>1</v>
      </c>
      <c r="U1033" s="439"/>
      <c r="V1033" s="441">
        <f ca="1">Table66[[#This Row],[Year 6 (Specified in RFO) - N/A]]-Table66[[#This Row],[Column1]]</f>
        <v>0</v>
      </c>
    </row>
    <row r="1034" spans="1:22" ht="16.5" thickBot="1">
      <c r="A1034" s="227"/>
      <c r="B1034" s="319"/>
      <c r="C1034" s="319"/>
      <c r="D1034" s="320"/>
      <c r="E1034" s="320"/>
      <c r="F1034" s="190"/>
      <c r="G10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4" s="190"/>
      <c r="I10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4" s="190"/>
      <c r="K10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4" s="190"/>
      <c r="M10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4" s="190"/>
      <c r="O10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4" s="190"/>
      <c r="Q10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4" s="192">
        <f ca="1">Table66[[#This Row],[Year 1 (Specified in RFO) - N/A]]+Table66[[#This Row],[Year 2 (Specified in RFO) - N/A]]+Table66[[#This Row],[Year 3 (Specified in RFO) - N/A]]+Table66[[#This Row],[Year 4 (Specified in RFO) - N/A]]+Table66[[#This Row],[Year 5 (Specified in RFO) - N/A]]+Table66[[#This Row],[Year 6 (Specified in RFO) - N/A]]</f>
        <v>0</v>
      </c>
      <c r="S1034" s="402">
        <f ca="1">Table66[[#This Row],[Year 1  (Proposed)]]+Table66[[#This Row],[Year 2 (Proposed)]]+Table66[[#This Row],[Year 3 (Proposed)]]+Table66[[#This Row],[Year 4 (Proposed)]]+Table66[[#This Row],[Year 5 (Proposed)]]+Table66[[#This Row],[Year 6 (Proposed)]]</f>
        <v>0</v>
      </c>
      <c r="T1034" s="403" t="b">
        <f ca="1">Table66[[#This Row],[Total Specifed in RFO - N/A]]=Table66[[#This Row],[Total Proposed]]</f>
        <v>1</v>
      </c>
      <c r="U1034" s="439"/>
      <c r="V1034" s="441">
        <f ca="1">Table66[[#This Row],[Year 6 (Specified in RFO) - N/A]]-Table66[[#This Row],[Column1]]</f>
        <v>0</v>
      </c>
    </row>
    <row r="1035" spans="1:22" ht="16.5" thickBot="1">
      <c r="A1035" s="227"/>
      <c r="B1035" s="319"/>
      <c r="C1035" s="319"/>
      <c r="D1035" s="320"/>
      <c r="E1035" s="320"/>
      <c r="F1035" s="190"/>
      <c r="G10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5" s="190"/>
      <c r="I10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5" s="190"/>
      <c r="K10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5" s="190"/>
      <c r="M10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5" s="190"/>
      <c r="O10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5" s="190"/>
      <c r="Q10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5" s="192">
        <f ca="1">Table66[[#This Row],[Year 1 (Specified in RFO) - N/A]]+Table66[[#This Row],[Year 2 (Specified in RFO) - N/A]]+Table66[[#This Row],[Year 3 (Specified in RFO) - N/A]]+Table66[[#This Row],[Year 4 (Specified in RFO) - N/A]]+Table66[[#This Row],[Year 5 (Specified in RFO) - N/A]]+Table66[[#This Row],[Year 6 (Specified in RFO) - N/A]]</f>
        <v>0</v>
      </c>
      <c r="S1035" s="402">
        <f ca="1">Table66[[#This Row],[Year 1  (Proposed)]]+Table66[[#This Row],[Year 2 (Proposed)]]+Table66[[#This Row],[Year 3 (Proposed)]]+Table66[[#This Row],[Year 4 (Proposed)]]+Table66[[#This Row],[Year 5 (Proposed)]]+Table66[[#This Row],[Year 6 (Proposed)]]</f>
        <v>0</v>
      </c>
      <c r="T1035" s="403" t="b">
        <f ca="1">Table66[[#This Row],[Total Specifed in RFO - N/A]]=Table66[[#This Row],[Total Proposed]]</f>
        <v>1</v>
      </c>
      <c r="U1035" s="439"/>
      <c r="V1035" s="441">
        <f ca="1">Table66[[#This Row],[Year 6 (Specified in RFO) - N/A]]-Table66[[#This Row],[Column1]]</f>
        <v>0</v>
      </c>
    </row>
    <row r="1036" spans="1:22" ht="16.5" thickBot="1">
      <c r="A1036" s="227"/>
      <c r="B1036" s="319"/>
      <c r="C1036" s="319"/>
      <c r="D1036" s="320"/>
      <c r="E1036" s="320"/>
      <c r="F1036" s="190"/>
      <c r="G10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6" s="190"/>
      <c r="I10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6" s="190"/>
      <c r="K10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6" s="190"/>
      <c r="M10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6" s="190"/>
      <c r="O10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6" s="190"/>
      <c r="Q10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6" s="192">
        <f ca="1">Table66[[#This Row],[Year 1 (Specified in RFO) - N/A]]+Table66[[#This Row],[Year 2 (Specified in RFO) - N/A]]+Table66[[#This Row],[Year 3 (Specified in RFO) - N/A]]+Table66[[#This Row],[Year 4 (Specified in RFO) - N/A]]+Table66[[#This Row],[Year 5 (Specified in RFO) - N/A]]+Table66[[#This Row],[Year 6 (Specified in RFO) - N/A]]</f>
        <v>0</v>
      </c>
      <c r="S1036" s="402">
        <f ca="1">Table66[[#This Row],[Year 1  (Proposed)]]+Table66[[#This Row],[Year 2 (Proposed)]]+Table66[[#This Row],[Year 3 (Proposed)]]+Table66[[#This Row],[Year 4 (Proposed)]]+Table66[[#This Row],[Year 5 (Proposed)]]+Table66[[#This Row],[Year 6 (Proposed)]]</f>
        <v>0</v>
      </c>
      <c r="T1036" s="403" t="b">
        <f ca="1">Table66[[#This Row],[Total Specifed in RFO - N/A]]=Table66[[#This Row],[Total Proposed]]</f>
        <v>1</v>
      </c>
      <c r="U1036" s="439"/>
      <c r="V1036" s="441">
        <f ca="1">Table66[[#This Row],[Year 6 (Specified in RFO) - N/A]]-Table66[[#This Row],[Column1]]</f>
        <v>0</v>
      </c>
    </row>
    <row r="1037" spans="1:22" ht="16.5" thickBot="1">
      <c r="A1037" s="227"/>
      <c r="B1037" s="319"/>
      <c r="C1037" s="319"/>
      <c r="D1037" s="320"/>
      <c r="E1037" s="320"/>
      <c r="F1037" s="190"/>
      <c r="G10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7" s="190"/>
      <c r="I10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7" s="190"/>
      <c r="K10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7" s="190"/>
      <c r="M10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7" s="190"/>
      <c r="O10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7" s="190"/>
      <c r="Q10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7" s="192">
        <f ca="1">Table66[[#This Row],[Year 1 (Specified in RFO) - N/A]]+Table66[[#This Row],[Year 2 (Specified in RFO) - N/A]]+Table66[[#This Row],[Year 3 (Specified in RFO) - N/A]]+Table66[[#This Row],[Year 4 (Specified in RFO) - N/A]]+Table66[[#This Row],[Year 5 (Specified in RFO) - N/A]]+Table66[[#This Row],[Year 6 (Specified in RFO) - N/A]]</f>
        <v>0</v>
      </c>
      <c r="S1037" s="402">
        <f ca="1">Table66[[#This Row],[Year 1  (Proposed)]]+Table66[[#This Row],[Year 2 (Proposed)]]+Table66[[#This Row],[Year 3 (Proposed)]]+Table66[[#This Row],[Year 4 (Proposed)]]+Table66[[#This Row],[Year 5 (Proposed)]]+Table66[[#This Row],[Year 6 (Proposed)]]</f>
        <v>0</v>
      </c>
      <c r="T1037" s="403" t="b">
        <f ca="1">Table66[[#This Row],[Total Specifed in RFO - N/A]]=Table66[[#This Row],[Total Proposed]]</f>
        <v>1</v>
      </c>
      <c r="U1037" s="439"/>
      <c r="V1037" s="441">
        <f ca="1">Table66[[#This Row],[Year 6 (Specified in RFO) - N/A]]-Table66[[#This Row],[Column1]]</f>
        <v>0</v>
      </c>
    </row>
    <row r="1038" spans="1:22" ht="16.5" thickBot="1">
      <c r="A1038" s="227"/>
      <c r="B1038" s="319"/>
      <c r="C1038" s="319"/>
      <c r="D1038" s="320"/>
      <c r="E1038" s="320"/>
      <c r="F1038" s="190"/>
      <c r="G10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8" s="190"/>
      <c r="I10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8" s="190"/>
      <c r="K10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8" s="190"/>
      <c r="M10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8" s="190"/>
      <c r="O10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8" s="190"/>
      <c r="Q10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8" s="192">
        <f ca="1">Table66[[#This Row],[Year 1 (Specified in RFO) - N/A]]+Table66[[#This Row],[Year 2 (Specified in RFO) - N/A]]+Table66[[#This Row],[Year 3 (Specified in RFO) - N/A]]+Table66[[#This Row],[Year 4 (Specified in RFO) - N/A]]+Table66[[#This Row],[Year 5 (Specified in RFO) - N/A]]+Table66[[#This Row],[Year 6 (Specified in RFO) - N/A]]</f>
        <v>0</v>
      </c>
      <c r="S1038" s="402">
        <f ca="1">Table66[[#This Row],[Year 1  (Proposed)]]+Table66[[#This Row],[Year 2 (Proposed)]]+Table66[[#This Row],[Year 3 (Proposed)]]+Table66[[#This Row],[Year 4 (Proposed)]]+Table66[[#This Row],[Year 5 (Proposed)]]+Table66[[#This Row],[Year 6 (Proposed)]]</f>
        <v>0</v>
      </c>
      <c r="T1038" s="403" t="b">
        <f ca="1">Table66[[#This Row],[Total Specifed in RFO - N/A]]=Table66[[#This Row],[Total Proposed]]</f>
        <v>1</v>
      </c>
      <c r="U1038" s="439"/>
      <c r="V1038" s="441">
        <f ca="1">Table66[[#This Row],[Year 6 (Specified in RFO) - N/A]]-Table66[[#This Row],[Column1]]</f>
        <v>0</v>
      </c>
    </row>
    <row r="1039" spans="1:22" ht="16.5" thickBot="1">
      <c r="A1039" s="227"/>
      <c r="B1039" s="319"/>
      <c r="C1039" s="319"/>
      <c r="D1039" s="320"/>
      <c r="E1039" s="320"/>
      <c r="F1039" s="190"/>
      <c r="G10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9" s="190"/>
      <c r="I10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9" s="190"/>
      <c r="K10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9" s="190"/>
      <c r="M10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9" s="190"/>
      <c r="O10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9" s="190"/>
      <c r="Q10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9" s="192">
        <f ca="1">Table66[[#This Row],[Year 1 (Specified in RFO) - N/A]]+Table66[[#This Row],[Year 2 (Specified in RFO) - N/A]]+Table66[[#This Row],[Year 3 (Specified in RFO) - N/A]]+Table66[[#This Row],[Year 4 (Specified in RFO) - N/A]]+Table66[[#This Row],[Year 5 (Specified in RFO) - N/A]]+Table66[[#This Row],[Year 6 (Specified in RFO) - N/A]]</f>
        <v>0</v>
      </c>
      <c r="S1039" s="402">
        <f ca="1">Table66[[#This Row],[Year 1  (Proposed)]]+Table66[[#This Row],[Year 2 (Proposed)]]+Table66[[#This Row],[Year 3 (Proposed)]]+Table66[[#This Row],[Year 4 (Proposed)]]+Table66[[#This Row],[Year 5 (Proposed)]]+Table66[[#This Row],[Year 6 (Proposed)]]</f>
        <v>0</v>
      </c>
      <c r="T1039" s="403" t="b">
        <f ca="1">Table66[[#This Row],[Total Specifed in RFO - N/A]]=Table66[[#This Row],[Total Proposed]]</f>
        <v>1</v>
      </c>
      <c r="U1039" s="439"/>
      <c r="V1039" s="441">
        <f ca="1">Table66[[#This Row],[Year 6 (Specified in RFO) - N/A]]-Table66[[#This Row],[Column1]]</f>
        <v>0</v>
      </c>
    </row>
    <row r="1040" spans="1:22" ht="16.5" thickBot="1">
      <c r="A1040" s="227"/>
      <c r="B1040" s="319"/>
      <c r="C1040" s="319"/>
      <c r="D1040" s="320"/>
      <c r="E1040" s="320"/>
      <c r="F1040" s="190"/>
      <c r="G10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0" s="190"/>
      <c r="I10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0" s="190"/>
      <c r="K10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0" s="190"/>
      <c r="M10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0" s="190"/>
      <c r="O10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0" s="190"/>
      <c r="Q10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0" s="192">
        <f ca="1">Table66[[#This Row],[Year 1 (Specified in RFO) - N/A]]+Table66[[#This Row],[Year 2 (Specified in RFO) - N/A]]+Table66[[#This Row],[Year 3 (Specified in RFO) - N/A]]+Table66[[#This Row],[Year 4 (Specified in RFO) - N/A]]+Table66[[#This Row],[Year 5 (Specified in RFO) - N/A]]+Table66[[#This Row],[Year 6 (Specified in RFO) - N/A]]</f>
        <v>0</v>
      </c>
      <c r="S1040" s="402">
        <f ca="1">Table66[[#This Row],[Year 1  (Proposed)]]+Table66[[#This Row],[Year 2 (Proposed)]]+Table66[[#This Row],[Year 3 (Proposed)]]+Table66[[#This Row],[Year 4 (Proposed)]]+Table66[[#This Row],[Year 5 (Proposed)]]+Table66[[#This Row],[Year 6 (Proposed)]]</f>
        <v>0</v>
      </c>
      <c r="T1040" s="403" t="b">
        <f ca="1">Table66[[#This Row],[Total Specifed in RFO - N/A]]=Table66[[#This Row],[Total Proposed]]</f>
        <v>1</v>
      </c>
      <c r="U1040" s="439"/>
      <c r="V1040" s="441">
        <f ca="1">Table66[[#This Row],[Year 6 (Specified in RFO) - N/A]]-Table66[[#This Row],[Column1]]</f>
        <v>0</v>
      </c>
    </row>
    <row r="1041" spans="1:22" ht="16.5" thickBot="1">
      <c r="A1041" s="227"/>
      <c r="B1041" s="319"/>
      <c r="C1041" s="319"/>
      <c r="D1041" s="320"/>
      <c r="E1041" s="320"/>
      <c r="F1041" s="190"/>
      <c r="G10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1" s="190"/>
      <c r="I10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1" s="190"/>
      <c r="K10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1" s="190"/>
      <c r="M10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1" s="190"/>
      <c r="O10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1" s="190"/>
      <c r="Q10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1" s="192">
        <f ca="1">Table66[[#This Row],[Year 1 (Specified in RFO) - N/A]]+Table66[[#This Row],[Year 2 (Specified in RFO) - N/A]]+Table66[[#This Row],[Year 3 (Specified in RFO) - N/A]]+Table66[[#This Row],[Year 4 (Specified in RFO) - N/A]]+Table66[[#This Row],[Year 5 (Specified in RFO) - N/A]]+Table66[[#This Row],[Year 6 (Specified in RFO) - N/A]]</f>
        <v>0</v>
      </c>
      <c r="S1041" s="402">
        <f ca="1">Table66[[#This Row],[Year 1  (Proposed)]]+Table66[[#This Row],[Year 2 (Proposed)]]+Table66[[#This Row],[Year 3 (Proposed)]]+Table66[[#This Row],[Year 4 (Proposed)]]+Table66[[#This Row],[Year 5 (Proposed)]]+Table66[[#This Row],[Year 6 (Proposed)]]</f>
        <v>0</v>
      </c>
      <c r="T1041" s="403" t="b">
        <f ca="1">Table66[[#This Row],[Total Specifed in RFO - N/A]]=Table66[[#This Row],[Total Proposed]]</f>
        <v>1</v>
      </c>
      <c r="U1041" s="439"/>
      <c r="V1041" s="441">
        <f ca="1">Table66[[#This Row],[Year 6 (Specified in RFO) - N/A]]-Table66[[#This Row],[Column1]]</f>
        <v>0</v>
      </c>
    </row>
    <row r="1042" spans="1:22" ht="16.5" thickBot="1">
      <c r="A1042" s="227"/>
      <c r="B1042" s="319"/>
      <c r="C1042" s="319"/>
      <c r="D1042" s="320"/>
      <c r="E1042" s="320"/>
      <c r="F1042" s="190"/>
      <c r="G10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2" s="190"/>
      <c r="I10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2" s="190"/>
      <c r="K10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2" s="190"/>
      <c r="M10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2" s="190"/>
      <c r="O10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2" s="190"/>
      <c r="Q10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2" s="192">
        <f ca="1">Table66[[#This Row],[Year 1 (Specified in RFO) - N/A]]+Table66[[#This Row],[Year 2 (Specified in RFO) - N/A]]+Table66[[#This Row],[Year 3 (Specified in RFO) - N/A]]+Table66[[#This Row],[Year 4 (Specified in RFO) - N/A]]+Table66[[#This Row],[Year 5 (Specified in RFO) - N/A]]+Table66[[#This Row],[Year 6 (Specified in RFO) - N/A]]</f>
        <v>0</v>
      </c>
      <c r="S1042" s="402">
        <f ca="1">Table66[[#This Row],[Year 1  (Proposed)]]+Table66[[#This Row],[Year 2 (Proposed)]]+Table66[[#This Row],[Year 3 (Proposed)]]+Table66[[#This Row],[Year 4 (Proposed)]]+Table66[[#This Row],[Year 5 (Proposed)]]+Table66[[#This Row],[Year 6 (Proposed)]]</f>
        <v>0</v>
      </c>
      <c r="T1042" s="403" t="b">
        <f ca="1">Table66[[#This Row],[Total Specifed in RFO - N/A]]=Table66[[#This Row],[Total Proposed]]</f>
        <v>1</v>
      </c>
      <c r="U1042" s="439"/>
      <c r="V1042" s="441">
        <f ca="1">Table66[[#This Row],[Year 6 (Specified in RFO) - N/A]]-Table66[[#This Row],[Column1]]</f>
        <v>0</v>
      </c>
    </row>
    <row r="1043" spans="1:22" ht="16.5" thickBot="1">
      <c r="A1043" s="227"/>
      <c r="B1043" s="319"/>
      <c r="C1043" s="319"/>
      <c r="D1043" s="320"/>
      <c r="E1043" s="320"/>
      <c r="F1043" s="190"/>
      <c r="G10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3" s="190"/>
      <c r="I10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3" s="190"/>
      <c r="K10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3" s="190"/>
      <c r="M10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3" s="190"/>
      <c r="O10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3" s="190"/>
      <c r="Q10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3" s="192">
        <f ca="1">Table66[[#This Row],[Year 1 (Specified in RFO) - N/A]]+Table66[[#This Row],[Year 2 (Specified in RFO) - N/A]]+Table66[[#This Row],[Year 3 (Specified in RFO) - N/A]]+Table66[[#This Row],[Year 4 (Specified in RFO) - N/A]]+Table66[[#This Row],[Year 5 (Specified in RFO) - N/A]]+Table66[[#This Row],[Year 6 (Specified in RFO) - N/A]]</f>
        <v>0</v>
      </c>
      <c r="S1043" s="402">
        <f ca="1">Table66[[#This Row],[Year 1  (Proposed)]]+Table66[[#This Row],[Year 2 (Proposed)]]+Table66[[#This Row],[Year 3 (Proposed)]]+Table66[[#This Row],[Year 4 (Proposed)]]+Table66[[#This Row],[Year 5 (Proposed)]]+Table66[[#This Row],[Year 6 (Proposed)]]</f>
        <v>0</v>
      </c>
      <c r="T1043" s="403" t="b">
        <f ca="1">Table66[[#This Row],[Total Specifed in RFO - N/A]]=Table66[[#This Row],[Total Proposed]]</f>
        <v>1</v>
      </c>
      <c r="U1043" s="439"/>
      <c r="V1043" s="441">
        <f ca="1">Table66[[#This Row],[Year 6 (Specified in RFO) - N/A]]-Table66[[#This Row],[Column1]]</f>
        <v>0</v>
      </c>
    </row>
    <row r="1044" spans="1:22" ht="16.5" thickBot="1">
      <c r="A1044" s="227"/>
      <c r="B1044" s="319"/>
      <c r="C1044" s="319"/>
      <c r="D1044" s="320"/>
      <c r="E1044" s="320"/>
      <c r="F1044" s="190"/>
      <c r="G10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4" s="190"/>
      <c r="I10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4" s="190"/>
      <c r="K10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4" s="190"/>
      <c r="M10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4" s="190"/>
      <c r="O10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4" s="190"/>
      <c r="Q10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4" s="192">
        <f ca="1">Table66[[#This Row],[Year 1 (Specified in RFO) - N/A]]+Table66[[#This Row],[Year 2 (Specified in RFO) - N/A]]+Table66[[#This Row],[Year 3 (Specified in RFO) - N/A]]+Table66[[#This Row],[Year 4 (Specified in RFO) - N/A]]+Table66[[#This Row],[Year 5 (Specified in RFO) - N/A]]+Table66[[#This Row],[Year 6 (Specified in RFO) - N/A]]</f>
        <v>0</v>
      </c>
      <c r="S1044" s="402">
        <f ca="1">Table66[[#This Row],[Year 1  (Proposed)]]+Table66[[#This Row],[Year 2 (Proposed)]]+Table66[[#This Row],[Year 3 (Proposed)]]+Table66[[#This Row],[Year 4 (Proposed)]]+Table66[[#This Row],[Year 5 (Proposed)]]+Table66[[#This Row],[Year 6 (Proposed)]]</f>
        <v>0</v>
      </c>
      <c r="T1044" s="403" t="b">
        <f ca="1">Table66[[#This Row],[Total Specifed in RFO - N/A]]=Table66[[#This Row],[Total Proposed]]</f>
        <v>1</v>
      </c>
      <c r="U1044" s="439"/>
      <c r="V1044" s="441">
        <f ca="1">Table66[[#This Row],[Year 6 (Specified in RFO) - N/A]]-Table66[[#This Row],[Column1]]</f>
        <v>0</v>
      </c>
    </row>
    <row r="1045" spans="1:22" ht="16.5" thickBot="1">
      <c r="A1045" s="227"/>
      <c r="B1045" s="319"/>
      <c r="C1045" s="319"/>
      <c r="D1045" s="320"/>
      <c r="E1045" s="320"/>
      <c r="F1045" s="190"/>
      <c r="G10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5" s="190"/>
      <c r="I10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5" s="190"/>
      <c r="K10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5" s="190"/>
      <c r="M10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5" s="190"/>
      <c r="O10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5" s="190"/>
      <c r="Q10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5" s="192">
        <f ca="1">Table66[[#This Row],[Year 1 (Specified in RFO) - N/A]]+Table66[[#This Row],[Year 2 (Specified in RFO) - N/A]]+Table66[[#This Row],[Year 3 (Specified in RFO) - N/A]]+Table66[[#This Row],[Year 4 (Specified in RFO) - N/A]]+Table66[[#This Row],[Year 5 (Specified in RFO) - N/A]]+Table66[[#This Row],[Year 6 (Specified in RFO) - N/A]]</f>
        <v>0</v>
      </c>
      <c r="S1045" s="402">
        <f ca="1">Table66[[#This Row],[Year 1  (Proposed)]]+Table66[[#This Row],[Year 2 (Proposed)]]+Table66[[#This Row],[Year 3 (Proposed)]]+Table66[[#This Row],[Year 4 (Proposed)]]+Table66[[#This Row],[Year 5 (Proposed)]]+Table66[[#This Row],[Year 6 (Proposed)]]</f>
        <v>0</v>
      </c>
      <c r="T1045" s="403" t="b">
        <f ca="1">Table66[[#This Row],[Total Specifed in RFO - N/A]]=Table66[[#This Row],[Total Proposed]]</f>
        <v>1</v>
      </c>
      <c r="U1045" s="439"/>
      <c r="V1045" s="441">
        <f ca="1">Table66[[#This Row],[Year 6 (Specified in RFO) - N/A]]-Table66[[#This Row],[Column1]]</f>
        <v>0</v>
      </c>
    </row>
    <row r="1046" spans="1:22" ht="16.5" thickBot="1">
      <c r="A1046" s="227"/>
      <c r="B1046" s="319"/>
      <c r="C1046" s="319"/>
      <c r="D1046" s="320"/>
      <c r="E1046" s="320"/>
      <c r="F1046" s="190"/>
      <c r="G10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6" s="190"/>
      <c r="I10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6" s="190"/>
      <c r="K10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6" s="190"/>
      <c r="M10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6" s="190"/>
      <c r="O10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6" s="190"/>
      <c r="Q10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6" s="192">
        <f ca="1">Table66[[#This Row],[Year 1 (Specified in RFO) - N/A]]+Table66[[#This Row],[Year 2 (Specified in RFO) - N/A]]+Table66[[#This Row],[Year 3 (Specified in RFO) - N/A]]+Table66[[#This Row],[Year 4 (Specified in RFO) - N/A]]+Table66[[#This Row],[Year 5 (Specified in RFO) - N/A]]+Table66[[#This Row],[Year 6 (Specified in RFO) - N/A]]</f>
        <v>0</v>
      </c>
      <c r="S1046" s="402">
        <f ca="1">Table66[[#This Row],[Year 1  (Proposed)]]+Table66[[#This Row],[Year 2 (Proposed)]]+Table66[[#This Row],[Year 3 (Proposed)]]+Table66[[#This Row],[Year 4 (Proposed)]]+Table66[[#This Row],[Year 5 (Proposed)]]+Table66[[#This Row],[Year 6 (Proposed)]]</f>
        <v>0</v>
      </c>
      <c r="T1046" s="403" t="b">
        <f ca="1">Table66[[#This Row],[Total Specifed in RFO - N/A]]=Table66[[#This Row],[Total Proposed]]</f>
        <v>1</v>
      </c>
      <c r="U1046" s="439"/>
      <c r="V1046" s="441">
        <f ca="1">Table66[[#This Row],[Year 6 (Specified in RFO) - N/A]]-Table66[[#This Row],[Column1]]</f>
        <v>0</v>
      </c>
    </row>
    <row r="1047" spans="1:22" ht="16.5" thickBot="1">
      <c r="A1047" s="227"/>
      <c r="B1047" s="319"/>
      <c r="C1047" s="319"/>
      <c r="D1047" s="320"/>
      <c r="E1047" s="320"/>
      <c r="F1047" s="190"/>
      <c r="G10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7" s="190"/>
      <c r="I10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7" s="190"/>
      <c r="K10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7" s="190"/>
      <c r="M10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7" s="190"/>
      <c r="O10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7" s="190"/>
      <c r="Q10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7" s="192">
        <f ca="1">Table66[[#This Row],[Year 1 (Specified in RFO) - N/A]]+Table66[[#This Row],[Year 2 (Specified in RFO) - N/A]]+Table66[[#This Row],[Year 3 (Specified in RFO) - N/A]]+Table66[[#This Row],[Year 4 (Specified in RFO) - N/A]]+Table66[[#This Row],[Year 5 (Specified in RFO) - N/A]]+Table66[[#This Row],[Year 6 (Specified in RFO) - N/A]]</f>
        <v>0</v>
      </c>
      <c r="S1047" s="402">
        <f ca="1">Table66[[#This Row],[Year 1  (Proposed)]]+Table66[[#This Row],[Year 2 (Proposed)]]+Table66[[#This Row],[Year 3 (Proposed)]]+Table66[[#This Row],[Year 4 (Proposed)]]+Table66[[#This Row],[Year 5 (Proposed)]]+Table66[[#This Row],[Year 6 (Proposed)]]</f>
        <v>0</v>
      </c>
      <c r="T1047" s="403" t="b">
        <f ca="1">Table66[[#This Row],[Total Specifed in RFO - N/A]]=Table66[[#This Row],[Total Proposed]]</f>
        <v>1</v>
      </c>
      <c r="U1047" s="439"/>
      <c r="V1047" s="441">
        <f ca="1">Table66[[#This Row],[Year 6 (Specified in RFO) - N/A]]-Table66[[#This Row],[Column1]]</f>
        <v>0</v>
      </c>
    </row>
    <row r="1048" spans="1:22" ht="16.5" thickBot="1">
      <c r="A1048" s="227"/>
      <c r="B1048" s="319"/>
      <c r="C1048" s="319"/>
      <c r="D1048" s="320"/>
      <c r="E1048" s="320"/>
      <c r="F1048" s="190"/>
      <c r="G10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8" s="190"/>
      <c r="I10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8" s="190"/>
      <c r="K10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8" s="190"/>
      <c r="M10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8" s="190"/>
      <c r="O10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8" s="190"/>
      <c r="Q10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8" s="192">
        <f ca="1">Table66[[#This Row],[Year 1 (Specified in RFO) - N/A]]+Table66[[#This Row],[Year 2 (Specified in RFO) - N/A]]+Table66[[#This Row],[Year 3 (Specified in RFO) - N/A]]+Table66[[#This Row],[Year 4 (Specified in RFO) - N/A]]+Table66[[#This Row],[Year 5 (Specified in RFO) - N/A]]+Table66[[#This Row],[Year 6 (Specified in RFO) - N/A]]</f>
        <v>0</v>
      </c>
      <c r="S1048" s="402">
        <f ca="1">Table66[[#This Row],[Year 1  (Proposed)]]+Table66[[#This Row],[Year 2 (Proposed)]]+Table66[[#This Row],[Year 3 (Proposed)]]+Table66[[#This Row],[Year 4 (Proposed)]]+Table66[[#This Row],[Year 5 (Proposed)]]+Table66[[#This Row],[Year 6 (Proposed)]]</f>
        <v>0</v>
      </c>
      <c r="T1048" s="403" t="b">
        <f ca="1">Table66[[#This Row],[Total Specifed in RFO - N/A]]=Table66[[#This Row],[Total Proposed]]</f>
        <v>1</v>
      </c>
      <c r="U1048" s="439"/>
      <c r="V1048" s="441">
        <f ca="1">Table66[[#This Row],[Year 6 (Specified in RFO) - N/A]]-Table66[[#This Row],[Column1]]</f>
        <v>0</v>
      </c>
    </row>
    <row r="1049" spans="1:22" ht="16.5" thickBot="1">
      <c r="A1049" s="227"/>
      <c r="B1049" s="319"/>
      <c r="C1049" s="319"/>
      <c r="D1049" s="320"/>
      <c r="E1049" s="320"/>
      <c r="F1049" s="190"/>
      <c r="G10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9" s="190"/>
      <c r="I10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9" s="190"/>
      <c r="K10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9" s="190"/>
      <c r="M10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9" s="190"/>
      <c r="O10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9" s="190"/>
      <c r="Q10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9" s="192">
        <f ca="1">Table66[[#This Row],[Year 1 (Specified in RFO) - N/A]]+Table66[[#This Row],[Year 2 (Specified in RFO) - N/A]]+Table66[[#This Row],[Year 3 (Specified in RFO) - N/A]]+Table66[[#This Row],[Year 4 (Specified in RFO) - N/A]]+Table66[[#This Row],[Year 5 (Specified in RFO) - N/A]]+Table66[[#This Row],[Year 6 (Specified in RFO) - N/A]]</f>
        <v>0</v>
      </c>
      <c r="S1049" s="402">
        <f ca="1">Table66[[#This Row],[Year 1  (Proposed)]]+Table66[[#This Row],[Year 2 (Proposed)]]+Table66[[#This Row],[Year 3 (Proposed)]]+Table66[[#This Row],[Year 4 (Proposed)]]+Table66[[#This Row],[Year 5 (Proposed)]]+Table66[[#This Row],[Year 6 (Proposed)]]</f>
        <v>0</v>
      </c>
      <c r="T1049" s="403" t="b">
        <f ca="1">Table66[[#This Row],[Total Specifed in RFO - N/A]]=Table66[[#This Row],[Total Proposed]]</f>
        <v>1</v>
      </c>
      <c r="U1049" s="439"/>
      <c r="V1049" s="441">
        <f ca="1">Table66[[#This Row],[Year 6 (Specified in RFO) - N/A]]-Table66[[#This Row],[Column1]]</f>
        <v>0</v>
      </c>
    </row>
    <row r="1050" spans="1:22" ht="16.5" thickBot="1">
      <c r="A1050" s="227"/>
      <c r="B1050" s="319"/>
      <c r="C1050" s="319"/>
      <c r="D1050" s="320"/>
      <c r="E1050" s="320"/>
      <c r="F1050" s="190"/>
      <c r="G10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0" s="190"/>
      <c r="I10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0" s="190"/>
      <c r="K10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0" s="190"/>
      <c r="M10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0" s="190"/>
      <c r="O10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0" s="190"/>
      <c r="Q10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0" s="192">
        <f ca="1">Table66[[#This Row],[Year 1 (Specified in RFO) - N/A]]+Table66[[#This Row],[Year 2 (Specified in RFO) - N/A]]+Table66[[#This Row],[Year 3 (Specified in RFO) - N/A]]+Table66[[#This Row],[Year 4 (Specified in RFO) - N/A]]+Table66[[#This Row],[Year 5 (Specified in RFO) - N/A]]+Table66[[#This Row],[Year 6 (Specified in RFO) - N/A]]</f>
        <v>0</v>
      </c>
      <c r="S1050" s="402">
        <f ca="1">Table66[[#This Row],[Year 1  (Proposed)]]+Table66[[#This Row],[Year 2 (Proposed)]]+Table66[[#This Row],[Year 3 (Proposed)]]+Table66[[#This Row],[Year 4 (Proposed)]]+Table66[[#This Row],[Year 5 (Proposed)]]+Table66[[#This Row],[Year 6 (Proposed)]]</f>
        <v>0</v>
      </c>
      <c r="T1050" s="403" t="b">
        <f ca="1">Table66[[#This Row],[Total Specifed in RFO - N/A]]=Table66[[#This Row],[Total Proposed]]</f>
        <v>1</v>
      </c>
      <c r="U1050" s="439"/>
      <c r="V1050" s="441">
        <f ca="1">Table66[[#This Row],[Year 6 (Specified in RFO) - N/A]]-Table66[[#This Row],[Column1]]</f>
        <v>0</v>
      </c>
    </row>
    <row r="1051" spans="1:22" ht="16.5" thickBot="1">
      <c r="A1051" s="227"/>
      <c r="B1051" s="319"/>
      <c r="C1051" s="319"/>
      <c r="D1051" s="320"/>
      <c r="E1051" s="320"/>
      <c r="F1051" s="190"/>
      <c r="G10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1" s="190"/>
      <c r="I10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1" s="190"/>
      <c r="K10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1" s="190"/>
      <c r="M10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1" s="190"/>
      <c r="O10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1" s="190"/>
      <c r="Q10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1" s="192">
        <f ca="1">Table66[[#This Row],[Year 1 (Specified in RFO) - N/A]]+Table66[[#This Row],[Year 2 (Specified in RFO) - N/A]]+Table66[[#This Row],[Year 3 (Specified in RFO) - N/A]]+Table66[[#This Row],[Year 4 (Specified in RFO) - N/A]]+Table66[[#This Row],[Year 5 (Specified in RFO) - N/A]]+Table66[[#This Row],[Year 6 (Specified in RFO) - N/A]]</f>
        <v>0</v>
      </c>
      <c r="S1051" s="402">
        <f ca="1">Table66[[#This Row],[Year 1  (Proposed)]]+Table66[[#This Row],[Year 2 (Proposed)]]+Table66[[#This Row],[Year 3 (Proposed)]]+Table66[[#This Row],[Year 4 (Proposed)]]+Table66[[#This Row],[Year 5 (Proposed)]]+Table66[[#This Row],[Year 6 (Proposed)]]</f>
        <v>0</v>
      </c>
      <c r="T1051" s="403" t="b">
        <f ca="1">Table66[[#This Row],[Total Specifed in RFO - N/A]]=Table66[[#This Row],[Total Proposed]]</f>
        <v>1</v>
      </c>
      <c r="U1051" s="439"/>
      <c r="V1051" s="441">
        <f ca="1">Table66[[#This Row],[Year 6 (Specified in RFO) - N/A]]-Table66[[#This Row],[Column1]]</f>
        <v>0</v>
      </c>
    </row>
    <row r="1052" spans="1:22" ht="16.5" thickBot="1">
      <c r="A1052" s="227"/>
      <c r="B1052" s="319"/>
      <c r="C1052" s="319"/>
      <c r="D1052" s="320"/>
      <c r="E1052" s="320"/>
      <c r="F1052" s="190"/>
      <c r="G10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2" s="190"/>
      <c r="I10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2" s="190"/>
      <c r="K10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2" s="190"/>
      <c r="M10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2" s="190"/>
      <c r="O10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2" s="190"/>
      <c r="Q10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2" s="192">
        <f ca="1">Table66[[#This Row],[Year 1 (Specified in RFO) - N/A]]+Table66[[#This Row],[Year 2 (Specified in RFO) - N/A]]+Table66[[#This Row],[Year 3 (Specified in RFO) - N/A]]+Table66[[#This Row],[Year 4 (Specified in RFO) - N/A]]+Table66[[#This Row],[Year 5 (Specified in RFO) - N/A]]+Table66[[#This Row],[Year 6 (Specified in RFO) - N/A]]</f>
        <v>0</v>
      </c>
      <c r="S1052" s="402">
        <f ca="1">Table66[[#This Row],[Year 1  (Proposed)]]+Table66[[#This Row],[Year 2 (Proposed)]]+Table66[[#This Row],[Year 3 (Proposed)]]+Table66[[#This Row],[Year 4 (Proposed)]]+Table66[[#This Row],[Year 5 (Proposed)]]+Table66[[#This Row],[Year 6 (Proposed)]]</f>
        <v>0</v>
      </c>
      <c r="T1052" s="403" t="b">
        <f ca="1">Table66[[#This Row],[Total Specifed in RFO - N/A]]=Table66[[#This Row],[Total Proposed]]</f>
        <v>1</v>
      </c>
      <c r="U1052" s="439"/>
      <c r="V1052" s="441">
        <f ca="1">Table66[[#This Row],[Year 6 (Specified in RFO) - N/A]]-Table66[[#This Row],[Column1]]</f>
        <v>0</v>
      </c>
    </row>
    <row r="1053" spans="1:22" ht="16.5" thickBot="1">
      <c r="A1053" s="227"/>
      <c r="B1053" s="319"/>
      <c r="C1053" s="319"/>
      <c r="D1053" s="320"/>
      <c r="E1053" s="320"/>
      <c r="F1053" s="190"/>
      <c r="G10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3" s="190"/>
      <c r="I10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3" s="190"/>
      <c r="K10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3" s="190"/>
      <c r="M10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3" s="190"/>
      <c r="O10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3" s="190"/>
      <c r="Q10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3" s="192">
        <f ca="1">Table66[[#This Row],[Year 1 (Specified in RFO) - N/A]]+Table66[[#This Row],[Year 2 (Specified in RFO) - N/A]]+Table66[[#This Row],[Year 3 (Specified in RFO) - N/A]]+Table66[[#This Row],[Year 4 (Specified in RFO) - N/A]]+Table66[[#This Row],[Year 5 (Specified in RFO) - N/A]]+Table66[[#This Row],[Year 6 (Specified in RFO) - N/A]]</f>
        <v>0</v>
      </c>
      <c r="S1053" s="402">
        <f ca="1">Table66[[#This Row],[Year 1  (Proposed)]]+Table66[[#This Row],[Year 2 (Proposed)]]+Table66[[#This Row],[Year 3 (Proposed)]]+Table66[[#This Row],[Year 4 (Proposed)]]+Table66[[#This Row],[Year 5 (Proposed)]]+Table66[[#This Row],[Year 6 (Proposed)]]</f>
        <v>0</v>
      </c>
      <c r="T1053" s="403" t="b">
        <f ca="1">Table66[[#This Row],[Total Specifed in RFO - N/A]]=Table66[[#This Row],[Total Proposed]]</f>
        <v>1</v>
      </c>
      <c r="U1053" s="439"/>
      <c r="V1053" s="441">
        <f ca="1">Table66[[#This Row],[Year 6 (Specified in RFO) - N/A]]-Table66[[#This Row],[Column1]]</f>
        <v>0</v>
      </c>
    </row>
    <row r="1054" spans="1:22" ht="16.5" thickBot="1">
      <c r="A1054" s="227"/>
      <c r="B1054" s="319"/>
      <c r="C1054" s="319"/>
      <c r="D1054" s="320"/>
      <c r="E1054" s="320"/>
      <c r="F1054" s="190"/>
      <c r="G10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4" s="190"/>
      <c r="I10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4" s="190"/>
      <c r="K10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4" s="190"/>
      <c r="M10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4" s="190"/>
      <c r="O10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4" s="190"/>
      <c r="Q10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4" s="192">
        <f ca="1">Table66[[#This Row],[Year 1 (Specified in RFO) - N/A]]+Table66[[#This Row],[Year 2 (Specified in RFO) - N/A]]+Table66[[#This Row],[Year 3 (Specified in RFO) - N/A]]+Table66[[#This Row],[Year 4 (Specified in RFO) - N/A]]+Table66[[#This Row],[Year 5 (Specified in RFO) - N/A]]+Table66[[#This Row],[Year 6 (Specified in RFO) - N/A]]</f>
        <v>0</v>
      </c>
      <c r="S1054" s="402">
        <f ca="1">Table66[[#This Row],[Year 1  (Proposed)]]+Table66[[#This Row],[Year 2 (Proposed)]]+Table66[[#This Row],[Year 3 (Proposed)]]+Table66[[#This Row],[Year 4 (Proposed)]]+Table66[[#This Row],[Year 5 (Proposed)]]+Table66[[#This Row],[Year 6 (Proposed)]]</f>
        <v>0</v>
      </c>
      <c r="T1054" s="403" t="b">
        <f ca="1">Table66[[#This Row],[Total Specifed in RFO - N/A]]=Table66[[#This Row],[Total Proposed]]</f>
        <v>1</v>
      </c>
      <c r="U1054" s="439"/>
      <c r="V1054" s="441">
        <f ca="1">Table66[[#This Row],[Year 6 (Specified in RFO) - N/A]]-Table66[[#This Row],[Column1]]</f>
        <v>0</v>
      </c>
    </row>
    <row r="1055" spans="1:22" ht="16.5" thickBot="1">
      <c r="A1055" s="227"/>
      <c r="B1055" s="319"/>
      <c r="C1055" s="319"/>
      <c r="D1055" s="320"/>
      <c r="E1055" s="320"/>
      <c r="F1055" s="190"/>
      <c r="G10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5" s="190"/>
      <c r="I10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5" s="190"/>
      <c r="K10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5" s="190"/>
      <c r="M10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5" s="190"/>
      <c r="O10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5" s="190"/>
      <c r="Q10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5" s="192">
        <f ca="1">Table66[[#This Row],[Year 1 (Specified in RFO) - N/A]]+Table66[[#This Row],[Year 2 (Specified in RFO) - N/A]]+Table66[[#This Row],[Year 3 (Specified in RFO) - N/A]]+Table66[[#This Row],[Year 4 (Specified in RFO) - N/A]]+Table66[[#This Row],[Year 5 (Specified in RFO) - N/A]]+Table66[[#This Row],[Year 6 (Specified in RFO) - N/A]]</f>
        <v>0</v>
      </c>
      <c r="S1055" s="402">
        <f ca="1">Table66[[#This Row],[Year 1  (Proposed)]]+Table66[[#This Row],[Year 2 (Proposed)]]+Table66[[#This Row],[Year 3 (Proposed)]]+Table66[[#This Row],[Year 4 (Proposed)]]+Table66[[#This Row],[Year 5 (Proposed)]]+Table66[[#This Row],[Year 6 (Proposed)]]</f>
        <v>0</v>
      </c>
      <c r="T1055" s="403" t="b">
        <f ca="1">Table66[[#This Row],[Total Specifed in RFO - N/A]]=Table66[[#This Row],[Total Proposed]]</f>
        <v>1</v>
      </c>
      <c r="U1055" s="439"/>
      <c r="V1055" s="441">
        <f ca="1">Table66[[#This Row],[Year 6 (Specified in RFO) - N/A]]-Table66[[#This Row],[Column1]]</f>
        <v>0</v>
      </c>
    </row>
    <row r="1056" spans="1:22" ht="16.5" thickBot="1">
      <c r="A1056" s="227"/>
      <c r="B1056" s="319"/>
      <c r="C1056" s="319"/>
      <c r="D1056" s="320"/>
      <c r="E1056" s="320"/>
      <c r="F1056" s="190"/>
      <c r="G10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6" s="190"/>
      <c r="I10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6" s="190"/>
      <c r="K10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6" s="190"/>
      <c r="M10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6" s="190"/>
      <c r="O10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6" s="190"/>
      <c r="Q10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6" s="192">
        <f ca="1">Table66[[#This Row],[Year 1 (Specified in RFO) - N/A]]+Table66[[#This Row],[Year 2 (Specified in RFO) - N/A]]+Table66[[#This Row],[Year 3 (Specified in RFO) - N/A]]+Table66[[#This Row],[Year 4 (Specified in RFO) - N/A]]+Table66[[#This Row],[Year 5 (Specified in RFO) - N/A]]+Table66[[#This Row],[Year 6 (Specified in RFO) - N/A]]</f>
        <v>0</v>
      </c>
      <c r="S1056" s="402">
        <f ca="1">Table66[[#This Row],[Year 1  (Proposed)]]+Table66[[#This Row],[Year 2 (Proposed)]]+Table66[[#This Row],[Year 3 (Proposed)]]+Table66[[#This Row],[Year 4 (Proposed)]]+Table66[[#This Row],[Year 5 (Proposed)]]+Table66[[#This Row],[Year 6 (Proposed)]]</f>
        <v>0</v>
      </c>
      <c r="T1056" s="403" t="b">
        <f ca="1">Table66[[#This Row],[Total Specifed in RFO - N/A]]=Table66[[#This Row],[Total Proposed]]</f>
        <v>1</v>
      </c>
      <c r="U1056" s="439"/>
      <c r="V1056" s="441">
        <f ca="1">Table66[[#This Row],[Year 6 (Specified in RFO) - N/A]]-Table66[[#This Row],[Column1]]</f>
        <v>0</v>
      </c>
    </row>
    <row r="1057" spans="1:22" ht="16.5" thickBot="1">
      <c r="A1057" s="227"/>
      <c r="B1057" s="319"/>
      <c r="C1057" s="319"/>
      <c r="D1057" s="320"/>
      <c r="E1057" s="320"/>
      <c r="F1057" s="190"/>
      <c r="G10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7" s="190"/>
      <c r="I10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7" s="190"/>
      <c r="K10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7" s="190"/>
      <c r="M10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7" s="190"/>
      <c r="O10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7" s="190"/>
      <c r="Q10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7" s="192">
        <f ca="1">Table66[[#This Row],[Year 1 (Specified in RFO) - N/A]]+Table66[[#This Row],[Year 2 (Specified in RFO) - N/A]]+Table66[[#This Row],[Year 3 (Specified in RFO) - N/A]]+Table66[[#This Row],[Year 4 (Specified in RFO) - N/A]]+Table66[[#This Row],[Year 5 (Specified in RFO) - N/A]]+Table66[[#This Row],[Year 6 (Specified in RFO) - N/A]]</f>
        <v>0</v>
      </c>
      <c r="S1057" s="402">
        <f ca="1">Table66[[#This Row],[Year 1  (Proposed)]]+Table66[[#This Row],[Year 2 (Proposed)]]+Table66[[#This Row],[Year 3 (Proposed)]]+Table66[[#This Row],[Year 4 (Proposed)]]+Table66[[#This Row],[Year 5 (Proposed)]]+Table66[[#This Row],[Year 6 (Proposed)]]</f>
        <v>0</v>
      </c>
      <c r="T1057" s="403" t="b">
        <f ca="1">Table66[[#This Row],[Total Specifed in RFO - N/A]]=Table66[[#This Row],[Total Proposed]]</f>
        <v>1</v>
      </c>
      <c r="U1057" s="439"/>
      <c r="V1057" s="441">
        <f ca="1">Table66[[#This Row],[Year 6 (Specified in RFO) - N/A]]-Table66[[#This Row],[Column1]]</f>
        <v>0</v>
      </c>
    </row>
    <row r="1058" spans="1:22" ht="16.5" thickBot="1">
      <c r="A1058" s="227"/>
      <c r="B1058" s="319"/>
      <c r="C1058" s="319"/>
      <c r="D1058" s="320"/>
      <c r="E1058" s="320"/>
      <c r="F1058" s="190"/>
      <c r="G10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8" s="190"/>
      <c r="I10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8" s="190"/>
      <c r="K10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8" s="190"/>
      <c r="M10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8" s="190"/>
      <c r="O10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8" s="190"/>
      <c r="Q10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8" s="192">
        <f ca="1">Table66[[#This Row],[Year 1 (Specified in RFO) - N/A]]+Table66[[#This Row],[Year 2 (Specified in RFO) - N/A]]+Table66[[#This Row],[Year 3 (Specified in RFO) - N/A]]+Table66[[#This Row],[Year 4 (Specified in RFO) - N/A]]+Table66[[#This Row],[Year 5 (Specified in RFO) - N/A]]+Table66[[#This Row],[Year 6 (Specified in RFO) - N/A]]</f>
        <v>0</v>
      </c>
      <c r="S1058" s="402">
        <f ca="1">Table66[[#This Row],[Year 1  (Proposed)]]+Table66[[#This Row],[Year 2 (Proposed)]]+Table66[[#This Row],[Year 3 (Proposed)]]+Table66[[#This Row],[Year 4 (Proposed)]]+Table66[[#This Row],[Year 5 (Proposed)]]+Table66[[#This Row],[Year 6 (Proposed)]]</f>
        <v>0</v>
      </c>
      <c r="T1058" s="403" t="b">
        <f ca="1">Table66[[#This Row],[Total Specifed in RFO - N/A]]=Table66[[#This Row],[Total Proposed]]</f>
        <v>1</v>
      </c>
      <c r="U1058" s="439"/>
      <c r="V1058" s="441">
        <f ca="1">Table66[[#This Row],[Year 6 (Specified in RFO) - N/A]]-Table66[[#This Row],[Column1]]</f>
        <v>0</v>
      </c>
    </row>
    <row r="1059" spans="1:22" ht="16.5" thickBot="1">
      <c r="A1059" s="227"/>
      <c r="B1059" s="319"/>
      <c r="C1059" s="319"/>
      <c r="D1059" s="320"/>
      <c r="E1059" s="320"/>
      <c r="F1059" s="190"/>
      <c r="G10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9" s="190"/>
      <c r="I10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9" s="190"/>
      <c r="K10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9" s="190"/>
      <c r="M10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9" s="190"/>
      <c r="O10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9" s="190"/>
      <c r="Q10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9" s="192">
        <f ca="1">Table66[[#This Row],[Year 1 (Specified in RFO) - N/A]]+Table66[[#This Row],[Year 2 (Specified in RFO) - N/A]]+Table66[[#This Row],[Year 3 (Specified in RFO) - N/A]]+Table66[[#This Row],[Year 4 (Specified in RFO) - N/A]]+Table66[[#This Row],[Year 5 (Specified in RFO) - N/A]]+Table66[[#This Row],[Year 6 (Specified in RFO) - N/A]]</f>
        <v>0</v>
      </c>
      <c r="S1059" s="402">
        <f ca="1">Table66[[#This Row],[Year 1  (Proposed)]]+Table66[[#This Row],[Year 2 (Proposed)]]+Table66[[#This Row],[Year 3 (Proposed)]]+Table66[[#This Row],[Year 4 (Proposed)]]+Table66[[#This Row],[Year 5 (Proposed)]]+Table66[[#This Row],[Year 6 (Proposed)]]</f>
        <v>0</v>
      </c>
      <c r="T1059" s="403" t="b">
        <f ca="1">Table66[[#This Row],[Total Specifed in RFO - N/A]]=Table66[[#This Row],[Total Proposed]]</f>
        <v>1</v>
      </c>
      <c r="U1059" s="439"/>
      <c r="V1059" s="441">
        <f ca="1">Table66[[#This Row],[Year 6 (Specified in RFO) - N/A]]-Table66[[#This Row],[Column1]]</f>
        <v>0</v>
      </c>
    </row>
    <row r="1060" spans="1:22" ht="16.5" thickBot="1">
      <c r="A1060" s="227"/>
      <c r="B1060" s="319"/>
      <c r="C1060" s="319"/>
      <c r="D1060" s="320"/>
      <c r="E1060" s="320"/>
      <c r="F1060" s="190"/>
      <c r="G10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0" s="190"/>
      <c r="I10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0" s="190"/>
      <c r="K10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0" s="190"/>
      <c r="M10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0" s="190"/>
      <c r="O10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0" s="190"/>
      <c r="Q10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0" s="192">
        <f ca="1">Table66[[#This Row],[Year 1 (Specified in RFO) - N/A]]+Table66[[#This Row],[Year 2 (Specified in RFO) - N/A]]+Table66[[#This Row],[Year 3 (Specified in RFO) - N/A]]+Table66[[#This Row],[Year 4 (Specified in RFO) - N/A]]+Table66[[#This Row],[Year 5 (Specified in RFO) - N/A]]+Table66[[#This Row],[Year 6 (Specified in RFO) - N/A]]</f>
        <v>0</v>
      </c>
      <c r="S1060" s="402">
        <f ca="1">Table66[[#This Row],[Year 1  (Proposed)]]+Table66[[#This Row],[Year 2 (Proposed)]]+Table66[[#This Row],[Year 3 (Proposed)]]+Table66[[#This Row],[Year 4 (Proposed)]]+Table66[[#This Row],[Year 5 (Proposed)]]+Table66[[#This Row],[Year 6 (Proposed)]]</f>
        <v>0</v>
      </c>
      <c r="T1060" s="403" t="b">
        <f ca="1">Table66[[#This Row],[Total Specifed in RFO - N/A]]=Table66[[#This Row],[Total Proposed]]</f>
        <v>1</v>
      </c>
      <c r="U1060" s="439"/>
      <c r="V1060" s="441">
        <f ca="1">Table66[[#This Row],[Year 6 (Specified in RFO) - N/A]]-Table66[[#This Row],[Column1]]</f>
        <v>0</v>
      </c>
    </row>
    <row r="1061" spans="1:22" ht="16.5" thickBot="1">
      <c r="A1061" s="227"/>
      <c r="B1061" s="319"/>
      <c r="C1061" s="319"/>
      <c r="D1061" s="320"/>
      <c r="E1061" s="320"/>
      <c r="F1061" s="190"/>
      <c r="G10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1" s="190"/>
      <c r="I10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1" s="190"/>
      <c r="K10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1" s="190"/>
      <c r="M10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1" s="190"/>
      <c r="O10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1" s="190"/>
      <c r="Q10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1" s="192">
        <f ca="1">Table66[[#This Row],[Year 1 (Specified in RFO) - N/A]]+Table66[[#This Row],[Year 2 (Specified in RFO) - N/A]]+Table66[[#This Row],[Year 3 (Specified in RFO) - N/A]]+Table66[[#This Row],[Year 4 (Specified in RFO) - N/A]]+Table66[[#This Row],[Year 5 (Specified in RFO) - N/A]]+Table66[[#This Row],[Year 6 (Specified in RFO) - N/A]]</f>
        <v>0</v>
      </c>
      <c r="S1061" s="402">
        <f ca="1">Table66[[#This Row],[Year 1  (Proposed)]]+Table66[[#This Row],[Year 2 (Proposed)]]+Table66[[#This Row],[Year 3 (Proposed)]]+Table66[[#This Row],[Year 4 (Proposed)]]+Table66[[#This Row],[Year 5 (Proposed)]]+Table66[[#This Row],[Year 6 (Proposed)]]</f>
        <v>0</v>
      </c>
      <c r="T1061" s="403" t="b">
        <f ca="1">Table66[[#This Row],[Total Specifed in RFO - N/A]]=Table66[[#This Row],[Total Proposed]]</f>
        <v>1</v>
      </c>
      <c r="U1061" s="439"/>
      <c r="V1061" s="441">
        <f ca="1">Table66[[#This Row],[Year 6 (Specified in RFO) - N/A]]-Table66[[#This Row],[Column1]]</f>
        <v>0</v>
      </c>
    </row>
    <row r="1062" spans="1:22" ht="16.5" thickBot="1">
      <c r="A1062" s="227"/>
      <c r="B1062" s="319"/>
      <c r="C1062" s="319"/>
      <c r="D1062" s="320"/>
      <c r="E1062" s="320"/>
      <c r="F1062" s="190"/>
      <c r="G10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2" s="190"/>
      <c r="I10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2" s="190"/>
      <c r="K10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2" s="190"/>
      <c r="M10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2" s="190"/>
      <c r="O10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2" s="190"/>
      <c r="Q10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2" s="192">
        <f ca="1">Table66[[#This Row],[Year 1 (Specified in RFO) - N/A]]+Table66[[#This Row],[Year 2 (Specified in RFO) - N/A]]+Table66[[#This Row],[Year 3 (Specified in RFO) - N/A]]+Table66[[#This Row],[Year 4 (Specified in RFO) - N/A]]+Table66[[#This Row],[Year 5 (Specified in RFO) - N/A]]+Table66[[#This Row],[Year 6 (Specified in RFO) - N/A]]</f>
        <v>0</v>
      </c>
      <c r="S1062" s="402">
        <f ca="1">Table66[[#This Row],[Year 1  (Proposed)]]+Table66[[#This Row],[Year 2 (Proposed)]]+Table66[[#This Row],[Year 3 (Proposed)]]+Table66[[#This Row],[Year 4 (Proposed)]]+Table66[[#This Row],[Year 5 (Proposed)]]+Table66[[#This Row],[Year 6 (Proposed)]]</f>
        <v>0</v>
      </c>
      <c r="T1062" s="403" t="b">
        <f ca="1">Table66[[#This Row],[Total Specifed in RFO - N/A]]=Table66[[#This Row],[Total Proposed]]</f>
        <v>1</v>
      </c>
      <c r="U1062" s="439"/>
      <c r="V1062" s="441">
        <f ca="1">Table66[[#This Row],[Year 6 (Specified in RFO) - N/A]]-Table66[[#This Row],[Column1]]</f>
        <v>0</v>
      </c>
    </row>
    <row r="1063" spans="1:22" ht="16.5" thickBot="1">
      <c r="A1063" s="227"/>
      <c r="B1063" s="319"/>
      <c r="C1063" s="319"/>
      <c r="D1063" s="320"/>
      <c r="E1063" s="320"/>
      <c r="F1063" s="190"/>
      <c r="G10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3" s="190"/>
      <c r="I10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3" s="190"/>
      <c r="K10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3" s="190"/>
      <c r="M10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3" s="190"/>
      <c r="O10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3" s="190"/>
      <c r="Q10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3" s="192">
        <f ca="1">Table66[[#This Row],[Year 1 (Specified in RFO) - N/A]]+Table66[[#This Row],[Year 2 (Specified in RFO) - N/A]]+Table66[[#This Row],[Year 3 (Specified in RFO) - N/A]]+Table66[[#This Row],[Year 4 (Specified in RFO) - N/A]]+Table66[[#This Row],[Year 5 (Specified in RFO) - N/A]]+Table66[[#This Row],[Year 6 (Specified in RFO) - N/A]]</f>
        <v>0</v>
      </c>
      <c r="S1063" s="402">
        <f ca="1">Table66[[#This Row],[Year 1  (Proposed)]]+Table66[[#This Row],[Year 2 (Proposed)]]+Table66[[#This Row],[Year 3 (Proposed)]]+Table66[[#This Row],[Year 4 (Proposed)]]+Table66[[#This Row],[Year 5 (Proposed)]]+Table66[[#This Row],[Year 6 (Proposed)]]</f>
        <v>0</v>
      </c>
      <c r="T1063" s="403" t="b">
        <f ca="1">Table66[[#This Row],[Total Specifed in RFO - N/A]]=Table66[[#This Row],[Total Proposed]]</f>
        <v>1</v>
      </c>
      <c r="U1063" s="439"/>
      <c r="V1063" s="441">
        <f ca="1">Table66[[#This Row],[Year 6 (Specified in RFO) - N/A]]-Table66[[#This Row],[Column1]]</f>
        <v>0</v>
      </c>
    </row>
    <row r="1064" spans="1:22" ht="16.5" thickBot="1">
      <c r="A1064" s="227"/>
      <c r="B1064" s="319"/>
      <c r="C1064" s="319"/>
      <c r="D1064" s="320"/>
      <c r="E1064" s="320"/>
      <c r="F1064" s="190"/>
      <c r="G10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4" s="190"/>
      <c r="I10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4" s="190"/>
      <c r="K10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4" s="190"/>
      <c r="M10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4" s="190"/>
      <c r="O10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4" s="190"/>
      <c r="Q10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4" s="192">
        <f ca="1">Table66[[#This Row],[Year 1 (Specified in RFO) - N/A]]+Table66[[#This Row],[Year 2 (Specified in RFO) - N/A]]+Table66[[#This Row],[Year 3 (Specified in RFO) - N/A]]+Table66[[#This Row],[Year 4 (Specified in RFO) - N/A]]+Table66[[#This Row],[Year 5 (Specified in RFO) - N/A]]+Table66[[#This Row],[Year 6 (Specified in RFO) - N/A]]</f>
        <v>0</v>
      </c>
      <c r="S1064" s="402">
        <f ca="1">Table66[[#This Row],[Year 1  (Proposed)]]+Table66[[#This Row],[Year 2 (Proposed)]]+Table66[[#This Row],[Year 3 (Proposed)]]+Table66[[#This Row],[Year 4 (Proposed)]]+Table66[[#This Row],[Year 5 (Proposed)]]+Table66[[#This Row],[Year 6 (Proposed)]]</f>
        <v>0</v>
      </c>
      <c r="T1064" s="403" t="b">
        <f ca="1">Table66[[#This Row],[Total Specifed in RFO - N/A]]=Table66[[#This Row],[Total Proposed]]</f>
        <v>1</v>
      </c>
      <c r="U1064" s="439"/>
      <c r="V1064" s="441">
        <f ca="1">Table66[[#This Row],[Year 6 (Specified in RFO) - N/A]]-Table66[[#This Row],[Column1]]</f>
        <v>0</v>
      </c>
    </row>
    <row r="1065" spans="1:22" ht="16.5" thickBot="1">
      <c r="A1065" s="227"/>
      <c r="B1065" s="319"/>
      <c r="C1065" s="319"/>
      <c r="D1065" s="320"/>
      <c r="E1065" s="320"/>
      <c r="F1065" s="190"/>
      <c r="G10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5" s="190"/>
      <c r="I10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5" s="190"/>
      <c r="K10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5" s="190"/>
      <c r="M10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5" s="190"/>
      <c r="O10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5" s="190"/>
      <c r="Q10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5" s="192">
        <f ca="1">Table66[[#This Row],[Year 1 (Specified in RFO) - N/A]]+Table66[[#This Row],[Year 2 (Specified in RFO) - N/A]]+Table66[[#This Row],[Year 3 (Specified in RFO) - N/A]]+Table66[[#This Row],[Year 4 (Specified in RFO) - N/A]]+Table66[[#This Row],[Year 5 (Specified in RFO) - N/A]]+Table66[[#This Row],[Year 6 (Specified in RFO) - N/A]]</f>
        <v>0</v>
      </c>
      <c r="S1065" s="402">
        <f ca="1">Table66[[#This Row],[Year 1  (Proposed)]]+Table66[[#This Row],[Year 2 (Proposed)]]+Table66[[#This Row],[Year 3 (Proposed)]]+Table66[[#This Row],[Year 4 (Proposed)]]+Table66[[#This Row],[Year 5 (Proposed)]]+Table66[[#This Row],[Year 6 (Proposed)]]</f>
        <v>0</v>
      </c>
      <c r="T1065" s="403" t="b">
        <f ca="1">Table66[[#This Row],[Total Specifed in RFO - N/A]]=Table66[[#This Row],[Total Proposed]]</f>
        <v>1</v>
      </c>
      <c r="U1065" s="439"/>
      <c r="V1065" s="441">
        <f ca="1">Table66[[#This Row],[Year 6 (Specified in RFO) - N/A]]-Table66[[#This Row],[Column1]]</f>
        <v>0</v>
      </c>
    </row>
    <row r="1066" spans="1:22" ht="16.5" thickBot="1">
      <c r="A1066" s="227"/>
      <c r="B1066" s="319"/>
      <c r="C1066" s="319"/>
      <c r="D1066" s="320"/>
      <c r="E1066" s="320"/>
      <c r="F1066" s="190"/>
      <c r="G10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6" s="190"/>
      <c r="I10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6" s="190"/>
      <c r="K10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6" s="190"/>
      <c r="M10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6" s="190"/>
      <c r="O10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6" s="190"/>
      <c r="Q10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6" s="192">
        <f ca="1">Table66[[#This Row],[Year 1 (Specified in RFO) - N/A]]+Table66[[#This Row],[Year 2 (Specified in RFO) - N/A]]+Table66[[#This Row],[Year 3 (Specified in RFO) - N/A]]+Table66[[#This Row],[Year 4 (Specified in RFO) - N/A]]+Table66[[#This Row],[Year 5 (Specified in RFO) - N/A]]+Table66[[#This Row],[Year 6 (Specified in RFO) - N/A]]</f>
        <v>0</v>
      </c>
      <c r="S1066" s="402">
        <f ca="1">Table66[[#This Row],[Year 1  (Proposed)]]+Table66[[#This Row],[Year 2 (Proposed)]]+Table66[[#This Row],[Year 3 (Proposed)]]+Table66[[#This Row],[Year 4 (Proposed)]]+Table66[[#This Row],[Year 5 (Proposed)]]+Table66[[#This Row],[Year 6 (Proposed)]]</f>
        <v>0</v>
      </c>
      <c r="T1066" s="403" t="b">
        <f ca="1">Table66[[#This Row],[Total Specifed in RFO - N/A]]=Table66[[#This Row],[Total Proposed]]</f>
        <v>1</v>
      </c>
      <c r="U1066" s="439"/>
      <c r="V1066" s="441">
        <f ca="1">Table66[[#This Row],[Year 6 (Specified in RFO) - N/A]]-Table66[[#This Row],[Column1]]</f>
        <v>0</v>
      </c>
    </row>
    <row r="1067" spans="1:22" ht="16.5" thickBot="1">
      <c r="A1067" s="227"/>
      <c r="B1067" s="319"/>
      <c r="C1067" s="319"/>
      <c r="D1067" s="320"/>
      <c r="E1067" s="320"/>
      <c r="F1067" s="190"/>
      <c r="G10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7" s="190"/>
      <c r="I10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7" s="190"/>
      <c r="K10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7" s="190"/>
      <c r="M10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7" s="190"/>
      <c r="O10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7" s="190"/>
      <c r="Q10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7" s="192">
        <f ca="1">Table66[[#This Row],[Year 1 (Specified in RFO) - N/A]]+Table66[[#This Row],[Year 2 (Specified in RFO) - N/A]]+Table66[[#This Row],[Year 3 (Specified in RFO) - N/A]]+Table66[[#This Row],[Year 4 (Specified in RFO) - N/A]]+Table66[[#This Row],[Year 5 (Specified in RFO) - N/A]]+Table66[[#This Row],[Year 6 (Specified in RFO) - N/A]]</f>
        <v>0</v>
      </c>
      <c r="S1067" s="402">
        <f ca="1">Table66[[#This Row],[Year 1  (Proposed)]]+Table66[[#This Row],[Year 2 (Proposed)]]+Table66[[#This Row],[Year 3 (Proposed)]]+Table66[[#This Row],[Year 4 (Proposed)]]+Table66[[#This Row],[Year 5 (Proposed)]]+Table66[[#This Row],[Year 6 (Proposed)]]</f>
        <v>0</v>
      </c>
      <c r="T1067" s="403" t="b">
        <f ca="1">Table66[[#This Row],[Total Specifed in RFO - N/A]]=Table66[[#This Row],[Total Proposed]]</f>
        <v>1</v>
      </c>
      <c r="U1067" s="439"/>
      <c r="V1067" s="441">
        <f ca="1">Table66[[#This Row],[Year 6 (Specified in RFO) - N/A]]-Table66[[#This Row],[Column1]]</f>
        <v>0</v>
      </c>
    </row>
    <row r="1068" spans="1:22" ht="16.5" thickBot="1">
      <c r="A1068" s="227"/>
      <c r="B1068" s="319"/>
      <c r="C1068" s="319"/>
      <c r="D1068" s="320"/>
      <c r="E1068" s="320"/>
      <c r="F1068" s="190"/>
      <c r="G10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8" s="190"/>
      <c r="I10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8" s="190"/>
      <c r="K10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8" s="190"/>
      <c r="M10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8" s="190"/>
      <c r="O10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8" s="190"/>
      <c r="Q10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8" s="192">
        <f ca="1">Table66[[#This Row],[Year 1 (Specified in RFO) - N/A]]+Table66[[#This Row],[Year 2 (Specified in RFO) - N/A]]+Table66[[#This Row],[Year 3 (Specified in RFO) - N/A]]+Table66[[#This Row],[Year 4 (Specified in RFO) - N/A]]+Table66[[#This Row],[Year 5 (Specified in RFO) - N/A]]+Table66[[#This Row],[Year 6 (Specified in RFO) - N/A]]</f>
        <v>0</v>
      </c>
      <c r="S1068" s="402">
        <f ca="1">Table66[[#This Row],[Year 1  (Proposed)]]+Table66[[#This Row],[Year 2 (Proposed)]]+Table66[[#This Row],[Year 3 (Proposed)]]+Table66[[#This Row],[Year 4 (Proposed)]]+Table66[[#This Row],[Year 5 (Proposed)]]+Table66[[#This Row],[Year 6 (Proposed)]]</f>
        <v>0</v>
      </c>
      <c r="T1068" s="403" t="b">
        <f ca="1">Table66[[#This Row],[Total Specifed in RFO - N/A]]=Table66[[#This Row],[Total Proposed]]</f>
        <v>1</v>
      </c>
      <c r="U1068" s="439"/>
      <c r="V1068" s="441">
        <f ca="1">Table66[[#This Row],[Year 6 (Specified in RFO) - N/A]]-Table66[[#This Row],[Column1]]</f>
        <v>0</v>
      </c>
    </row>
    <row r="1069" spans="1:22" ht="16.5" thickBot="1">
      <c r="A1069" s="227"/>
      <c r="B1069" s="319"/>
      <c r="C1069" s="319"/>
      <c r="D1069" s="320"/>
      <c r="E1069" s="320"/>
      <c r="F1069" s="190"/>
      <c r="G10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9" s="190"/>
      <c r="I10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9" s="190"/>
      <c r="K10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9" s="190"/>
      <c r="M10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9" s="190"/>
      <c r="O10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9" s="190"/>
      <c r="Q10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9" s="192">
        <f ca="1">Table66[[#This Row],[Year 1 (Specified in RFO) - N/A]]+Table66[[#This Row],[Year 2 (Specified in RFO) - N/A]]+Table66[[#This Row],[Year 3 (Specified in RFO) - N/A]]+Table66[[#This Row],[Year 4 (Specified in RFO) - N/A]]+Table66[[#This Row],[Year 5 (Specified in RFO) - N/A]]+Table66[[#This Row],[Year 6 (Specified in RFO) - N/A]]</f>
        <v>0</v>
      </c>
      <c r="S1069" s="402">
        <f ca="1">Table66[[#This Row],[Year 1  (Proposed)]]+Table66[[#This Row],[Year 2 (Proposed)]]+Table66[[#This Row],[Year 3 (Proposed)]]+Table66[[#This Row],[Year 4 (Proposed)]]+Table66[[#This Row],[Year 5 (Proposed)]]+Table66[[#This Row],[Year 6 (Proposed)]]</f>
        <v>0</v>
      </c>
      <c r="T1069" s="403" t="b">
        <f ca="1">Table66[[#This Row],[Total Specifed in RFO - N/A]]=Table66[[#This Row],[Total Proposed]]</f>
        <v>1</v>
      </c>
      <c r="U1069" s="439"/>
      <c r="V1069" s="441">
        <f ca="1">Table66[[#This Row],[Year 6 (Specified in RFO) - N/A]]-Table66[[#This Row],[Column1]]</f>
        <v>0</v>
      </c>
    </row>
    <row r="1070" spans="1:22" ht="16.5" thickBot="1">
      <c r="A1070" s="227"/>
      <c r="B1070" s="319"/>
      <c r="C1070" s="319"/>
      <c r="D1070" s="320"/>
      <c r="E1070" s="320"/>
      <c r="F1070" s="190"/>
      <c r="G10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0" s="190"/>
      <c r="I10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0" s="190"/>
      <c r="K10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0" s="190"/>
      <c r="M10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0" s="190"/>
      <c r="O10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0" s="190"/>
      <c r="Q10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0" s="192">
        <f ca="1">Table66[[#This Row],[Year 1 (Specified in RFO) - N/A]]+Table66[[#This Row],[Year 2 (Specified in RFO) - N/A]]+Table66[[#This Row],[Year 3 (Specified in RFO) - N/A]]+Table66[[#This Row],[Year 4 (Specified in RFO) - N/A]]+Table66[[#This Row],[Year 5 (Specified in RFO) - N/A]]+Table66[[#This Row],[Year 6 (Specified in RFO) - N/A]]</f>
        <v>0</v>
      </c>
      <c r="S1070" s="402">
        <f ca="1">Table66[[#This Row],[Year 1  (Proposed)]]+Table66[[#This Row],[Year 2 (Proposed)]]+Table66[[#This Row],[Year 3 (Proposed)]]+Table66[[#This Row],[Year 4 (Proposed)]]+Table66[[#This Row],[Year 5 (Proposed)]]+Table66[[#This Row],[Year 6 (Proposed)]]</f>
        <v>0</v>
      </c>
      <c r="T1070" s="403" t="b">
        <f ca="1">Table66[[#This Row],[Total Specifed in RFO - N/A]]=Table66[[#This Row],[Total Proposed]]</f>
        <v>1</v>
      </c>
      <c r="U1070" s="439"/>
      <c r="V1070" s="441">
        <f ca="1">Table66[[#This Row],[Year 6 (Specified in RFO) - N/A]]-Table66[[#This Row],[Column1]]</f>
        <v>0</v>
      </c>
    </row>
    <row r="1071" spans="1:22" ht="16.5" thickBot="1">
      <c r="A1071" s="227"/>
      <c r="B1071" s="319"/>
      <c r="C1071" s="319"/>
      <c r="D1071" s="320"/>
      <c r="E1071" s="320"/>
      <c r="F1071" s="190"/>
      <c r="G10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1" s="190"/>
      <c r="I10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1" s="190"/>
      <c r="K10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1" s="190"/>
      <c r="M10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1" s="190"/>
      <c r="O10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1" s="190"/>
      <c r="Q10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1" s="192">
        <f ca="1">Table66[[#This Row],[Year 1 (Specified in RFO) - N/A]]+Table66[[#This Row],[Year 2 (Specified in RFO) - N/A]]+Table66[[#This Row],[Year 3 (Specified in RFO) - N/A]]+Table66[[#This Row],[Year 4 (Specified in RFO) - N/A]]+Table66[[#This Row],[Year 5 (Specified in RFO) - N/A]]+Table66[[#This Row],[Year 6 (Specified in RFO) - N/A]]</f>
        <v>0</v>
      </c>
      <c r="S1071" s="402">
        <f ca="1">Table66[[#This Row],[Year 1  (Proposed)]]+Table66[[#This Row],[Year 2 (Proposed)]]+Table66[[#This Row],[Year 3 (Proposed)]]+Table66[[#This Row],[Year 4 (Proposed)]]+Table66[[#This Row],[Year 5 (Proposed)]]+Table66[[#This Row],[Year 6 (Proposed)]]</f>
        <v>0</v>
      </c>
      <c r="T1071" s="403" t="b">
        <f ca="1">Table66[[#This Row],[Total Specifed in RFO - N/A]]=Table66[[#This Row],[Total Proposed]]</f>
        <v>1</v>
      </c>
      <c r="U1071" s="439"/>
      <c r="V1071" s="441">
        <f ca="1">Table66[[#This Row],[Year 6 (Specified in RFO) - N/A]]-Table66[[#This Row],[Column1]]</f>
        <v>0</v>
      </c>
    </row>
    <row r="1072" spans="1:22" ht="16.5" thickBot="1">
      <c r="A1072" s="227"/>
      <c r="B1072" s="319"/>
      <c r="C1072" s="319"/>
      <c r="D1072" s="320"/>
      <c r="E1072" s="320"/>
      <c r="F1072" s="190"/>
      <c r="G10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2" s="190"/>
      <c r="I10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2" s="190"/>
      <c r="K10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2" s="190"/>
      <c r="M10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2" s="190"/>
      <c r="O10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2" s="190"/>
      <c r="Q10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2" s="192">
        <f ca="1">Table66[[#This Row],[Year 1 (Specified in RFO) - N/A]]+Table66[[#This Row],[Year 2 (Specified in RFO) - N/A]]+Table66[[#This Row],[Year 3 (Specified in RFO) - N/A]]+Table66[[#This Row],[Year 4 (Specified in RFO) - N/A]]+Table66[[#This Row],[Year 5 (Specified in RFO) - N/A]]+Table66[[#This Row],[Year 6 (Specified in RFO) - N/A]]</f>
        <v>0</v>
      </c>
      <c r="S1072" s="402">
        <f ca="1">Table66[[#This Row],[Year 1  (Proposed)]]+Table66[[#This Row],[Year 2 (Proposed)]]+Table66[[#This Row],[Year 3 (Proposed)]]+Table66[[#This Row],[Year 4 (Proposed)]]+Table66[[#This Row],[Year 5 (Proposed)]]+Table66[[#This Row],[Year 6 (Proposed)]]</f>
        <v>0</v>
      </c>
      <c r="T1072" s="403" t="b">
        <f ca="1">Table66[[#This Row],[Total Specifed in RFO - N/A]]=Table66[[#This Row],[Total Proposed]]</f>
        <v>1</v>
      </c>
      <c r="U1072" s="439"/>
      <c r="V1072" s="441">
        <f ca="1">Table66[[#This Row],[Year 6 (Specified in RFO) - N/A]]-Table66[[#This Row],[Column1]]</f>
        <v>0</v>
      </c>
    </row>
    <row r="1073" spans="1:22" ht="16.5" thickBot="1">
      <c r="A1073" s="227"/>
      <c r="B1073" s="319"/>
      <c r="C1073" s="319"/>
      <c r="D1073" s="320"/>
      <c r="E1073" s="320"/>
      <c r="F1073" s="190"/>
      <c r="G10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3" s="190"/>
      <c r="I10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3" s="190"/>
      <c r="K10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3" s="190"/>
      <c r="M10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3" s="190"/>
      <c r="O10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3" s="190"/>
      <c r="Q10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3" s="192">
        <f ca="1">Table66[[#This Row],[Year 1 (Specified in RFO) - N/A]]+Table66[[#This Row],[Year 2 (Specified in RFO) - N/A]]+Table66[[#This Row],[Year 3 (Specified in RFO) - N/A]]+Table66[[#This Row],[Year 4 (Specified in RFO) - N/A]]+Table66[[#This Row],[Year 5 (Specified in RFO) - N/A]]+Table66[[#This Row],[Year 6 (Specified in RFO) - N/A]]</f>
        <v>0</v>
      </c>
      <c r="S1073" s="402">
        <f ca="1">Table66[[#This Row],[Year 1  (Proposed)]]+Table66[[#This Row],[Year 2 (Proposed)]]+Table66[[#This Row],[Year 3 (Proposed)]]+Table66[[#This Row],[Year 4 (Proposed)]]+Table66[[#This Row],[Year 5 (Proposed)]]+Table66[[#This Row],[Year 6 (Proposed)]]</f>
        <v>0</v>
      </c>
      <c r="T1073" s="403" t="b">
        <f ca="1">Table66[[#This Row],[Total Specifed in RFO - N/A]]=Table66[[#This Row],[Total Proposed]]</f>
        <v>1</v>
      </c>
      <c r="U1073" s="439"/>
      <c r="V1073" s="441">
        <f ca="1">Table66[[#This Row],[Year 6 (Specified in RFO) - N/A]]-Table66[[#This Row],[Column1]]</f>
        <v>0</v>
      </c>
    </row>
    <row r="1074" spans="1:22" ht="16.5" thickBot="1">
      <c r="A1074" s="227"/>
      <c r="B1074" s="319"/>
      <c r="C1074" s="319"/>
      <c r="D1074" s="320"/>
      <c r="E1074" s="320"/>
      <c r="F1074" s="190"/>
      <c r="G10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4" s="190"/>
      <c r="I10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4" s="190"/>
      <c r="K10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4" s="190"/>
      <c r="M10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4" s="190"/>
      <c r="O10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4" s="190"/>
      <c r="Q10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4" s="192">
        <f ca="1">Table66[[#This Row],[Year 1 (Specified in RFO) - N/A]]+Table66[[#This Row],[Year 2 (Specified in RFO) - N/A]]+Table66[[#This Row],[Year 3 (Specified in RFO) - N/A]]+Table66[[#This Row],[Year 4 (Specified in RFO) - N/A]]+Table66[[#This Row],[Year 5 (Specified in RFO) - N/A]]+Table66[[#This Row],[Year 6 (Specified in RFO) - N/A]]</f>
        <v>0</v>
      </c>
      <c r="S1074" s="402">
        <f ca="1">Table66[[#This Row],[Year 1  (Proposed)]]+Table66[[#This Row],[Year 2 (Proposed)]]+Table66[[#This Row],[Year 3 (Proposed)]]+Table66[[#This Row],[Year 4 (Proposed)]]+Table66[[#This Row],[Year 5 (Proposed)]]+Table66[[#This Row],[Year 6 (Proposed)]]</f>
        <v>0</v>
      </c>
      <c r="T1074" s="403" t="b">
        <f ca="1">Table66[[#This Row],[Total Specifed in RFO - N/A]]=Table66[[#This Row],[Total Proposed]]</f>
        <v>1</v>
      </c>
      <c r="U1074" s="439"/>
      <c r="V1074" s="441">
        <f ca="1">Table66[[#This Row],[Year 6 (Specified in RFO) - N/A]]-Table66[[#This Row],[Column1]]</f>
        <v>0</v>
      </c>
    </row>
    <row r="1075" spans="1:22" ht="16.5" thickBot="1">
      <c r="A1075" s="227"/>
      <c r="B1075" s="319"/>
      <c r="C1075" s="319"/>
      <c r="D1075" s="320"/>
      <c r="E1075" s="320"/>
      <c r="F1075" s="190"/>
      <c r="G10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5" s="190"/>
      <c r="I10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5" s="190"/>
      <c r="K10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5" s="190"/>
      <c r="M10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5" s="190"/>
      <c r="O10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5" s="190"/>
      <c r="Q10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5" s="192">
        <f ca="1">Table66[[#This Row],[Year 1 (Specified in RFO) - N/A]]+Table66[[#This Row],[Year 2 (Specified in RFO) - N/A]]+Table66[[#This Row],[Year 3 (Specified in RFO) - N/A]]+Table66[[#This Row],[Year 4 (Specified in RFO) - N/A]]+Table66[[#This Row],[Year 5 (Specified in RFO) - N/A]]+Table66[[#This Row],[Year 6 (Specified in RFO) - N/A]]</f>
        <v>0</v>
      </c>
      <c r="S1075" s="402">
        <f ca="1">Table66[[#This Row],[Year 1  (Proposed)]]+Table66[[#This Row],[Year 2 (Proposed)]]+Table66[[#This Row],[Year 3 (Proposed)]]+Table66[[#This Row],[Year 4 (Proposed)]]+Table66[[#This Row],[Year 5 (Proposed)]]+Table66[[#This Row],[Year 6 (Proposed)]]</f>
        <v>0</v>
      </c>
      <c r="T1075" s="403" t="b">
        <f ca="1">Table66[[#This Row],[Total Specifed in RFO - N/A]]=Table66[[#This Row],[Total Proposed]]</f>
        <v>1</v>
      </c>
      <c r="U1075" s="439"/>
      <c r="V1075" s="441">
        <f ca="1">Table66[[#This Row],[Year 6 (Specified in RFO) - N/A]]-Table66[[#This Row],[Column1]]</f>
        <v>0</v>
      </c>
    </row>
    <row r="1076" spans="1:22" ht="16.5" thickBot="1">
      <c r="A1076" s="227"/>
      <c r="B1076" s="319"/>
      <c r="C1076" s="319"/>
      <c r="D1076" s="320"/>
      <c r="E1076" s="320"/>
      <c r="F1076" s="190"/>
      <c r="G10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6" s="190"/>
      <c r="I10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6" s="190"/>
      <c r="K10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6" s="190"/>
      <c r="M10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6" s="190"/>
      <c r="O10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6" s="190"/>
      <c r="Q10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6" s="192">
        <f ca="1">Table66[[#This Row],[Year 1 (Specified in RFO) - N/A]]+Table66[[#This Row],[Year 2 (Specified in RFO) - N/A]]+Table66[[#This Row],[Year 3 (Specified in RFO) - N/A]]+Table66[[#This Row],[Year 4 (Specified in RFO) - N/A]]+Table66[[#This Row],[Year 5 (Specified in RFO) - N/A]]+Table66[[#This Row],[Year 6 (Specified in RFO) - N/A]]</f>
        <v>0</v>
      </c>
      <c r="S1076" s="402">
        <f ca="1">Table66[[#This Row],[Year 1  (Proposed)]]+Table66[[#This Row],[Year 2 (Proposed)]]+Table66[[#This Row],[Year 3 (Proposed)]]+Table66[[#This Row],[Year 4 (Proposed)]]+Table66[[#This Row],[Year 5 (Proposed)]]+Table66[[#This Row],[Year 6 (Proposed)]]</f>
        <v>0</v>
      </c>
      <c r="T1076" s="403" t="b">
        <f ca="1">Table66[[#This Row],[Total Specifed in RFO - N/A]]=Table66[[#This Row],[Total Proposed]]</f>
        <v>1</v>
      </c>
      <c r="U1076" s="439"/>
      <c r="V1076" s="441">
        <f ca="1">Table66[[#This Row],[Year 6 (Specified in RFO) - N/A]]-Table66[[#This Row],[Column1]]</f>
        <v>0</v>
      </c>
    </row>
    <row r="1077" spans="1:22" ht="16.5" thickBot="1">
      <c r="A1077" s="227"/>
      <c r="B1077" s="319"/>
      <c r="C1077" s="319"/>
      <c r="D1077" s="320"/>
      <c r="E1077" s="320"/>
      <c r="F1077" s="190"/>
      <c r="G10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7" s="190"/>
      <c r="I10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7" s="190"/>
      <c r="K10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7" s="190"/>
      <c r="M10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7" s="190"/>
      <c r="O10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7" s="190"/>
      <c r="Q10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7" s="192">
        <f ca="1">Table66[[#This Row],[Year 1 (Specified in RFO) - N/A]]+Table66[[#This Row],[Year 2 (Specified in RFO) - N/A]]+Table66[[#This Row],[Year 3 (Specified in RFO) - N/A]]+Table66[[#This Row],[Year 4 (Specified in RFO) - N/A]]+Table66[[#This Row],[Year 5 (Specified in RFO) - N/A]]+Table66[[#This Row],[Year 6 (Specified in RFO) - N/A]]</f>
        <v>0</v>
      </c>
      <c r="S1077" s="402">
        <f ca="1">Table66[[#This Row],[Year 1  (Proposed)]]+Table66[[#This Row],[Year 2 (Proposed)]]+Table66[[#This Row],[Year 3 (Proposed)]]+Table66[[#This Row],[Year 4 (Proposed)]]+Table66[[#This Row],[Year 5 (Proposed)]]+Table66[[#This Row],[Year 6 (Proposed)]]</f>
        <v>0</v>
      </c>
      <c r="T1077" s="403" t="b">
        <f ca="1">Table66[[#This Row],[Total Specifed in RFO - N/A]]=Table66[[#This Row],[Total Proposed]]</f>
        <v>1</v>
      </c>
      <c r="U1077" s="439"/>
      <c r="V1077" s="441">
        <f ca="1">Table66[[#This Row],[Year 6 (Specified in RFO) - N/A]]-Table66[[#This Row],[Column1]]</f>
        <v>0</v>
      </c>
    </row>
    <row r="1078" spans="1:22" ht="16.5" thickBot="1">
      <c r="A1078" s="227"/>
      <c r="B1078" s="319"/>
      <c r="C1078" s="319"/>
      <c r="D1078" s="320"/>
      <c r="E1078" s="320"/>
      <c r="F1078" s="190"/>
      <c r="G10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8" s="190"/>
      <c r="I10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8" s="190"/>
      <c r="K10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8" s="190"/>
      <c r="M10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8" s="190"/>
      <c r="O10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8" s="190"/>
      <c r="Q10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8" s="192">
        <f ca="1">Table66[[#This Row],[Year 1 (Specified in RFO) - N/A]]+Table66[[#This Row],[Year 2 (Specified in RFO) - N/A]]+Table66[[#This Row],[Year 3 (Specified in RFO) - N/A]]+Table66[[#This Row],[Year 4 (Specified in RFO) - N/A]]+Table66[[#This Row],[Year 5 (Specified in RFO) - N/A]]+Table66[[#This Row],[Year 6 (Specified in RFO) - N/A]]</f>
        <v>0</v>
      </c>
      <c r="S1078" s="402">
        <f ca="1">Table66[[#This Row],[Year 1  (Proposed)]]+Table66[[#This Row],[Year 2 (Proposed)]]+Table66[[#This Row],[Year 3 (Proposed)]]+Table66[[#This Row],[Year 4 (Proposed)]]+Table66[[#This Row],[Year 5 (Proposed)]]+Table66[[#This Row],[Year 6 (Proposed)]]</f>
        <v>0</v>
      </c>
      <c r="T1078" s="403" t="b">
        <f ca="1">Table66[[#This Row],[Total Specifed in RFO - N/A]]=Table66[[#This Row],[Total Proposed]]</f>
        <v>1</v>
      </c>
      <c r="U1078" s="439"/>
      <c r="V1078" s="441">
        <f ca="1">Table66[[#This Row],[Year 6 (Specified in RFO) - N/A]]-Table66[[#This Row],[Column1]]</f>
        <v>0</v>
      </c>
    </row>
    <row r="1079" spans="1:22" ht="16.5" thickBot="1">
      <c r="A1079" s="227"/>
      <c r="B1079" s="319"/>
      <c r="C1079" s="319"/>
      <c r="D1079" s="320"/>
      <c r="E1079" s="320"/>
      <c r="F1079" s="190"/>
      <c r="G10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9" s="190"/>
      <c r="I10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9" s="190"/>
      <c r="K10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9" s="190"/>
      <c r="M10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9" s="190"/>
      <c r="O10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9" s="190"/>
      <c r="Q10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9" s="192">
        <f ca="1">Table66[[#This Row],[Year 1 (Specified in RFO) - N/A]]+Table66[[#This Row],[Year 2 (Specified in RFO) - N/A]]+Table66[[#This Row],[Year 3 (Specified in RFO) - N/A]]+Table66[[#This Row],[Year 4 (Specified in RFO) - N/A]]+Table66[[#This Row],[Year 5 (Specified in RFO) - N/A]]+Table66[[#This Row],[Year 6 (Specified in RFO) - N/A]]</f>
        <v>0</v>
      </c>
      <c r="S1079" s="402">
        <f ca="1">Table66[[#This Row],[Year 1  (Proposed)]]+Table66[[#This Row],[Year 2 (Proposed)]]+Table66[[#This Row],[Year 3 (Proposed)]]+Table66[[#This Row],[Year 4 (Proposed)]]+Table66[[#This Row],[Year 5 (Proposed)]]+Table66[[#This Row],[Year 6 (Proposed)]]</f>
        <v>0</v>
      </c>
      <c r="T1079" s="403" t="b">
        <f ca="1">Table66[[#This Row],[Total Specifed in RFO - N/A]]=Table66[[#This Row],[Total Proposed]]</f>
        <v>1</v>
      </c>
      <c r="U1079" s="439"/>
      <c r="V1079" s="441">
        <f ca="1">Table66[[#This Row],[Year 6 (Specified in RFO) - N/A]]-Table66[[#This Row],[Column1]]</f>
        <v>0</v>
      </c>
    </row>
    <row r="1080" spans="1:22" ht="16.5" thickBot="1">
      <c r="A1080" s="227"/>
      <c r="B1080" s="319"/>
      <c r="C1080" s="319"/>
      <c r="D1080" s="320"/>
      <c r="E1080" s="320"/>
      <c r="F1080" s="190"/>
      <c r="G10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0" s="190"/>
      <c r="I10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0" s="190"/>
      <c r="K10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0" s="190"/>
      <c r="M10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0" s="190"/>
      <c r="O10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0" s="190"/>
      <c r="Q10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0" s="192">
        <f ca="1">Table66[[#This Row],[Year 1 (Specified in RFO) - N/A]]+Table66[[#This Row],[Year 2 (Specified in RFO) - N/A]]+Table66[[#This Row],[Year 3 (Specified in RFO) - N/A]]+Table66[[#This Row],[Year 4 (Specified in RFO) - N/A]]+Table66[[#This Row],[Year 5 (Specified in RFO) - N/A]]+Table66[[#This Row],[Year 6 (Specified in RFO) - N/A]]</f>
        <v>0</v>
      </c>
      <c r="S1080" s="402">
        <f ca="1">Table66[[#This Row],[Year 1  (Proposed)]]+Table66[[#This Row],[Year 2 (Proposed)]]+Table66[[#This Row],[Year 3 (Proposed)]]+Table66[[#This Row],[Year 4 (Proposed)]]+Table66[[#This Row],[Year 5 (Proposed)]]+Table66[[#This Row],[Year 6 (Proposed)]]</f>
        <v>0</v>
      </c>
      <c r="T1080" s="403" t="b">
        <f ca="1">Table66[[#This Row],[Total Specifed in RFO - N/A]]=Table66[[#This Row],[Total Proposed]]</f>
        <v>1</v>
      </c>
      <c r="U1080" s="439"/>
      <c r="V1080" s="441">
        <f ca="1">Table66[[#This Row],[Year 6 (Specified in RFO) - N/A]]-Table66[[#This Row],[Column1]]</f>
        <v>0</v>
      </c>
    </row>
    <row r="1081" spans="1:22" ht="16.5" thickBot="1">
      <c r="A1081" s="227"/>
      <c r="B1081" s="319"/>
      <c r="C1081" s="319"/>
      <c r="D1081" s="320"/>
      <c r="E1081" s="320"/>
      <c r="F1081" s="190"/>
      <c r="G10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1" s="190"/>
      <c r="I10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1" s="190"/>
      <c r="K10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1" s="190"/>
      <c r="M10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1" s="190"/>
      <c r="O10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1" s="190"/>
      <c r="Q10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1" s="192">
        <f ca="1">Table66[[#This Row],[Year 1 (Specified in RFO) - N/A]]+Table66[[#This Row],[Year 2 (Specified in RFO) - N/A]]+Table66[[#This Row],[Year 3 (Specified in RFO) - N/A]]+Table66[[#This Row],[Year 4 (Specified in RFO) - N/A]]+Table66[[#This Row],[Year 5 (Specified in RFO) - N/A]]+Table66[[#This Row],[Year 6 (Specified in RFO) - N/A]]</f>
        <v>0</v>
      </c>
      <c r="S1081" s="402">
        <f ca="1">Table66[[#This Row],[Year 1  (Proposed)]]+Table66[[#This Row],[Year 2 (Proposed)]]+Table66[[#This Row],[Year 3 (Proposed)]]+Table66[[#This Row],[Year 4 (Proposed)]]+Table66[[#This Row],[Year 5 (Proposed)]]+Table66[[#This Row],[Year 6 (Proposed)]]</f>
        <v>0</v>
      </c>
      <c r="T1081" s="403" t="b">
        <f ca="1">Table66[[#This Row],[Total Specifed in RFO - N/A]]=Table66[[#This Row],[Total Proposed]]</f>
        <v>1</v>
      </c>
      <c r="U1081" s="439"/>
      <c r="V1081" s="441">
        <f ca="1">Table66[[#This Row],[Year 6 (Specified in RFO) - N/A]]-Table66[[#This Row],[Column1]]</f>
        <v>0</v>
      </c>
    </row>
    <row r="1082" spans="1:22" ht="16.5" thickBot="1">
      <c r="A1082" s="227"/>
      <c r="B1082" s="319"/>
      <c r="C1082" s="319"/>
      <c r="D1082" s="320"/>
      <c r="E1082" s="320"/>
      <c r="F1082" s="190"/>
      <c r="G10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2" s="190"/>
      <c r="I10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2" s="190"/>
      <c r="K10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2" s="190"/>
      <c r="M10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2" s="190"/>
      <c r="O10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2" s="190"/>
      <c r="Q10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2" s="192">
        <f ca="1">Table66[[#This Row],[Year 1 (Specified in RFO) - N/A]]+Table66[[#This Row],[Year 2 (Specified in RFO) - N/A]]+Table66[[#This Row],[Year 3 (Specified in RFO) - N/A]]+Table66[[#This Row],[Year 4 (Specified in RFO) - N/A]]+Table66[[#This Row],[Year 5 (Specified in RFO) - N/A]]+Table66[[#This Row],[Year 6 (Specified in RFO) - N/A]]</f>
        <v>0</v>
      </c>
      <c r="S1082" s="402">
        <f ca="1">Table66[[#This Row],[Year 1  (Proposed)]]+Table66[[#This Row],[Year 2 (Proposed)]]+Table66[[#This Row],[Year 3 (Proposed)]]+Table66[[#This Row],[Year 4 (Proposed)]]+Table66[[#This Row],[Year 5 (Proposed)]]+Table66[[#This Row],[Year 6 (Proposed)]]</f>
        <v>0</v>
      </c>
      <c r="T1082" s="403" t="b">
        <f ca="1">Table66[[#This Row],[Total Specifed in RFO - N/A]]=Table66[[#This Row],[Total Proposed]]</f>
        <v>1</v>
      </c>
      <c r="U1082" s="439"/>
      <c r="V1082" s="441">
        <f ca="1">Table66[[#This Row],[Year 6 (Specified in RFO) - N/A]]-Table66[[#This Row],[Column1]]</f>
        <v>0</v>
      </c>
    </row>
    <row r="1083" spans="1:22" ht="16.5" thickBot="1">
      <c r="A1083" s="227"/>
      <c r="B1083" s="319"/>
      <c r="C1083" s="319"/>
      <c r="D1083" s="320"/>
      <c r="E1083" s="320"/>
      <c r="F1083" s="190"/>
      <c r="G10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3" s="190"/>
      <c r="I10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3" s="190"/>
      <c r="K10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3" s="190"/>
      <c r="M10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3" s="190"/>
      <c r="O10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3" s="190"/>
      <c r="Q10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3" s="192">
        <f ca="1">Table66[[#This Row],[Year 1 (Specified in RFO) - N/A]]+Table66[[#This Row],[Year 2 (Specified in RFO) - N/A]]+Table66[[#This Row],[Year 3 (Specified in RFO) - N/A]]+Table66[[#This Row],[Year 4 (Specified in RFO) - N/A]]+Table66[[#This Row],[Year 5 (Specified in RFO) - N/A]]+Table66[[#This Row],[Year 6 (Specified in RFO) - N/A]]</f>
        <v>0</v>
      </c>
      <c r="S1083" s="402">
        <f ca="1">Table66[[#This Row],[Year 1  (Proposed)]]+Table66[[#This Row],[Year 2 (Proposed)]]+Table66[[#This Row],[Year 3 (Proposed)]]+Table66[[#This Row],[Year 4 (Proposed)]]+Table66[[#This Row],[Year 5 (Proposed)]]+Table66[[#This Row],[Year 6 (Proposed)]]</f>
        <v>0</v>
      </c>
      <c r="T1083" s="403" t="b">
        <f ca="1">Table66[[#This Row],[Total Specifed in RFO - N/A]]=Table66[[#This Row],[Total Proposed]]</f>
        <v>1</v>
      </c>
      <c r="U1083" s="439"/>
      <c r="V1083" s="441">
        <f ca="1">Table66[[#This Row],[Year 6 (Specified in RFO) - N/A]]-Table66[[#This Row],[Column1]]</f>
        <v>0</v>
      </c>
    </row>
    <row r="1084" spans="1:22" ht="16.5" thickBot="1">
      <c r="A1084" s="227"/>
      <c r="B1084" s="319"/>
      <c r="C1084" s="319"/>
      <c r="D1084" s="320"/>
      <c r="E1084" s="320"/>
      <c r="F1084" s="190"/>
      <c r="G10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4" s="190"/>
      <c r="I10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4" s="190"/>
      <c r="K10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4" s="190"/>
      <c r="M10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4" s="190"/>
      <c r="O10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4" s="190"/>
      <c r="Q10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4" s="192">
        <f ca="1">Table66[[#This Row],[Year 1 (Specified in RFO) - N/A]]+Table66[[#This Row],[Year 2 (Specified in RFO) - N/A]]+Table66[[#This Row],[Year 3 (Specified in RFO) - N/A]]+Table66[[#This Row],[Year 4 (Specified in RFO) - N/A]]+Table66[[#This Row],[Year 5 (Specified in RFO) - N/A]]+Table66[[#This Row],[Year 6 (Specified in RFO) - N/A]]</f>
        <v>0</v>
      </c>
      <c r="S1084" s="402">
        <f ca="1">Table66[[#This Row],[Year 1  (Proposed)]]+Table66[[#This Row],[Year 2 (Proposed)]]+Table66[[#This Row],[Year 3 (Proposed)]]+Table66[[#This Row],[Year 4 (Proposed)]]+Table66[[#This Row],[Year 5 (Proposed)]]+Table66[[#This Row],[Year 6 (Proposed)]]</f>
        <v>0</v>
      </c>
      <c r="T1084" s="403" t="b">
        <f ca="1">Table66[[#This Row],[Total Specifed in RFO - N/A]]=Table66[[#This Row],[Total Proposed]]</f>
        <v>1</v>
      </c>
      <c r="U1084" s="439"/>
      <c r="V1084" s="441">
        <f ca="1">Table66[[#This Row],[Year 6 (Specified in RFO) - N/A]]-Table66[[#This Row],[Column1]]</f>
        <v>0</v>
      </c>
    </row>
    <row r="1085" spans="1:22" ht="16.5" thickBot="1">
      <c r="A1085" s="227"/>
      <c r="B1085" s="319"/>
      <c r="C1085" s="319"/>
      <c r="D1085" s="320"/>
      <c r="E1085" s="320"/>
      <c r="F1085" s="190"/>
      <c r="G10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5" s="190"/>
      <c r="I10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5" s="190"/>
      <c r="K10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5" s="190"/>
      <c r="M10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5" s="190"/>
      <c r="O10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5" s="190"/>
      <c r="Q10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5" s="192">
        <f ca="1">Table66[[#This Row],[Year 1 (Specified in RFO) - N/A]]+Table66[[#This Row],[Year 2 (Specified in RFO) - N/A]]+Table66[[#This Row],[Year 3 (Specified in RFO) - N/A]]+Table66[[#This Row],[Year 4 (Specified in RFO) - N/A]]+Table66[[#This Row],[Year 5 (Specified in RFO) - N/A]]+Table66[[#This Row],[Year 6 (Specified in RFO) - N/A]]</f>
        <v>0</v>
      </c>
      <c r="S1085" s="402">
        <f ca="1">Table66[[#This Row],[Year 1  (Proposed)]]+Table66[[#This Row],[Year 2 (Proposed)]]+Table66[[#This Row],[Year 3 (Proposed)]]+Table66[[#This Row],[Year 4 (Proposed)]]+Table66[[#This Row],[Year 5 (Proposed)]]+Table66[[#This Row],[Year 6 (Proposed)]]</f>
        <v>0</v>
      </c>
      <c r="T1085" s="403" t="b">
        <f ca="1">Table66[[#This Row],[Total Specifed in RFO - N/A]]=Table66[[#This Row],[Total Proposed]]</f>
        <v>1</v>
      </c>
      <c r="U1085" s="439"/>
      <c r="V1085" s="441">
        <f ca="1">Table66[[#This Row],[Year 6 (Specified in RFO) - N/A]]-Table66[[#This Row],[Column1]]</f>
        <v>0</v>
      </c>
    </row>
    <row r="1086" spans="1:22" ht="16.5" thickBot="1">
      <c r="A1086" s="227"/>
      <c r="B1086" s="319"/>
      <c r="C1086" s="319"/>
      <c r="D1086" s="320"/>
      <c r="E1086" s="320"/>
      <c r="F1086" s="190"/>
      <c r="G10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6" s="190"/>
      <c r="I10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6" s="190"/>
      <c r="K10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6" s="190"/>
      <c r="M10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6" s="190"/>
      <c r="O10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6" s="190"/>
      <c r="Q10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6" s="192">
        <f ca="1">Table66[[#This Row],[Year 1 (Specified in RFO) - N/A]]+Table66[[#This Row],[Year 2 (Specified in RFO) - N/A]]+Table66[[#This Row],[Year 3 (Specified in RFO) - N/A]]+Table66[[#This Row],[Year 4 (Specified in RFO) - N/A]]+Table66[[#This Row],[Year 5 (Specified in RFO) - N/A]]+Table66[[#This Row],[Year 6 (Specified in RFO) - N/A]]</f>
        <v>0</v>
      </c>
      <c r="S1086" s="402">
        <f ca="1">Table66[[#This Row],[Year 1  (Proposed)]]+Table66[[#This Row],[Year 2 (Proposed)]]+Table66[[#This Row],[Year 3 (Proposed)]]+Table66[[#This Row],[Year 4 (Proposed)]]+Table66[[#This Row],[Year 5 (Proposed)]]+Table66[[#This Row],[Year 6 (Proposed)]]</f>
        <v>0</v>
      </c>
      <c r="T1086" s="403" t="b">
        <f ca="1">Table66[[#This Row],[Total Specifed in RFO - N/A]]=Table66[[#This Row],[Total Proposed]]</f>
        <v>1</v>
      </c>
      <c r="U1086" s="439"/>
      <c r="V1086" s="441">
        <f ca="1">Table66[[#This Row],[Year 6 (Specified in RFO) - N/A]]-Table66[[#This Row],[Column1]]</f>
        <v>0</v>
      </c>
    </row>
    <row r="1087" spans="1:22" ht="16.5" thickBot="1">
      <c r="A1087" s="227"/>
      <c r="B1087" s="319"/>
      <c r="C1087" s="319"/>
      <c r="D1087" s="320"/>
      <c r="E1087" s="320"/>
      <c r="F1087" s="190"/>
      <c r="G10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7" s="190"/>
      <c r="I10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7" s="190"/>
      <c r="K10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7" s="190"/>
      <c r="M10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7" s="190"/>
      <c r="O10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7" s="190"/>
      <c r="Q10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7" s="192">
        <f ca="1">Table66[[#This Row],[Year 1 (Specified in RFO) - N/A]]+Table66[[#This Row],[Year 2 (Specified in RFO) - N/A]]+Table66[[#This Row],[Year 3 (Specified in RFO) - N/A]]+Table66[[#This Row],[Year 4 (Specified in RFO) - N/A]]+Table66[[#This Row],[Year 5 (Specified in RFO) - N/A]]+Table66[[#This Row],[Year 6 (Specified in RFO) - N/A]]</f>
        <v>0</v>
      </c>
      <c r="S1087" s="402">
        <f ca="1">Table66[[#This Row],[Year 1  (Proposed)]]+Table66[[#This Row],[Year 2 (Proposed)]]+Table66[[#This Row],[Year 3 (Proposed)]]+Table66[[#This Row],[Year 4 (Proposed)]]+Table66[[#This Row],[Year 5 (Proposed)]]+Table66[[#This Row],[Year 6 (Proposed)]]</f>
        <v>0</v>
      </c>
      <c r="T1087" s="403" t="b">
        <f ca="1">Table66[[#This Row],[Total Specifed in RFO - N/A]]=Table66[[#This Row],[Total Proposed]]</f>
        <v>1</v>
      </c>
      <c r="U1087" s="439"/>
      <c r="V1087" s="441">
        <f ca="1">Table66[[#This Row],[Year 6 (Specified in RFO) - N/A]]-Table66[[#This Row],[Column1]]</f>
        <v>0</v>
      </c>
    </row>
    <row r="1088" spans="1:22" ht="16.5" thickBot="1">
      <c r="A1088" s="227"/>
      <c r="B1088" s="319"/>
      <c r="C1088" s="319"/>
      <c r="D1088" s="320"/>
      <c r="E1088" s="320"/>
      <c r="F1088" s="190"/>
      <c r="G10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8" s="190"/>
      <c r="I10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8" s="190"/>
      <c r="K10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8" s="190"/>
      <c r="M10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8" s="190"/>
      <c r="O10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8" s="190"/>
      <c r="Q10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8" s="192">
        <f ca="1">Table66[[#This Row],[Year 1 (Specified in RFO) - N/A]]+Table66[[#This Row],[Year 2 (Specified in RFO) - N/A]]+Table66[[#This Row],[Year 3 (Specified in RFO) - N/A]]+Table66[[#This Row],[Year 4 (Specified in RFO) - N/A]]+Table66[[#This Row],[Year 5 (Specified in RFO) - N/A]]+Table66[[#This Row],[Year 6 (Specified in RFO) - N/A]]</f>
        <v>0</v>
      </c>
      <c r="S1088" s="402">
        <f ca="1">Table66[[#This Row],[Year 1  (Proposed)]]+Table66[[#This Row],[Year 2 (Proposed)]]+Table66[[#This Row],[Year 3 (Proposed)]]+Table66[[#This Row],[Year 4 (Proposed)]]+Table66[[#This Row],[Year 5 (Proposed)]]+Table66[[#This Row],[Year 6 (Proposed)]]</f>
        <v>0</v>
      </c>
      <c r="T1088" s="403" t="b">
        <f ca="1">Table66[[#This Row],[Total Specifed in RFO - N/A]]=Table66[[#This Row],[Total Proposed]]</f>
        <v>1</v>
      </c>
      <c r="U1088" s="439"/>
      <c r="V1088" s="441">
        <f ca="1">Table66[[#This Row],[Year 6 (Specified in RFO) - N/A]]-Table66[[#This Row],[Column1]]</f>
        <v>0</v>
      </c>
    </row>
    <row r="1089" spans="1:22" ht="16.5" thickBot="1">
      <c r="A1089" s="227"/>
      <c r="B1089" s="319"/>
      <c r="C1089" s="319"/>
      <c r="D1089" s="320"/>
      <c r="E1089" s="320"/>
      <c r="F1089" s="190"/>
      <c r="G10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9" s="190"/>
      <c r="I10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9" s="190"/>
      <c r="K10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9" s="190"/>
      <c r="M10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9" s="190"/>
      <c r="O10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9" s="190"/>
      <c r="Q10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9" s="192">
        <f ca="1">Table66[[#This Row],[Year 1 (Specified in RFO) - N/A]]+Table66[[#This Row],[Year 2 (Specified in RFO) - N/A]]+Table66[[#This Row],[Year 3 (Specified in RFO) - N/A]]+Table66[[#This Row],[Year 4 (Specified in RFO) - N/A]]+Table66[[#This Row],[Year 5 (Specified in RFO) - N/A]]+Table66[[#This Row],[Year 6 (Specified in RFO) - N/A]]</f>
        <v>0</v>
      </c>
      <c r="S1089" s="402">
        <f ca="1">Table66[[#This Row],[Year 1  (Proposed)]]+Table66[[#This Row],[Year 2 (Proposed)]]+Table66[[#This Row],[Year 3 (Proposed)]]+Table66[[#This Row],[Year 4 (Proposed)]]+Table66[[#This Row],[Year 5 (Proposed)]]+Table66[[#This Row],[Year 6 (Proposed)]]</f>
        <v>0</v>
      </c>
      <c r="T1089" s="403" t="b">
        <f ca="1">Table66[[#This Row],[Total Specifed in RFO - N/A]]=Table66[[#This Row],[Total Proposed]]</f>
        <v>1</v>
      </c>
      <c r="U1089" s="439"/>
      <c r="V1089" s="441">
        <f ca="1">Table66[[#This Row],[Year 6 (Specified in RFO) - N/A]]-Table66[[#This Row],[Column1]]</f>
        <v>0</v>
      </c>
    </row>
    <row r="1090" spans="1:22" ht="16.5" thickBot="1">
      <c r="A1090" s="319"/>
      <c r="B1090" s="319"/>
      <c r="C1090" s="319"/>
      <c r="D1090" s="320"/>
      <c r="E1090" s="320"/>
      <c r="F1090" s="190"/>
      <c r="G10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0" s="190"/>
      <c r="I10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0" s="190"/>
      <c r="K10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0" s="190"/>
      <c r="M10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0" s="190"/>
      <c r="O10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0" s="190"/>
      <c r="Q10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0" s="192">
        <f ca="1">Table66[[#This Row],[Year 1 (Specified in RFO) - N/A]]+Table66[[#This Row],[Year 2 (Specified in RFO) - N/A]]+Table66[[#This Row],[Year 3 (Specified in RFO) - N/A]]+Table66[[#This Row],[Year 4 (Specified in RFO) - N/A]]+Table66[[#This Row],[Year 5 (Specified in RFO) - N/A]]+Table66[[#This Row],[Year 6 (Specified in RFO) - N/A]]</f>
        <v>0</v>
      </c>
      <c r="S1090" s="402">
        <f ca="1">Table66[[#This Row],[Year 1  (Proposed)]]+Table66[[#This Row],[Year 2 (Proposed)]]+Table66[[#This Row],[Year 3 (Proposed)]]+Table66[[#This Row],[Year 4 (Proposed)]]+Table66[[#This Row],[Year 5 (Proposed)]]+Table66[[#This Row],[Year 6 (Proposed)]]</f>
        <v>0</v>
      </c>
      <c r="T1090" s="403" t="b">
        <f ca="1">Table66[[#This Row],[Total Specifed in RFO - N/A]]=Table66[[#This Row],[Total Proposed]]</f>
        <v>1</v>
      </c>
      <c r="U1090" s="439"/>
      <c r="V1090" s="441">
        <f ca="1">Table66[[#This Row],[Year 6 (Specified in RFO) - N/A]]-Table66[[#This Row],[Column1]]</f>
        <v>0</v>
      </c>
    </row>
    <row r="1091" spans="1:22" ht="16.5" thickBot="1">
      <c r="A1091" s="227"/>
      <c r="B1091" s="227"/>
      <c r="C1091" s="227"/>
      <c r="D1091" s="320"/>
      <c r="E1091" s="231"/>
      <c r="F1091" s="190"/>
      <c r="G10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1" s="190"/>
      <c r="I10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1" s="190"/>
      <c r="K10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1" s="190"/>
      <c r="M10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1" s="190"/>
      <c r="O10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1" s="190"/>
      <c r="Q10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1" s="192">
        <f ca="1">Table66[[#This Row],[Year 1 (Specified in RFO) - N/A]]+Table66[[#This Row],[Year 2 (Specified in RFO) - N/A]]+Table66[[#This Row],[Year 3 (Specified in RFO) - N/A]]+Table66[[#This Row],[Year 4 (Specified in RFO) - N/A]]+Table66[[#This Row],[Year 5 (Specified in RFO) - N/A]]+Table66[[#This Row],[Year 6 (Specified in RFO) - N/A]]</f>
        <v>0</v>
      </c>
      <c r="S1091" s="402">
        <f ca="1">Table66[[#This Row],[Year 1  (Proposed)]]+Table66[[#This Row],[Year 2 (Proposed)]]+Table66[[#This Row],[Year 3 (Proposed)]]+Table66[[#This Row],[Year 4 (Proposed)]]+Table66[[#This Row],[Year 5 (Proposed)]]+Table66[[#This Row],[Year 6 (Proposed)]]</f>
        <v>0</v>
      </c>
      <c r="T1091" s="403" t="b">
        <f ca="1">Table66[[#This Row],[Total Specifed in RFO - N/A]]=Table66[[#This Row],[Total Proposed]]</f>
        <v>1</v>
      </c>
      <c r="U1091" s="439"/>
      <c r="V1091" s="441">
        <f ca="1">Table66[[#This Row],[Year 6 (Specified in RFO) - N/A]]-Table66[[#This Row],[Column1]]</f>
        <v>0</v>
      </c>
    </row>
    <row r="1092" spans="1:22" ht="16.5" thickBot="1">
      <c r="A1092" s="227"/>
      <c r="B1092" s="319"/>
      <c r="C1092" s="319"/>
      <c r="D1092" s="320"/>
      <c r="E1092" s="320"/>
      <c r="F1092" s="190"/>
      <c r="G10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2" s="190"/>
      <c r="I10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2" s="190"/>
      <c r="K10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2" s="190"/>
      <c r="M10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2" s="190"/>
      <c r="O10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2" s="190"/>
      <c r="Q10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2" s="192">
        <f ca="1">Table66[[#This Row],[Year 1 (Specified in RFO) - N/A]]+Table66[[#This Row],[Year 2 (Specified in RFO) - N/A]]+Table66[[#This Row],[Year 3 (Specified in RFO) - N/A]]+Table66[[#This Row],[Year 4 (Specified in RFO) - N/A]]+Table66[[#This Row],[Year 5 (Specified in RFO) - N/A]]+Table66[[#This Row],[Year 6 (Specified in RFO) - N/A]]</f>
        <v>0</v>
      </c>
      <c r="S1092" s="402">
        <f ca="1">Table66[[#This Row],[Year 1  (Proposed)]]+Table66[[#This Row],[Year 2 (Proposed)]]+Table66[[#This Row],[Year 3 (Proposed)]]+Table66[[#This Row],[Year 4 (Proposed)]]+Table66[[#This Row],[Year 5 (Proposed)]]+Table66[[#This Row],[Year 6 (Proposed)]]</f>
        <v>0</v>
      </c>
      <c r="T1092" s="403" t="b">
        <f ca="1">Table66[[#This Row],[Total Specifed in RFO - N/A]]=Table66[[#This Row],[Total Proposed]]</f>
        <v>1</v>
      </c>
      <c r="U1092" s="439"/>
      <c r="V1092" s="441">
        <f ca="1">Table66[[#This Row],[Year 6 (Specified in RFO) - N/A]]-Table66[[#This Row],[Column1]]</f>
        <v>0</v>
      </c>
    </row>
    <row r="1093" spans="1:22" ht="16.5" thickBot="1">
      <c r="A1093" s="319"/>
      <c r="B1093" s="319"/>
      <c r="C1093" s="319"/>
      <c r="D1093" s="320"/>
      <c r="E1093" s="320"/>
      <c r="F1093" s="190"/>
      <c r="G10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3" s="190"/>
      <c r="I10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3" s="190"/>
      <c r="K10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3" s="190"/>
      <c r="M10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3" s="190"/>
      <c r="O10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3" s="190"/>
      <c r="Q10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3" s="192">
        <f ca="1">Table66[[#This Row],[Year 1 (Specified in RFO) - N/A]]+Table66[[#This Row],[Year 2 (Specified in RFO) - N/A]]+Table66[[#This Row],[Year 3 (Specified in RFO) - N/A]]+Table66[[#This Row],[Year 4 (Specified in RFO) - N/A]]+Table66[[#This Row],[Year 5 (Specified in RFO) - N/A]]+Table66[[#This Row],[Year 6 (Specified in RFO) - N/A]]</f>
        <v>0</v>
      </c>
      <c r="S1093" s="402">
        <f ca="1">Table66[[#This Row],[Year 1  (Proposed)]]+Table66[[#This Row],[Year 2 (Proposed)]]+Table66[[#This Row],[Year 3 (Proposed)]]+Table66[[#This Row],[Year 4 (Proposed)]]+Table66[[#This Row],[Year 5 (Proposed)]]+Table66[[#This Row],[Year 6 (Proposed)]]</f>
        <v>0</v>
      </c>
      <c r="T1093" s="403" t="b">
        <f ca="1">Table66[[#This Row],[Total Specifed in RFO - N/A]]=Table66[[#This Row],[Total Proposed]]</f>
        <v>1</v>
      </c>
      <c r="U1093" s="439"/>
      <c r="V1093" s="441">
        <f ca="1">Table66[[#This Row],[Year 6 (Specified in RFO) - N/A]]-Table66[[#This Row],[Column1]]</f>
        <v>0</v>
      </c>
    </row>
    <row r="1094" spans="1:22" ht="16.5" thickBot="1">
      <c r="A1094" s="227"/>
      <c r="B1094" s="227"/>
      <c r="C1094" s="227"/>
      <c r="D1094" s="320"/>
      <c r="E1094" s="231"/>
      <c r="F1094" s="190"/>
      <c r="G10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4" s="190"/>
      <c r="I10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4" s="190"/>
      <c r="K10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4" s="190"/>
      <c r="M10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4" s="190"/>
      <c r="O10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4" s="190"/>
      <c r="Q10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4" s="192">
        <f ca="1">Table66[[#This Row],[Year 1 (Specified in RFO) - N/A]]+Table66[[#This Row],[Year 2 (Specified in RFO) - N/A]]+Table66[[#This Row],[Year 3 (Specified in RFO) - N/A]]+Table66[[#This Row],[Year 4 (Specified in RFO) - N/A]]+Table66[[#This Row],[Year 5 (Specified in RFO) - N/A]]+Table66[[#This Row],[Year 6 (Specified in RFO) - N/A]]</f>
        <v>0</v>
      </c>
      <c r="S1094" s="402">
        <f ca="1">Table66[[#This Row],[Year 1  (Proposed)]]+Table66[[#This Row],[Year 2 (Proposed)]]+Table66[[#This Row],[Year 3 (Proposed)]]+Table66[[#This Row],[Year 4 (Proposed)]]+Table66[[#This Row],[Year 5 (Proposed)]]+Table66[[#This Row],[Year 6 (Proposed)]]</f>
        <v>0</v>
      </c>
      <c r="T1094" s="403" t="b">
        <f ca="1">Table66[[#This Row],[Total Specifed in RFO - N/A]]=Table66[[#This Row],[Total Proposed]]</f>
        <v>1</v>
      </c>
      <c r="U1094" s="439"/>
      <c r="V1094" s="441">
        <f ca="1">Table66[[#This Row],[Year 6 (Specified in RFO) - N/A]]-Table66[[#This Row],[Column1]]</f>
        <v>0</v>
      </c>
    </row>
    <row r="1095" spans="1:22" ht="16.5" thickBot="1">
      <c r="A1095" s="227"/>
      <c r="B1095" s="319"/>
      <c r="C1095" s="319"/>
      <c r="D1095" s="320"/>
      <c r="E1095" s="320"/>
      <c r="F1095" s="190"/>
      <c r="G10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5" s="190"/>
      <c r="I10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5" s="190"/>
      <c r="K10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5" s="190"/>
      <c r="M10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5" s="190"/>
      <c r="O10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5" s="190"/>
      <c r="Q10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5" s="192">
        <f ca="1">Table66[[#This Row],[Year 1 (Specified in RFO) - N/A]]+Table66[[#This Row],[Year 2 (Specified in RFO) - N/A]]+Table66[[#This Row],[Year 3 (Specified in RFO) - N/A]]+Table66[[#This Row],[Year 4 (Specified in RFO) - N/A]]+Table66[[#This Row],[Year 5 (Specified in RFO) - N/A]]+Table66[[#This Row],[Year 6 (Specified in RFO) - N/A]]</f>
        <v>0</v>
      </c>
      <c r="S1095" s="402">
        <f ca="1">Table66[[#This Row],[Year 1  (Proposed)]]+Table66[[#This Row],[Year 2 (Proposed)]]+Table66[[#This Row],[Year 3 (Proposed)]]+Table66[[#This Row],[Year 4 (Proposed)]]+Table66[[#This Row],[Year 5 (Proposed)]]+Table66[[#This Row],[Year 6 (Proposed)]]</f>
        <v>0</v>
      </c>
      <c r="T1095" s="403" t="b">
        <f ca="1">Table66[[#This Row],[Total Specifed in RFO - N/A]]=Table66[[#This Row],[Total Proposed]]</f>
        <v>1</v>
      </c>
      <c r="U1095" s="439"/>
      <c r="V1095" s="441">
        <f ca="1">Table66[[#This Row],[Year 6 (Specified in RFO) - N/A]]-Table66[[#This Row],[Column1]]</f>
        <v>0</v>
      </c>
    </row>
    <row r="1096" spans="1:22" ht="16.5" thickBot="1">
      <c r="A1096" s="319"/>
      <c r="B1096" s="319"/>
      <c r="C1096" s="319"/>
      <c r="D1096" s="320"/>
      <c r="E1096" s="320"/>
      <c r="F1096" s="190"/>
      <c r="G10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6" s="190"/>
      <c r="I10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6" s="190"/>
      <c r="K10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6" s="190"/>
      <c r="M10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6" s="190"/>
      <c r="O10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6" s="190"/>
      <c r="Q10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6" s="192">
        <f ca="1">Table66[[#This Row],[Year 1 (Specified in RFO) - N/A]]+Table66[[#This Row],[Year 2 (Specified in RFO) - N/A]]+Table66[[#This Row],[Year 3 (Specified in RFO) - N/A]]+Table66[[#This Row],[Year 4 (Specified in RFO) - N/A]]+Table66[[#This Row],[Year 5 (Specified in RFO) - N/A]]+Table66[[#This Row],[Year 6 (Specified in RFO) - N/A]]</f>
        <v>0</v>
      </c>
      <c r="S1096" s="402">
        <f ca="1">Table66[[#This Row],[Year 1  (Proposed)]]+Table66[[#This Row],[Year 2 (Proposed)]]+Table66[[#This Row],[Year 3 (Proposed)]]+Table66[[#This Row],[Year 4 (Proposed)]]+Table66[[#This Row],[Year 5 (Proposed)]]+Table66[[#This Row],[Year 6 (Proposed)]]</f>
        <v>0</v>
      </c>
      <c r="T1096" s="403" t="b">
        <f ca="1">Table66[[#This Row],[Total Specifed in RFO - N/A]]=Table66[[#This Row],[Total Proposed]]</f>
        <v>1</v>
      </c>
      <c r="U1096" s="439"/>
      <c r="V1096" s="441">
        <f ca="1">Table66[[#This Row],[Year 6 (Specified in RFO) - N/A]]-Table66[[#This Row],[Column1]]</f>
        <v>0</v>
      </c>
    </row>
    <row r="1097" spans="1:22" ht="16.5" thickBot="1">
      <c r="A1097" s="227"/>
      <c r="B1097" s="227"/>
      <c r="C1097" s="227"/>
      <c r="D1097" s="320"/>
      <c r="E1097" s="231"/>
      <c r="F1097" s="190"/>
      <c r="G10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7" s="190"/>
      <c r="I10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7" s="190"/>
      <c r="K10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7" s="190"/>
      <c r="M10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7" s="190"/>
      <c r="O10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7" s="190"/>
      <c r="Q10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7" s="192">
        <f ca="1">Table66[[#This Row],[Year 1 (Specified in RFO) - N/A]]+Table66[[#This Row],[Year 2 (Specified in RFO) - N/A]]+Table66[[#This Row],[Year 3 (Specified in RFO) - N/A]]+Table66[[#This Row],[Year 4 (Specified in RFO) - N/A]]+Table66[[#This Row],[Year 5 (Specified in RFO) - N/A]]+Table66[[#This Row],[Year 6 (Specified in RFO) - N/A]]</f>
        <v>0</v>
      </c>
      <c r="S1097" s="402">
        <f ca="1">Table66[[#This Row],[Year 1  (Proposed)]]+Table66[[#This Row],[Year 2 (Proposed)]]+Table66[[#This Row],[Year 3 (Proposed)]]+Table66[[#This Row],[Year 4 (Proposed)]]+Table66[[#This Row],[Year 5 (Proposed)]]+Table66[[#This Row],[Year 6 (Proposed)]]</f>
        <v>0</v>
      </c>
      <c r="T1097" s="403" t="b">
        <f ca="1">Table66[[#This Row],[Total Specifed in RFO - N/A]]=Table66[[#This Row],[Total Proposed]]</f>
        <v>1</v>
      </c>
      <c r="U1097" s="439"/>
      <c r="V1097" s="441">
        <f ca="1">Table66[[#This Row],[Year 6 (Specified in RFO) - N/A]]-Table66[[#This Row],[Column1]]</f>
        <v>0</v>
      </c>
    </row>
    <row r="1098" spans="1:22" ht="16.5" thickBot="1">
      <c r="A1098" s="227"/>
      <c r="B1098" s="319"/>
      <c r="C1098" s="319"/>
      <c r="D1098" s="320"/>
      <c r="E1098" s="320"/>
      <c r="F1098" s="190"/>
      <c r="G10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8" s="190"/>
      <c r="I10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8" s="190"/>
      <c r="K10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8" s="190"/>
      <c r="M10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8" s="190"/>
      <c r="O10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8" s="190"/>
      <c r="Q10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8" s="192">
        <f ca="1">Table66[[#This Row],[Year 1 (Specified in RFO) - N/A]]+Table66[[#This Row],[Year 2 (Specified in RFO) - N/A]]+Table66[[#This Row],[Year 3 (Specified in RFO) - N/A]]+Table66[[#This Row],[Year 4 (Specified in RFO) - N/A]]+Table66[[#This Row],[Year 5 (Specified in RFO) - N/A]]+Table66[[#This Row],[Year 6 (Specified in RFO) - N/A]]</f>
        <v>0</v>
      </c>
      <c r="S1098" s="402">
        <f ca="1">Table66[[#This Row],[Year 1  (Proposed)]]+Table66[[#This Row],[Year 2 (Proposed)]]+Table66[[#This Row],[Year 3 (Proposed)]]+Table66[[#This Row],[Year 4 (Proposed)]]+Table66[[#This Row],[Year 5 (Proposed)]]+Table66[[#This Row],[Year 6 (Proposed)]]</f>
        <v>0</v>
      </c>
      <c r="T1098" s="403" t="b">
        <f ca="1">Table66[[#This Row],[Total Specifed in RFO - N/A]]=Table66[[#This Row],[Total Proposed]]</f>
        <v>1</v>
      </c>
      <c r="U1098" s="439"/>
      <c r="V1098" s="441">
        <f ca="1">Table66[[#This Row],[Year 6 (Specified in RFO) - N/A]]-Table66[[#This Row],[Column1]]</f>
        <v>0</v>
      </c>
    </row>
    <row r="1099" spans="1:22" ht="16.5" thickBot="1">
      <c r="A1099" s="319"/>
      <c r="B1099" s="319"/>
      <c r="C1099" s="319"/>
      <c r="D1099" s="320"/>
      <c r="E1099" s="320"/>
      <c r="F1099" s="190"/>
      <c r="G10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9" s="190"/>
      <c r="I10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9" s="190"/>
      <c r="K10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9" s="190"/>
      <c r="M10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9" s="190"/>
      <c r="O10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9" s="190"/>
      <c r="Q10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9" s="192">
        <f ca="1">Table66[[#This Row],[Year 1 (Specified in RFO) - N/A]]+Table66[[#This Row],[Year 2 (Specified in RFO) - N/A]]+Table66[[#This Row],[Year 3 (Specified in RFO) - N/A]]+Table66[[#This Row],[Year 4 (Specified in RFO) - N/A]]+Table66[[#This Row],[Year 5 (Specified in RFO) - N/A]]+Table66[[#This Row],[Year 6 (Specified in RFO) - N/A]]</f>
        <v>0</v>
      </c>
      <c r="S1099" s="402">
        <f ca="1">Table66[[#This Row],[Year 1  (Proposed)]]+Table66[[#This Row],[Year 2 (Proposed)]]+Table66[[#This Row],[Year 3 (Proposed)]]+Table66[[#This Row],[Year 4 (Proposed)]]+Table66[[#This Row],[Year 5 (Proposed)]]+Table66[[#This Row],[Year 6 (Proposed)]]</f>
        <v>0</v>
      </c>
      <c r="T1099" s="403" t="b">
        <f ca="1">Table66[[#This Row],[Total Specifed in RFO - N/A]]=Table66[[#This Row],[Total Proposed]]</f>
        <v>1</v>
      </c>
      <c r="U1099" s="439"/>
      <c r="V1099" s="441">
        <f ca="1">Table66[[#This Row],[Year 6 (Specified in RFO) - N/A]]-Table66[[#This Row],[Column1]]</f>
        <v>0</v>
      </c>
    </row>
    <row r="1100" spans="1:22" ht="16.5" thickBot="1">
      <c r="A1100" s="227"/>
      <c r="B1100" s="227"/>
      <c r="C1100" s="227"/>
      <c r="D1100" s="320"/>
      <c r="E1100" s="231"/>
      <c r="F1100" s="190"/>
      <c r="G11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0" s="190"/>
      <c r="I11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0" s="190"/>
      <c r="K11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0" s="190"/>
      <c r="M11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0" s="190"/>
      <c r="O11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0" s="190"/>
      <c r="Q11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0" s="192">
        <f ca="1">Table66[[#This Row],[Year 1 (Specified in RFO) - N/A]]+Table66[[#This Row],[Year 2 (Specified in RFO) - N/A]]+Table66[[#This Row],[Year 3 (Specified in RFO) - N/A]]+Table66[[#This Row],[Year 4 (Specified in RFO) - N/A]]+Table66[[#This Row],[Year 5 (Specified in RFO) - N/A]]+Table66[[#This Row],[Year 6 (Specified in RFO) - N/A]]</f>
        <v>0</v>
      </c>
      <c r="S1100" s="402">
        <f ca="1">Table66[[#This Row],[Year 1  (Proposed)]]+Table66[[#This Row],[Year 2 (Proposed)]]+Table66[[#This Row],[Year 3 (Proposed)]]+Table66[[#This Row],[Year 4 (Proposed)]]+Table66[[#This Row],[Year 5 (Proposed)]]+Table66[[#This Row],[Year 6 (Proposed)]]</f>
        <v>0</v>
      </c>
      <c r="T1100" s="403" t="b">
        <f ca="1">Table66[[#This Row],[Total Specifed in RFO - N/A]]=Table66[[#This Row],[Total Proposed]]</f>
        <v>1</v>
      </c>
      <c r="U1100" s="439"/>
      <c r="V1100" s="441">
        <f ca="1">Table66[[#This Row],[Year 6 (Specified in RFO) - N/A]]-Table66[[#This Row],[Column1]]</f>
        <v>0</v>
      </c>
    </row>
    <row r="1101" spans="1:22" ht="16.5" thickBot="1">
      <c r="A1101" s="227"/>
      <c r="B1101" s="319"/>
      <c r="C1101" s="319"/>
      <c r="D1101" s="320"/>
      <c r="E1101" s="320"/>
      <c r="F1101" s="190"/>
      <c r="G11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1" s="190"/>
      <c r="I11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1" s="190"/>
      <c r="K11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1" s="190"/>
      <c r="M11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1" s="190"/>
      <c r="O11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1" s="190"/>
      <c r="Q11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1" s="192">
        <f ca="1">Table66[[#This Row],[Year 1 (Specified in RFO) - N/A]]+Table66[[#This Row],[Year 2 (Specified in RFO) - N/A]]+Table66[[#This Row],[Year 3 (Specified in RFO) - N/A]]+Table66[[#This Row],[Year 4 (Specified in RFO) - N/A]]+Table66[[#This Row],[Year 5 (Specified in RFO) - N/A]]+Table66[[#This Row],[Year 6 (Specified in RFO) - N/A]]</f>
        <v>0</v>
      </c>
      <c r="S1101" s="402">
        <f ca="1">Table66[[#This Row],[Year 1  (Proposed)]]+Table66[[#This Row],[Year 2 (Proposed)]]+Table66[[#This Row],[Year 3 (Proposed)]]+Table66[[#This Row],[Year 4 (Proposed)]]+Table66[[#This Row],[Year 5 (Proposed)]]+Table66[[#This Row],[Year 6 (Proposed)]]</f>
        <v>0</v>
      </c>
      <c r="T1101" s="403" t="b">
        <f ca="1">Table66[[#This Row],[Total Specifed in RFO - N/A]]=Table66[[#This Row],[Total Proposed]]</f>
        <v>1</v>
      </c>
      <c r="U1101" s="439"/>
      <c r="V1101" s="441">
        <f ca="1">Table66[[#This Row],[Year 6 (Specified in RFO) - N/A]]-Table66[[#This Row],[Column1]]</f>
        <v>0</v>
      </c>
    </row>
    <row r="1102" spans="1:22" ht="16.5" thickBot="1">
      <c r="A1102" s="319"/>
      <c r="B1102" s="319"/>
      <c r="C1102" s="319"/>
      <c r="D1102" s="320"/>
      <c r="E1102" s="320"/>
      <c r="F1102" s="190"/>
      <c r="G11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2" s="190"/>
      <c r="I11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2" s="190"/>
      <c r="K11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2" s="190"/>
      <c r="M11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2" s="190"/>
      <c r="O11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2" s="190"/>
      <c r="Q11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2" s="192">
        <f ca="1">Table66[[#This Row],[Year 1 (Specified in RFO) - N/A]]+Table66[[#This Row],[Year 2 (Specified in RFO) - N/A]]+Table66[[#This Row],[Year 3 (Specified in RFO) - N/A]]+Table66[[#This Row],[Year 4 (Specified in RFO) - N/A]]+Table66[[#This Row],[Year 5 (Specified in RFO) - N/A]]+Table66[[#This Row],[Year 6 (Specified in RFO) - N/A]]</f>
        <v>0</v>
      </c>
      <c r="S1102" s="402">
        <f ca="1">Table66[[#This Row],[Year 1  (Proposed)]]+Table66[[#This Row],[Year 2 (Proposed)]]+Table66[[#This Row],[Year 3 (Proposed)]]+Table66[[#This Row],[Year 4 (Proposed)]]+Table66[[#This Row],[Year 5 (Proposed)]]+Table66[[#This Row],[Year 6 (Proposed)]]</f>
        <v>0</v>
      </c>
      <c r="T1102" s="403" t="b">
        <f ca="1">Table66[[#This Row],[Total Specifed in RFO - N/A]]=Table66[[#This Row],[Total Proposed]]</f>
        <v>1</v>
      </c>
      <c r="U1102" s="439"/>
      <c r="V1102" s="441">
        <f ca="1">Table66[[#This Row],[Year 6 (Specified in RFO) - N/A]]-Table66[[#This Row],[Column1]]</f>
        <v>0</v>
      </c>
    </row>
    <row r="1103" spans="1:22" ht="16.5" thickBot="1">
      <c r="A1103" s="227"/>
      <c r="B1103" s="227"/>
      <c r="C1103" s="227"/>
      <c r="D1103" s="320"/>
      <c r="E1103" s="231"/>
      <c r="F1103" s="190"/>
      <c r="G11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3" s="190"/>
      <c r="I11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3" s="190"/>
      <c r="K11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3" s="190"/>
      <c r="M11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3" s="190"/>
      <c r="O11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3" s="190"/>
      <c r="Q11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3" s="192">
        <f ca="1">Table66[[#This Row],[Year 1 (Specified in RFO) - N/A]]+Table66[[#This Row],[Year 2 (Specified in RFO) - N/A]]+Table66[[#This Row],[Year 3 (Specified in RFO) - N/A]]+Table66[[#This Row],[Year 4 (Specified in RFO) - N/A]]+Table66[[#This Row],[Year 5 (Specified in RFO) - N/A]]+Table66[[#This Row],[Year 6 (Specified in RFO) - N/A]]</f>
        <v>0</v>
      </c>
      <c r="S1103" s="402">
        <f ca="1">Table66[[#This Row],[Year 1  (Proposed)]]+Table66[[#This Row],[Year 2 (Proposed)]]+Table66[[#This Row],[Year 3 (Proposed)]]+Table66[[#This Row],[Year 4 (Proposed)]]+Table66[[#This Row],[Year 5 (Proposed)]]+Table66[[#This Row],[Year 6 (Proposed)]]</f>
        <v>0</v>
      </c>
      <c r="T1103" s="403" t="b">
        <f ca="1">Table66[[#This Row],[Total Specifed in RFO - N/A]]=Table66[[#This Row],[Total Proposed]]</f>
        <v>1</v>
      </c>
      <c r="U1103" s="439"/>
      <c r="V1103" s="441">
        <f ca="1">Table66[[#This Row],[Year 6 (Specified in RFO) - N/A]]-Table66[[#This Row],[Column1]]</f>
        <v>0</v>
      </c>
    </row>
    <row r="1104" spans="1:22" ht="16.5" thickBot="1">
      <c r="A1104" s="227"/>
      <c r="B1104" s="319"/>
      <c r="C1104" s="319"/>
      <c r="D1104" s="320"/>
      <c r="E1104" s="320"/>
      <c r="F1104" s="190"/>
      <c r="G11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4" s="190"/>
      <c r="I11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4" s="190"/>
      <c r="K11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4" s="190"/>
      <c r="M11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4" s="190"/>
      <c r="O11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4" s="190"/>
      <c r="Q11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4" s="192">
        <f ca="1">Table66[[#This Row],[Year 1 (Specified in RFO) - N/A]]+Table66[[#This Row],[Year 2 (Specified in RFO) - N/A]]+Table66[[#This Row],[Year 3 (Specified in RFO) - N/A]]+Table66[[#This Row],[Year 4 (Specified in RFO) - N/A]]+Table66[[#This Row],[Year 5 (Specified in RFO) - N/A]]+Table66[[#This Row],[Year 6 (Specified in RFO) - N/A]]</f>
        <v>0</v>
      </c>
      <c r="S1104" s="402">
        <f ca="1">Table66[[#This Row],[Year 1  (Proposed)]]+Table66[[#This Row],[Year 2 (Proposed)]]+Table66[[#This Row],[Year 3 (Proposed)]]+Table66[[#This Row],[Year 4 (Proposed)]]+Table66[[#This Row],[Year 5 (Proposed)]]+Table66[[#This Row],[Year 6 (Proposed)]]</f>
        <v>0</v>
      </c>
      <c r="T1104" s="403" t="b">
        <f ca="1">Table66[[#This Row],[Total Specifed in RFO - N/A]]=Table66[[#This Row],[Total Proposed]]</f>
        <v>1</v>
      </c>
      <c r="U1104" s="439"/>
      <c r="V1104" s="441">
        <f ca="1">Table66[[#This Row],[Year 6 (Specified in RFO) - N/A]]-Table66[[#This Row],[Column1]]</f>
        <v>0</v>
      </c>
    </row>
    <row r="1105" spans="1:22" ht="16.5" thickBot="1">
      <c r="A1105" s="319"/>
      <c r="B1105" s="319"/>
      <c r="C1105" s="319"/>
      <c r="D1105" s="320"/>
      <c r="E1105" s="320"/>
      <c r="F1105" s="190"/>
      <c r="G11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5" s="190"/>
      <c r="I11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5" s="190"/>
      <c r="K11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5" s="190"/>
      <c r="M11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5" s="190"/>
      <c r="O11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5" s="190"/>
      <c r="Q11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5" s="192">
        <f ca="1">Table66[[#This Row],[Year 1 (Specified in RFO) - N/A]]+Table66[[#This Row],[Year 2 (Specified in RFO) - N/A]]+Table66[[#This Row],[Year 3 (Specified in RFO) - N/A]]+Table66[[#This Row],[Year 4 (Specified in RFO) - N/A]]+Table66[[#This Row],[Year 5 (Specified in RFO) - N/A]]+Table66[[#This Row],[Year 6 (Specified in RFO) - N/A]]</f>
        <v>0</v>
      </c>
      <c r="S1105" s="402">
        <f ca="1">Table66[[#This Row],[Year 1  (Proposed)]]+Table66[[#This Row],[Year 2 (Proposed)]]+Table66[[#This Row],[Year 3 (Proposed)]]+Table66[[#This Row],[Year 4 (Proposed)]]+Table66[[#This Row],[Year 5 (Proposed)]]+Table66[[#This Row],[Year 6 (Proposed)]]</f>
        <v>0</v>
      </c>
      <c r="T1105" s="403" t="b">
        <f ca="1">Table66[[#This Row],[Total Specifed in RFO - N/A]]=Table66[[#This Row],[Total Proposed]]</f>
        <v>1</v>
      </c>
      <c r="U1105" s="439"/>
      <c r="V1105" s="441">
        <f ca="1">Table66[[#This Row],[Year 6 (Specified in RFO) - N/A]]-Table66[[#This Row],[Column1]]</f>
        <v>0</v>
      </c>
    </row>
    <row r="1106" spans="1:22" ht="16.5" thickBot="1">
      <c r="A1106" s="227"/>
      <c r="B1106" s="227"/>
      <c r="C1106" s="227"/>
      <c r="D1106" s="320"/>
      <c r="E1106" s="231"/>
      <c r="F1106" s="190"/>
      <c r="G11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6" s="190"/>
      <c r="I11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6" s="190"/>
      <c r="K11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6" s="190"/>
      <c r="M11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6" s="190"/>
      <c r="O11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6" s="190"/>
      <c r="Q11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6" s="192">
        <f ca="1">Table66[[#This Row],[Year 1 (Specified in RFO) - N/A]]+Table66[[#This Row],[Year 2 (Specified in RFO) - N/A]]+Table66[[#This Row],[Year 3 (Specified in RFO) - N/A]]+Table66[[#This Row],[Year 4 (Specified in RFO) - N/A]]+Table66[[#This Row],[Year 5 (Specified in RFO) - N/A]]+Table66[[#This Row],[Year 6 (Specified in RFO) - N/A]]</f>
        <v>0</v>
      </c>
      <c r="S1106" s="402">
        <f ca="1">Table66[[#This Row],[Year 1  (Proposed)]]+Table66[[#This Row],[Year 2 (Proposed)]]+Table66[[#This Row],[Year 3 (Proposed)]]+Table66[[#This Row],[Year 4 (Proposed)]]+Table66[[#This Row],[Year 5 (Proposed)]]+Table66[[#This Row],[Year 6 (Proposed)]]</f>
        <v>0</v>
      </c>
      <c r="T1106" s="403" t="b">
        <f ca="1">Table66[[#This Row],[Total Specifed in RFO - N/A]]=Table66[[#This Row],[Total Proposed]]</f>
        <v>1</v>
      </c>
      <c r="U1106" s="439"/>
      <c r="V1106" s="441">
        <f ca="1">Table66[[#This Row],[Year 6 (Specified in RFO) - N/A]]-Table66[[#This Row],[Column1]]</f>
        <v>0</v>
      </c>
    </row>
    <row r="1107" spans="1:22" ht="16.5" thickBot="1">
      <c r="A1107" s="227"/>
      <c r="B1107" s="319"/>
      <c r="C1107" s="319"/>
      <c r="D1107" s="320"/>
      <c r="E1107" s="320"/>
      <c r="F1107" s="190"/>
      <c r="G11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7" s="190"/>
      <c r="I11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7" s="190"/>
      <c r="K11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7" s="190"/>
      <c r="M11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7" s="190"/>
      <c r="O11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7" s="190"/>
      <c r="Q11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7" s="192">
        <f ca="1">Table66[[#This Row],[Year 1 (Specified in RFO) - N/A]]+Table66[[#This Row],[Year 2 (Specified in RFO) - N/A]]+Table66[[#This Row],[Year 3 (Specified in RFO) - N/A]]+Table66[[#This Row],[Year 4 (Specified in RFO) - N/A]]+Table66[[#This Row],[Year 5 (Specified in RFO) - N/A]]+Table66[[#This Row],[Year 6 (Specified in RFO) - N/A]]</f>
        <v>0</v>
      </c>
      <c r="S1107" s="402">
        <f ca="1">Table66[[#This Row],[Year 1  (Proposed)]]+Table66[[#This Row],[Year 2 (Proposed)]]+Table66[[#This Row],[Year 3 (Proposed)]]+Table66[[#This Row],[Year 4 (Proposed)]]+Table66[[#This Row],[Year 5 (Proposed)]]+Table66[[#This Row],[Year 6 (Proposed)]]</f>
        <v>0</v>
      </c>
      <c r="T1107" s="403" t="b">
        <f ca="1">Table66[[#This Row],[Total Specifed in RFO - N/A]]=Table66[[#This Row],[Total Proposed]]</f>
        <v>1</v>
      </c>
      <c r="U1107" s="439"/>
      <c r="V1107" s="441">
        <f ca="1">Table66[[#This Row],[Year 6 (Specified in RFO) - N/A]]-Table66[[#This Row],[Column1]]</f>
        <v>0</v>
      </c>
    </row>
    <row r="1108" spans="1:22" ht="16.5" thickBot="1">
      <c r="A1108" s="319"/>
      <c r="B1108" s="319"/>
      <c r="C1108" s="319"/>
      <c r="D1108" s="320"/>
      <c r="E1108" s="320"/>
      <c r="F1108" s="190"/>
      <c r="G11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8" s="190"/>
      <c r="I11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8" s="190"/>
      <c r="K11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8" s="190"/>
      <c r="M11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8" s="190"/>
      <c r="O11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8" s="190"/>
      <c r="Q11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8" s="192">
        <f ca="1">Table66[[#This Row],[Year 1 (Specified in RFO) - N/A]]+Table66[[#This Row],[Year 2 (Specified in RFO) - N/A]]+Table66[[#This Row],[Year 3 (Specified in RFO) - N/A]]+Table66[[#This Row],[Year 4 (Specified in RFO) - N/A]]+Table66[[#This Row],[Year 5 (Specified in RFO) - N/A]]+Table66[[#This Row],[Year 6 (Specified in RFO) - N/A]]</f>
        <v>0</v>
      </c>
      <c r="S1108" s="402">
        <f ca="1">Table66[[#This Row],[Year 1  (Proposed)]]+Table66[[#This Row],[Year 2 (Proposed)]]+Table66[[#This Row],[Year 3 (Proposed)]]+Table66[[#This Row],[Year 4 (Proposed)]]+Table66[[#This Row],[Year 5 (Proposed)]]+Table66[[#This Row],[Year 6 (Proposed)]]</f>
        <v>0</v>
      </c>
      <c r="T1108" s="403" t="b">
        <f ca="1">Table66[[#This Row],[Total Specifed in RFO - N/A]]=Table66[[#This Row],[Total Proposed]]</f>
        <v>1</v>
      </c>
      <c r="U1108" s="439"/>
      <c r="V1108" s="441">
        <f ca="1">Table66[[#This Row],[Year 6 (Specified in RFO) - N/A]]-Table66[[#This Row],[Column1]]</f>
        <v>0</v>
      </c>
    </row>
    <row r="1109" spans="1:22" ht="16.5" thickBot="1">
      <c r="A1109" s="227"/>
      <c r="B1109" s="227"/>
      <c r="C1109" s="227"/>
      <c r="D1109" s="320"/>
      <c r="E1109" s="231"/>
      <c r="F1109" s="190"/>
      <c r="G11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9" s="190"/>
      <c r="I11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9" s="190"/>
      <c r="K11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9" s="190"/>
      <c r="M11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9" s="190"/>
      <c r="O11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9" s="190"/>
      <c r="Q11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9" s="192">
        <f ca="1">Table66[[#This Row],[Year 1 (Specified in RFO) - N/A]]+Table66[[#This Row],[Year 2 (Specified in RFO) - N/A]]+Table66[[#This Row],[Year 3 (Specified in RFO) - N/A]]+Table66[[#This Row],[Year 4 (Specified in RFO) - N/A]]+Table66[[#This Row],[Year 5 (Specified in RFO) - N/A]]+Table66[[#This Row],[Year 6 (Specified in RFO) - N/A]]</f>
        <v>0</v>
      </c>
      <c r="S1109" s="402">
        <f ca="1">Table66[[#This Row],[Year 1  (Proposed)]]+Table66[[#This Row],[Year 2 (Proposed)]]+Table66[[#This Row],[Year 3 (Proposed)]]+Table66[[#This Row],[Year 4 (Proposed)]]+Table66[[#This Row],[Year 5 (Proposed)]]+Table66[[#This Row],[Year 6 (Proposed)]]</f>
        <v>0</v>
      </c>
      <c r="T1109" s="403" t="b">
        <f ca="1">Table66[[#This Row],[Total Specifed in RFO - N/A]]=Table66[[#This Row],[Total Proposed]]</f>
        <v>1</v>
      </c>
      <c r="U1109" s="439"/>
      <c r="V1109" s="441">
        <f ca="1">Table66[[#This Row],[Year 6 (Specified in RFO) - N/A]]-Table66[[#This Row],[Column1]]</f>
        <v>0</v>
      </c>
    </row>
    <row r="1110" spans="1:22" ht="16.5" thickBot="1">
      <c r="A1110" s="227"/>
      <c r="B1110" s="319"/>
      <c r="C1110" s="319"/>
      <c r="D1110" s="320"/>
      <c r="E1110" s="320"/>
      <c r="F1110" s="190"/>
      <c r="G11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0" s="190"/>
      <c r="I11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0" s="190"/>
      <c r="K11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0" s="190"/>
      <c r="M11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0" s="190"/>
      <c r="O11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0" s="190"/>
      <c r="Q11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0" s="192">
        <f ca="1">Table66[[#This Row],[Year 1 (Specified in RFO) - N/A]]+Table66[[#This Row],[Year 2 (Specified in RFO) - N/A]]+Table66[[#This Row],[Year 3 (Specified in RFO) - N/A]]+Table66[[#This Row],[Year 4 (Specified in RFO) - N/A]]+Table66[[#This Row],[Year 5 (Specified in RFO) - N/A]]+Table66[[#This Row],[Year 6 (Specified in RFO) - N/A]]</f>
        <v>0</v>
      </c>
      <c r="S1110" s="402">
        <f ca="1">Table66[[#This Row],[Year 1  (Proposed)]]+Table66[[#This Row],[Year 2 (Proposed)]]+Table66[[#This Row],[Year 3 (Proposed)]]+Table66[[#This Row],[Year 4 (Proposed)]]+Table66[[#This Row],[Year 5 (Proposed)]]+Table66[[#This Row],[Year 6 (Proposed)]]</f>
        <v>0</v>
      </c>
      <c r="T1110" s="403" t="b">
        <f ca="1">Table66[[#This Row],[Total Specifed in RFO - N/A]]=Table66[[#This Row],[Total Proposed]]</f>
        <v>1</v>
      </c>
      <c r="U1110" s="439"/>
      <c r="V1110" s="441">
        <f ca="1">Table66[[#This Row],[Year 6 (Specified in RFO) - N/A]]-Table66[[#This Row],[Column1]]</f>
        <v>0</v>
      </c>
    </row>
    <row r="1111" spans="1:22" ht="16.5" thickBot="1">
      <c r="A1111" s="319"/>
      <c r="B1111" s="319"/>
      <c r="C1111" s="319"/>
      <c r="D1111" s="320"/>
      <c r="E1111" s="320"/>
      <c r="F1111" s="190"/>
      <c r="G11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1" s="190"/>
      <c r="I11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1" s="190"/>
      <c r="K11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1" s="190"/>
      <c r="M11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1" s="190"/>
      <c r="O11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1" s="190"/>
      <c r="Q11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1" s="192">
        <f ca="1">Table66[[#This Row],[Year 1 (Specified in RFO) - N/A]]+Table66[[#This Row],[Year 2 (Specified in RFO) - N/A]]+Table66[[#This Row],[Year 3 (Specified in RFO) - N/A]]+Table66[[#This Row],[Year 4 (Specified in RFO) - N/A]]+Table66[[#This Row],[Year 5 (Specified in RFO) - N/A]]+Table66[[#This Row],[Year 6 (Specified in RFO) - N/A]]</f>
        <v>0</v>
      </c>
      <c r="S1111" s="402">
        <f ca="1">Table66[[#This Row],[Year 1  (Proposed)]]+Table66[[#This Row],[Year 2 (Proposed)]]+Table66[[#This Row],[Year 3 (Proposed)]]+Table66[[#This Row],[Year 4 (Proposed)]]+Table66[[#This Row],[Year 5 (Proposed)]]+Table66[[#This Row],[Year 6 (Proposed)]]</f>
        <v>0</v>
      </c>
      <c r="T1111" s="403" t="b">
        <f ca="1">Table66[[#This Row],[Total Specifed in RFO - N/A]]=Table66[[#This Row],[Total Proposed]]</f>
        <v>1</v>
      </c>
      <c r="U1111" s="439"/>
      <c r="V1111" s="441">
        <f ca="1">Table66[[#This Row],[Year 6 (Specified in RFO) - N/A]]-Table66[[#This Row],[Column1]]</f>
        <v>0</v>
      </c>
    </row>
    <row r="1112" spans="1:22" ht="16.5" thickBot="1">
      <c r="A1112" s="227"/>
      <c r="B1112" s="227"/>
      <c r="C1112" s="227"/>
      <c r="D1112" s="320"/>
      <c r="E1112" s="231"/>
      <c r="F1112" s="190"/>
      <c r="G11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2" s="190"/>
      <c r="I11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2" s="190"/>
      <c r="K11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2" s="190"/>
      <c r="M11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2" s="190"/>
      <c r="O11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2" s="190"/>
      <c r="Q11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2" s="192">
        <f ca="1">Table66[[#This Row],[Year 1 (Specified in RFO) - N/A]]+Table66[[#This Row],[Year 2 (Specified in RFO) - N/A]]+Table66[[#This Row],[Year 3 (Specified in RFO) - N/A]]+Table66[[#This Row],[Year 4 (Specified in RFO) - N/A]]+Table66[[#This Row],[Year 5 (Specified in RFO) - N/A]]+Table66[[#This Row],[Year 6 (Specified in RFO) - N/A]]</f>
        <v>0</v>
      </c>
      <c r="S1112" s="402">
        <f ca="1">Table66[[#This Row],[Year 1  (Proposed)]]+Table66[[#This Row],[Year 2 (Proposed)]]+Table66[[#This Row],[Year 3 (Proposed)]]+Table66[[#This Row],[Year 4 (Proposed)]]+Table66[[#This Row],[Year 5 (Proposed)]]+Table66[[#This Row],[Year 6 (Proposed)]]</f>
        <v>0</v>
      </c>
      <c r="T1112" s="403" t="b">
        <f ca="1">Table66[[#This Row],[Total Specifed in RFO - N/A]]=Table66[[#This Row],[Total Proposed]]</f>
        <v>1</v>
      </c>
      <c r="U1112" s="439"/>
      <c r="V1112" s="441">
        <f ca="1">Table66[[#This Row],[Year 6 (Specified in RFO) - N/A]]-Table66[[#This Row],[Column1]]</f>
        <v>0</v>
      </c>
    </row>
    <row r="1113" spans="1:22" ht="16.5" thickBot="1">
      <c r="A1113" s="227"/>
      <c r="B1113" s="319"/>
      <c r="C1113" s="319"/>
      <c r="D1113" s="320"/>
      <c r="E1113" s="320"/>
      <c r="F1113" s="190"/>
      <c r="G11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3" s="190"/>
      <c r="I11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3" s="190"/>
      <c r="K11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3" s="190"/>
      <c r="M11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3" s="190"/>
      <c r="O11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3" s="190"/>
      <c r="Q11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3" s="192">
        <f ca="1">Table66[[#This Row],[Year 1 (Specified in RFO) - N/A]]+Table66[[#This Row],[Year 2 (Specified in RFO) - N/A]]+Table66[[#This Row],[Year 3 (Specified in RFO) - N/A]]+Table66[[#This Row],[Year 4 (Specified in RFO) - N/A]]+Table66[[#This Row],[Year 5 (Specified in RFO) - N/A]]+Table66[[#This Row],[Year 6 (Specified in RFO) - N/A]]</f>
        <v>0</v>
      </c>
      <c r="S1113" s="402">
        <f ca="1">Table66[[#This Row],[Year 1  (Proposed)]]+Table66[[#This Row],[Year 2 (Proposed)]]+Table66[[#This Row],[Year 3 (Proposed)]]+Table66[[#This Row],[Year 4 (Proposed)]]+Table66[[#This Row],[Year 5 (Proposed)]]+Table66[[#This Row],[Year 6 (Proposed)]]</f>
        <v>0</v>
      </c>
      <c r="T1113" s="403" t="b">
        <f ca="1">Table66[[#This Row],[Total Specifed in RFO - N/A]]=Table66[[#This Row],[Total Proposed]]</f>
        <v>1</v>
      </c>
      <c r="U1113" s="439"/>
      <c r="V1113" s="441">
        <f ca="1">Table66[[#This Row],[Year 6 (Specified in RFO) - N/A]]-Table66[[#This Row],[Column1]]</f>
        <v>0</v>
      </c>
    </row>
    <row r="1114" spans="1:22" ht="16.5" thickBot="1">
      <c r="A1114" s="319"/>
      <c r="B1114" s="319"/>
      <c r="C1114" s="319"/>
      <c r="D1114" s="320"/>
      <c r="E1114" s="320"/>
      <c r="F1114" s="190"/>
      <c r="G11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4" s="190"/>
      <c r="I11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4" s="190"/>
      <c r="K11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4" s="190"/>
      <c r="M11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4" s="190"/>
      <c r="O11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4" s="190"/>
      <c r="Q11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4" s="192">
        <f ca="1">Table66[[#This Row],[Year 1 (Specified in RFO) - N/A]]+Table66[[#This Row],[Year 2 (Specified in RFO) - N/A]]+Table66[[#This Row],[Year 3 (Specified in RFO) - N/A]]+Table66[[#This Row],[Year 4 (Specified in RFO) - N/A]]+Table66[[#This Row],[Year 5 (Specified in RFO) - N/A]]+Table66[[#This Row],[Year 6 (Specified in RFO) - N/A]]</f>
        <v>0</v>
      </c>
      <c r="S1114" s="402">
        <f ca="1">Table66[[#This Row],[Year 1  (Proposed)]]+Table66[[#This Row],[Year 2 (Proposed)]]+Table66[[#This Row],[Year 3 (Proposed)]]+Table66[[#This Row],[Year 4 (Proposed)]]+Table66[[#This Row],[Year 5 (Proposed)]]+Table66[[#This Row],[Year 6 (Proposed)]]</f>
        <v>0</v>
      </c>
      <c r="T1114" s="403" t="b">
        <f ca="1">Table66[[#This Row],[Total Specifed in RFO - N/A]]=Table66[[#This Row],[Total Proposed]]</f>
        <v>1</v>
      </c>
      <c r="U1114" s="439"/>
      <c r="V1114" s="441">
        <f ca="1">Table66[[#This Row],[Year 6 (Specified in RFO) - N/A]]-Table66[[#This Row],[Column1]]</f>
        <v>0</v>
      </c>
    </row>
    <row r="1115" spans="1:22" ht="16.5" thickBot="1">
      <c r="A1115" s="227"/>
      <c r="B1115" s="227"/>
      <c r="C1115" s="227"/>
      <c r="D1115" s="320"/>
      <c r="E1115" s="231"/>
      <c r="F1115" s="190"/>
      <c r="G11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5" s="190"/>
      <c r="I11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5" s="190"/>
      <c r="K11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5" s="190"/>
      <c r="M11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5" s="190"/>
      <c r="O11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5" s="190"/>
      <c r="Q11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5" s="192">
        <f ca="1">Table66[[#This Row],[Year 1 (Specified in RFO) - N/A]]+Table66[[#This Row],[Year 2 (Specified in RFO) - N/A]]+Table66[[#This Row],[Year 3 (Specified in RFO) - N/A]]+Table66[[#This Row],[Year 4 (Specified in RFO) - N/A]]+Table66[[#This Row],[Year 5 (Specified in RFO) - N/A]]+Table66[[#This Row],[Year 6 (Specified in RFO) - N/A]]</f>
        <v>0</v>
      </c>
      <c r="S1115" s="402">
        <f ca="1">Table66[[#This Row],[Year 1  (Proposed)]]+Table66[[#This Row],[Year 2 (Proposed)]]+Table66[[#This Row],[Year 3 (Proposed)]]+Table66[[#This Row],[Year 4 (Proposed)]]+Table66[[#This Row],[Year 5 (Proposed)]]+Table66[[#This Row],[Year 6 (Proposed)]]</f>
        <v>0</v>
      </c>
      <c r="T1115" s="403" t="b">
        <f ca="1">Table66[[#This Row],[Total Specifed in RFO - N/A]]=Table66[[#This Row],[Total Proposed]]</f>
        <v>1</v>
      </c>
      <c r="U1115" s="439"/>
      <c r="V1115" s="441">
        <f ca="1">Table66[[#This Row],[Year 6 (Specified in RFO) - N/A]]-Table66[[#This Row],[Column1]]</f>
        <v>0</v>
      </c>
    </row>
    <row r="1116" spans="1:22" ht="16.5" thickBot="1">
      <c r="A1116" s="227"/>
      <c r="B1116" s="319"/>
      <c r="C1116" s="319"/>
      <c r="D1116" s="320"/>
      <c r="E1116" s="320"/>
      <c r="F1116" s="190"/>
      <c r="G11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6" s="190"/>
      <c r="I11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6" s="190"/>
      <c r="K11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6" s="190"/>
      <c r="M11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6" s="190"/>
      <c r="O11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6" s="190"/>
      <c r="Q11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6" s="192">
        <f ca="1">Table66[[#This Row],[Year 1 (Specified in RFO) - N/A]]+Table66[[#This Row],[Year 2 (Specified in RFO) - N/A]]+Table66[[#This Row],[Year 3 (Specified in RFO) - N/A]]+Table66[[#This Row],[Year 4 (Specified in RFO) - N/A]]+Table66[[#This Row],[Year 5 (Specified in RFO) - N/A]]+Table66[[#This Row],[Year 6 (Specified in RFO) - N/A]]</f>
        <v>0</v>
      </c>
      <c r="S1116" s="402">
        <f ca="1">Table66[[#This Row],[Year 1  (Proposed)]]+Table66[[#This Row],[Year 2 (Proposed)]]+Table66[[#This Row],[Year 3 (Proposed)]]+Table66[[#This Row],[Year 4 (Proposed)]]+Table66[[#This Row],[Year 5 (Proposed)]]+Table66[[#This Row],[Year 6 (Proposed)]]</f>
        <v>0</v>
      </c>
      <c r="T1116" s="403" t="b">
        <f ca="1">Table66[[#This Row],[Total Specifed in RFO - N/A]]=Table66[[#This Row],[Total Proposed]]</f>
        <v>1</v>
      </c>
      <c r="U1116" s="439"/>
      <c r="V1116" s="441">
        <f ca="1">Table66[[#This Row],[Year 6 (Specified in RFO) - N/A]]-Table66[[#This Row],[Column1]]</f>
        <v>0</v>
      </c>
    </row>
    <row r="1117" spans="1:22" ht="16.5" thickBot="1">
      <c r="A1117" s="319"/>
      <c r="B1117" s="319"/>
      <c r="C1117" s="319"/>
      <c r="D1117" s="320"/>
      <c r="E1117" s="320"/>
      <c r="F1117" s="190"/>
      <c r="G11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7" s="190"/>
      <c r="I11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7" s="190"/>
      <c r="K11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7" s="190"/>
      <c r="M11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7" s="190"/>
      <c r="O11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7" s="190"/>
      <c r="Q11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7" s="192">
        <f ca="1">Table66[[#This Row],[Year 1 (Specified in RFO) - N/A]]+Table66[[#This Row],[Year 2 (Specified in RFO) - N/A]]+Table66[[#This Row],[Year 3 (Specified in RFO) - N/A]]+Table66[[#This Row],[Year 4 (Specified in RFO) - N/A]]+Table66[[#This Row],[Year 5 (Specified in RFO) - N/A]]+Table66[[#This Row],[Year 6 (Specified in RFO) - N/A]]</f>
        <v>0</v>
      </c>
      <c r="S1117" s="402">
        <f ca="1">Table66[[#This Row],[Year 1  (Proposed)]]+Table66[[#This Row],[Year 2 (Proposed)]]+Table66[[#This Row],[Year 3 (Proposed)]]+Table66[[#This Row],[Year 4 (Proposed)]]+Table66[[#This Row],[Year 5 (Proposed)]]+Table66[[#This Row],[Year 6 (Proposed)]]</f>
        <v>0</v>
      </c>
      <c r="T1117" s="403" t="b">
        <f ca="1">Table66[[#This Row],[Total Specifed in RFO - N/A]]=Table66[[#This Row],[Total Proposed]]</f>
        <v>1</v>
      </c>
      <c r="U1117" s="439"/>
      <c r="V1117" s="441">
        <f ca="1">Table66[[#This Row],[Year 6 (Specified in RFO) - N/A]]-Table66[[#This Row],[Column1]]</f>
        <v>0</v>
      </c>
    </row>
    <row r="1118" spans="1:22" ht="16.5" thickBot="1">
      <c r="A1118" s="227"/>
      <c r="B1118" s="227"/>
      <c r="C1118" s="227"/>
      <c r="D1118" s="320"/>
      <c r="E1118" s="231"/>
      <c r="F1118" s="190"/>
      <c r="G11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8" s="190"/>
      <c r="I11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8" s="190"/>
      <c r="K11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8" s="190"/>
      <c r="M11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8" s="190"/>
      <c r="O11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8" s="190"/>
      <c r="Q11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8" s="192">
        <f ca="1">Table66[[#This Row],[Year 1 (Specified in RFO) - N/A]]+Table66[[#This Row],[Year 2 (Specified in RFO) - N/A]]+Table66[[#This Row],[Year 3 (Specified in RFO) - N/A]]+Table66[[#This Row],[Year 4 (Specified in RFO) - N/A]]+Table66[[#This Row],[Year 5 (Specified in RFO) - N/A]]+Table66[[#This Row],[Year 6 (Specified in RFO) - N/A]]</f>
        <v>0</v>
      </c>
      <c r="S1118" s="402">
        <f ca="1">Table66[[#This Row],[Year 1  (Proposed)]]+Table66[[#This Row],[Year 2 (Proposed)]]+Table66[[#This Row],[Year 3 (Proposed)]]+Table66[[#This Row],[Year 4 (Proposed)]]+Table66[[#This Row],[Year 5 (Proposed)]]+Table66[[#This Row],[Year 6 (Proposed)]]</f>
        <v>0</v>
      </c>
      <c r="T1118" s="403" t="b">
        <f ca="1">Table66[[#This Row],[Total Specifed in RFO - N/A]]=Table66[[#This Row],[Total Proposed]]</f>
        <v>1</v>
      </c>
      <c r="U1118" s="439"/>
      <c r="V1118" s="441">
        <f ca="1">Table66[[#This Row],[Year 6 (Specified in RFO) - N/A]]-Table66[[#This Row],[Column1]]</f>
        <v>0</v>
      </c>
    </row>
    <row r="1119" spans="1:22" ht="16.5" thickBot="1">
      <c r="A1119" s="227"/>
      <c r="B1119" s="319"/>
      <c r="C1119" s="319"/>
      <c r="D1119" s="320"/>
      <c r="E1119" s="320"/>
      <c r="F1119" s="190"/>
      <c r="G11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9" s="190"/>
      <c r="I11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9" s="190"/>
      <c r="K11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9" s="190"/>
      <c r="M11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9" s="190"/>
      <c r="O11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9" s="190"/>
      <c r="Q11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9" s="192">
        <f ca="1">Table66[[#This Row],[Year 1 (Specified in RFO) - N/A]]+Table66[[#This Row],[Year 2 (Specified in RFO) - N/A]]+Table66[[#This Row],[Year 3 (Specified in RFO) - N/A]]+Table66[[#This Row],[Year 4 (Specified in RFO) - N/A]]+Table66[[#This Row],[Year 5 (Specified in RFO) - N/A]]+Table66[[#This Row],[Year 6 (Specified in RFO) - N/A]]</f>
        <v>0</v>
      </c>
      <c r="S1119" s="402">
        <f ca="1">Table66[[#This Row],[Year 1  (Proposed)]]+Table66[[#This Row],[Year 2 (Proposed)]]+Table66[[#This Row],[Year 3 (Proposed)]]+Table66[[#This Row],[Year 4 (Proposed)]]+Table66[[#This Row],[Year 5 (Proposed)]]+Table66[[#This Row],[Year 6 (Proposed)]]</f>
        <v>0</v>
      </c>
      <c r="T1119" s="403" t="b">
        <f ca="1">Table66[[#This Row],[Total Specifed in RFO - N/A]]=Table66[[#This Row],[Total Proposed]]</f>
        <v>1</v>
      </c>
      <c r="U1119" s="439"/>
      <c r="V1119" s="441">
        <f ca="1">Table66[[#This Row],[Year 6 (Specified in RFO) - N/A]]-Table66[[#This Row],[Column1]]</f>
        <v>0</v>
      </c>
    </row>
    <row r="1120" spans="1:22" ht="16.5" thickBot="1">
      <c r="A1120" s="319"/>
      <c r="B1120" s="319"/>
      <c r="C1120" s="319"/>
      <c r="D1120" s="320"/>
      <c r="E1120" s="320"/>
      <c r="F1120" s="190"/>
      <c r="G11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0" s="190"/>
      <c r="I11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0" s="190"/>
      <c r="K11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0" s="190"/>
      <c r="M11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0" s="190"/>
      <c r="O11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0" s="190"/>
      <c r="Q11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0" s="192">
        <f ca="1">Table66[[#This Row],[Year 1 (Specified in RFO) - N/A]]+Table66[[#This Row],[Year 2 (Specified in RFO) - N/A]]+Table66[[#This Row],[Year 3 (Specified in RFO) - N/A]]+Table66[[#This Row],[Year 4 (Specified in RFO) - N/A]]+Table66[[#This Row],[Year 5 (Specified in RFO) - N/A]]+Table66[[#This Row],[Year 6 (Specified in RFO) - N/A]]</f>
        <v>0</v>
      </c>
      <c r="S1120" s="402">
        <f ca="1">Table66[[#This Row],[Year 1  (Proposed)]]+Table66[[#This Row],[Year 2 (Proposed)]]+Table66[[#This Row],[Year 3 (Proposed)]]+Table66[[#This Row],[Year 4 (Proposed)]]+Table66[[#This Row],[Year 5 (Proposed)]]+Table66[[#This Row],[Year 6 (Proposed)]]</f>
        <v>0</v>
      </c>
      <c r="T1120" s="403" t="b">
        <f ca="1">Table66[[#This Row],[Total Specifed in RFO - N/A]]=Table66[[#This Row],[Total Proposed]]</f>
        <v>1</v>
      </c>
      <c r="U1120" s="439"/>
      <c r="V1120" s="441">
        <f ca="1">Table66[[#This Row],[Year 6 (Specified in RFO) - N/A]]-Table66[[#This Row],[Column1]]</f>
        <v>0</v>
      </c>
    </row>
    <row r="1121" spans="1:22" ht="16.5" thickBot="1">
      <c r="A1121" s="227"/>
      <c r="B1121" s="227"/>
      <c r="C1121" s="227"/>
      <c r="D1121" s="320"/>
      <c r="E1121" s="231"/>
      <c r="F1121" s="190"/>
      <c r="G11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1" s="190"/>
      <c r="I11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1" s="190"/>
      <c r="K11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1" s="190"/>
      <c r="M11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1" s="190"/>
      <c r="O11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1" s="190"/>
      <c r="Q11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1" s="192">
        <f ca="1">Table66[[#This Row],[Year 1 (Specified in RFO) - N/A]]+Table66[[#This Row],[Year 2 (Specified in RFO) - N/A]]+Table66[[#This Row],[Year 3 (Specified in RFO) - N/A]]+Table66[[#This Row],[Year 4 (Specified in RFO) - N/A]]+Table66[[#This Row],[Year 5 (Specified in RFO) - N/A]]+Table66[[#This Row],[Year 6 (Specified in RFO) - N/A]]</f>
        <v>0</v>
      </c>
      <c r="S1121" s="402">
        <f ca="1">Table66[[#This Row],[Year 1  (Proposed)]]+Table66[[#This Row],[Year 2 (Proposed)]]+Table66[[#This Row],[Year 3 (Proposed)]]+Table66[[#This Row],[Year 4 (Proposed)]]+Table66[[#This Row],[Year 5 (Proposed)]]+Table66[[#This Row],[Year 6 (Proposed)]]</f>
        <v>0</v>
      </c>
      <c r="T1121" s="403" t="b">
        <f ca="1">Table66[[#This Row],[Total Specifed in RFO - N/A]]=Table66[[#This Row],[Total Proposed]]</f>
        <v>1</v>
      </c>
      <c r="U1121" s="439"/>
      <c r="V1121" s="441">
        <f ca="1">Table66[[#This Row],[Year 6 (Specified in RFO) - N/A]]-Table66[[#This Row],[Column1]]</f>
        <v>0</v>
      </c>
    </row>
    <row r="1122" spans="1:22" ht="16.5" thickBot="1">
      <c r="A1122" s="227"/>
      <c r="B1122" s="319"/>
      <c r="C1122" s="319"/>
      <c r="D1122" s="320"/>
      <c r="E1122" s="320"/>
      <c r="F1122" s="190"/>
      <c r="G11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2" s="190"/>
      <c r="I11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2" s="190"/>
      <c r="K11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2" s="190"/>
      <c r="M11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2" s="190"/>
      <c r="O11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2" s="190"/>
      <c r="Q11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2" s="192">
        <f ca="1">Table66[[#This Row],[Year 1 (Specified in RFO) - N/A]]+Table66[[#This Row],[Year 2 (Specified in RFO) - N/A]]+Table66[[#This Row],[Year 3 (Specified in RFO) - N/A]]+Table66[[#This Row],[Year 4 (Specified in RFO) - N/A]]+Table66[[#This Row],[Year 5 (Specified in RFO) - N/A]]+Table66[[#This Row],[Year 6 (Specified in RFO) - N/A]]</f>
        <v>0</v>
      </c>
      <c r="S1122" s="402">
        <f ca="1">Table66[[#This Row],[Year 1  (Proposed)]]+Table66[[#This Row],[Year 2 (Proposed)]]+Table66[[#This Row],[Year 3 (Proposed)]]+Table66[[#This Row],[Year 4 (Proposed)]]+Table66[[#This Row],[Year 5 (Proposed)]]+Table66[[#This Row],[Year 6 (Proposed)]]</f>
        <v>0</v>
      </c>
      <c r="T1122" s="403" t="b">
        <f ca="1">Table66[[#This Row],[Total Specifed in RFO - N/A]]=Table66[[#This Row],[Total Proposed]]</f>
        <v>1</v>
      </c>
      <c r="U1122" s="439"/>
      <c r="V1122" s="441">
        <f ca="1">Table66[[#This Row],[Year 6 (Specified in RFO) - N/A]]-Table66[[#This Row],[Column1]]</f>
        <v>0</v>
      </c>
    </row>
    <row r="1123" spans="1:22" ht="16.5" thickBot="1">
      <c r="A1123" s="319"/>
      <c r="B1123" s="319"/>
      <c r="C1123" s="319"/>
      <c r="D1123" s="320"/>
      <c r="E1123" s="320"/>
      <c r="F1123" s="190"/>
      <c r="G11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3" s="190"/>
      <c r="I11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3" s="190"/>
      <c r="K11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3" s="190"/>
      <c r="M11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3" s="190"/>
      <c r="O11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3" s="190"/>
      <c r="Q11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3" s="192">
        <f ca="1">Table66[[#This Row],[Year 1 (Specified in RFO) - N/A]]+Table66[[#This Row],[Year 2 (Specified in RFO) - N/A]]+Table66[[#This Row],[Year 3 (Specified in RFO) - N/A]]+Table66[[#This Row],[Year 4 (Specified in RFO) - N/A]]+Table66[[#This Row],[Year 5 (Specified in RFO) - N/A]]+Table66[[#This Row],[Year 6 (Specified in RFO) - N/A]]</f>
        <v>0</v>
      </c>
      <c r="S1123" s="402">
        <f ca="1">Table66[[#This Row],[Year 1  (Proposed)]]+Table66[[#This Row],[Year 2 (Proposed)]]+Table66[[#This Row],[Year 3 (Proposed)]]+Table66[[#This Row],[Year 4 (Proposed)]]+Table66[[#This Row],[Year 5 (Proposed)]]+Table66[[#This Row],[Year 6 (Proposed)]]</f>
        <v>0</v>
      </c>
      <c r="T1123" s="403" t="b">
        <f ca="1">Table66[[#This Row],[Total Specifed in RFO - N/A]]=Table66[[#This Row],[Total Proposed]]</f>
        <v>1</v>
      </c>
      <c r="U1123" s="439"/>
      <c r="V1123" s="441">
        <f ca="1">Table66[[#This Row],[Year 6 (Specified in RFO) - N/A]]-Table66[[#This Row],[Column1]]</f>
        <v>0</v>
      </c>
    </row>
    <row r="1124" spans="1:22" ht="16.5" thickBot="1">
      <c r="A1124" s="227"/>
      <c r="B1124" s="227"/>
      <c r="C1124" s="227"/>
      <c r="D1124" s="320"/>
      <c r="E1124" s="231"/>
      <c r="F1124" s="190"/>
      <c r="G11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4" s="190"/>
      <c r="I11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4" s="190"/>
      <c r="K11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4" s="190"/>
      <c r="M11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4" s="190"/>
      <c r="O11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4" s="190"/>
      <c r="Q11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4" s="192">
        <f ca="1">Table66[[#This Row],[Year 1 (Specified in RFO) - N/A]]+Table66[[#This Row],[Year 2 (Specified in RFO) - N/A]]+Table66[[#This Row],[Year 3 (Specified in RFO) - N/A]]+Table66[[#This Row],[Year 4 (Specified in RFO) - N/A]]+Table66[[#This Row],[Year 5 (Specified in RFO) - N/A]]+Table66[[#This Row],[Year 6 (Specified in RFO) - N/A]]</f>
        <v>0</v>
      </c>
      <c r="S1124" s="402">
        <f ca="1">Table66[[#This Row],[Year 1  (Proposed)]]+Table66[[#This Row],[Year 2 (Proposed)]]+Table66[[#This Row],[Year 3 (Proposed)]]+Table66[[#This Row],[Year 4 (Proposed)]]+Table66[[#This Row],[Year 5 (Proposed)]]+Table66[[#This Row],[Year 6 (Proposed)]]</f>
        <v>0</v>
      </c>
      <c r="T1124" s="403" t="b">
        <f ca="1">Table66[[#This Row],[Total Specifed in RFO - N/A]]=Table66[[#This Row],[Total Proposed]]</f>
        <v>1</v>
      </c>
      <c r="U1124" s="439"/>
      <c r="V1124" s="441">
        <f ca="1">Table66[[#This Row],[Year 6 (Specified in RFO) - N/A]]-Table66[[#This Row],[Column1]]</f>
        <v>0</v>
      </c>
    </row>
    <row r="1125" spans="1:22" ht="16.5" thickBot="1">
      <c r="A1125" s="227"/>
      <c r="B1125" s="319"/>
      <c r="C1125" s="319"/>
      <c r="D1125" s="320"/>
      <c r="E1125" s="320"/>
      <c r="F1125" s="190"/>
      <c r="G11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5" s="190"/>
      <c r="I11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5" s="190"/>
      <c r="K11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5" s="190"/>
      <c r="M11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5" s="190"/>
      <c r="O11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5" s="190"/>
      <c r="Q11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5" s="192">
        <f ca="1">Table66[[#This Row],[Year 1 (Specified in RFO) - N/A]]+Table66[[#This Row],[Year 2 (Specified in RFO) - N/A]]+Table66[[#This Row],[Year 3 (Specified in RFO) - N/A]]+Table66[[#This Row],[Year 4 (Specified in RFO) - N/A]]+Table66[[#This Row],[Year 5 (Specified in RFO) - N/A]]+Table66[[#This Row],[Year 6 (Specified in RFO) - N/A]]</f>
        <v>0</v>
      </c>
      <c r="S1125" s="402">
        <f ca="1">Table66[[#This Row],[Year 1  (Proposed)]]+Table66[[#This Row],[Year 2 (Proposed)]]+Table66[[#This Row],[Year 3 (Proposed)]]+Table66[[#This Row],[Year 4 (Proposed)]]+Table66[[#This Row],[Year 5 (Proposed)]]+Table66[[#This Row],[Year 6 (Proposed)]]</f>
        <v>0</v>
      </c>
      <c r="T1125" s="403" t="b">
        <f ca="1">Table66[[#This Row],[Total Specifed in RFO - N/A]]=Table66[[#This Row],[Total Proposed]]</f>
        <v>1</v>
      </c>
      <c r="U1125" s="439"/>
      <c r="V1125" s="441">
        <f ca="1">Table66[[#This Row],[Year 6 (Specified in RFO) - N/A]]-Table66[[#This Row],[Column1]]</f>
        <v>0</v>
      </c>
    </row>
    <row r="1126" spans="1:22" ht="16.5" thickBot="1">
      <c r="A1126" s="319"/>
      <c r="B1126" s="319"/>
      <c r="C1126" s="319"/>
      <c r="D1126" s="320"/>
      <c r="E1126" s="320"/>
      <c r="F1126" s="190"/>
      <c r="G11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6" s="190"/>
      <c r="I11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6" s="190"/>
      <c r="K11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6" s="190"/>
      <c r="M11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6" s="190"/>
      <c r="O11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6" s="190"/>
      <c r="Q11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6" s="192">
        <f ca="1">Table66[[#This Row],[Year 1 (Specified in RFO) - N/A]]+Table66[[#This Row],[Year 2 (Specified in RFO) - N/A]]+Table66[[#This Row],[Year 3 (Specified in RFO) - N/A]]+Table66[[#This Row],[Year 4 (Specified in RFO) - N/A]]+Table66[[#This Row],[Year 5 (Specified in RFO) - N/A]]+Table66[[#This Row],[Year 6 (Specified in RFO) - N/A]]</f>
        <v>0</v>
      </c>
      <c r="S1126" s="402">
        <f ca="1">Table66[[#This Row],[Year 1  (Proposed)]]+Table66[[#This Row],[Year 2 (Proposed)]]+Table66[[#This Row],[Year 3 (Proposed)]]+Table66[[#This Row],[Year 4 (Proposed)]]+Table66[[#This Row],[Year 5 (Proposed)]]+Table66[[#This Row],[Year 6 (Proposed)]]</f>
        <v>0</v>
      </c>
      <c r="T1126" s="403" t="b">
        <f ca="1">Table66[[#This Row],[Total Specifed in RFO - N/A]]=Table66[[#This Row],[Total Proposed]]</f>
        <v>1</v>
      </c>
      <c r="U1126" s="439"/>
      <c r="V1126" s="441">
        <f ca="1">Table66[[#This Row],[Year 6 (Specified in RFO) - N/A]]-Table66[[#This Row],[Column1]]</f>
        <v>0</v>
      </c>
    </row>
    <row r="1127" spans="1:22" ht="16.5" thickBot="1">
      <c r="A1127" s="227"/>
      <c r="B1127" s="227"/>
      <c r="C1127" s="227"/>
      <c r="D1127" s="320"/>
      <c r="E1127" s="231"/>
      <c r="F1127" s="190"/>
      <c r="G11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7" s="190"/>
      <c r="I11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7" s="190"/>
      <c r="K11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7" s="190"/>
      <c r="M11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7" s="190"/>
      <c r="O11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7" s="190"/>
      <c r="Q11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7" s="192">
        <f ca="1">Table66[[#This Row],[Year 1 (Specified in RFO) - N/A]]+Table66[[#This Row],[Year 2 (Specified in RFO) - N/A]]+Table66[[#This Row],[Year 3 (Specified in RFO) - N/A]]+Table66[[#This Row],[Year 4 (Specified in RFO) - N/A]]+Table66[[#This Row],[Year 5 (Specified in RFO) - N/A]]+Table66[[#This Row],[Year 6 (Specified in RFO) - N/A]]</f>
        <v>0</v>
      </c>
      <c r="S1127" s="402">
        <f ca="1">Table66[[#This Row],[Year 1  (Proposed)]]+Table66[[#This Row],[Year 2 (Proposed)]]+Table66[[#This Row],[Year 3 (Proposed)]]+Table66[[#This Row],[Year 4 (Proposed)]]+Table66[[#This Row],[Year 5 (Proposed)]]+Table66[[#This Row],[Year 6 (Proposed)]]</f>
        <v>0</v>
      </c>
      <c r="T1127" s="403" t="b">
        <f ca="1">Table66[[#This Row],[Total Specifed in RFO - N/A]]=Table66[[#This Row],[Total Proposed]]</f>
        <v>1</v>
      </c>
      <c r="U1127" s="439"/>
      <c r="V1127" s="441">
        <f ca="1">Table66[[#This Row],[Year 6 (Specified in RFO) - N/A]]-Table66[[#This Row],[Column1]]</f>
        <v>0</v>
      </c>
    </row>
    <row r="1128" spans="1:22" ht="16.5" thickBot="1">
      <c r="A1128" s="227"/>
      <c r="B1128" s="319"/>
      <c r="C1128" s="319"/>
      <c r="D1128" s="320"/>
      <c r="E1128" s="320"/>
      <c r="F1128" s="190"/>
      <c r="G11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8" s="190"/>
      <c r="I11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8" s="190"/>
      <c r="K11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8" s="190"/>
      <c r="M11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8" s="190"/>
      <c r="O11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8" s="190"/>
      <c r="Q11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8" s="192">
        <f ca="1">Table66[[#This Row],[Year 1 (Specified in RFO) - N/A]]+Table66[[#This Row],[Year 2 (Specified in RFO) - N/A]]+Table66[[#This Row],[Year 3 (Specified in RFO) - N/A]]+Table66[[#This Row],[Year 4 (Specified in RFO) - N/A]]+Table66[[#This Row],[Year 5 (Specified in RFO) - N/A]]+Table66[[#This Row],[Year 6 (Specified in RFO) - N/A]]</f>
        <v>0</v>
      </c>
      <c r="S1128" s="402">
        <f ca="1">Table66[[#This Row],[Year 1  (Proposed)]]+Table66[[#This Row],[Year 2 (Proposed)]]+Table66[[#This Row],[Year 3 (Proposed)]]+Table66[[#This Row],[Year 4 (Proposed)]]+Table66[[#This Row],[Year 5 (Proposed)]]+Table66[[#This Row],[Year 6 (Proposed)]]</f>
        <v>0</v>
      </c>
      <c r="T1128" s="403" t="b">
        <f ca="1">Table66[[#This Row],[Total Specifed in RFO - N/A]]=Table66[[#This Row],[Total Proposed]]</f>
        <v>1</v>
      </c>
      <c r="U1128" s="439"/>
      <c r="V1128" s="441">
        <f ca="1">Table66[[#This Row],[Year 6 (Specified in RFO) - N/A]]-Table66[[#This Row],[Column1]]</f>
        <v>0</v>
      </c>
    </row>
    <row r="1129" spans="1:22" ht="16.5" thickBot="1">
      <c r="A1129" s="319"/>
      <c r="B1129" s="319"/>
      <c r="C1129" s="319"/>
      <c r="D1129" s="320"/>
      <c r="E1129" s="320"/>
      <c r="F1129" s="190"/>
      <c r="G11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9" s="190"/>
      <c r="I11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9" s="190"/>
      <c r="K11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9" s="190"/>
      <c r="M11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9" s="190"/>
      <c r="O11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9" s="190"/>
      <c r="Q11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9" s="192">
        <f ca="1">Table66[[#This Row],[Year 1 (Specified in RFO) - N/A]]+Table66[[#This Row],[Year 2 (Specified in RFO) - N/A]]+Table66[[#This Row],[Year 3 (Specified in RFO) - N/A]]+Table66[[#This Row],[Year 4 (Specified in RFO) - N/A]]+Table66[[#This Row],[Year 5 (Specified in RFO) - N/A]]+Table66[[#This Row],[Year 6 (Specified in RFO) - N/A]]</f>
        <v>0</v>
      </c>
      <c r="S1129" s="402">
        <f ca="1">Table66[[#This Row],[Year 1  (Proposed)]]+Table66[[#This Row],[Year 2 (Proposed)]]+Table66[[#This Row],[Year 3 (Proposed)]]+Table66[[#This Row],[Year 4 (Proposed)]]+Table66[[#This Row],[Year 5 (Proposed)]]+Table66[[#This Row],[Year 6 (Proposed)]]</f>
        <v>0</v>
      </c>
      <c r="T1129" s="403" t="b">
        <f ca="1">Table66[[#This Row],[Total Specifed in RFO - N/A]]=Table66[[#This Row],[Total Proposed]]</f>
        <v>1</v>
      </c>
      <c r="U1129" s="439"/>
      <c r="V1129" s="441">
        <f ca="1">Table66[[#This Row],[Year 6 (Specified in RFO) - N/A]]-Table66[[#This Row],[Column1]]</f>
        <v>0</v>
      </c>
    </row>
    <row r="1130" spans="1:22" ht="16.5" thickBot="1">
      <c r="A1130" s="227"/>
      <c r="B1130" s="227"/>
      <c r="C1130" s="227"/>
      <c r="D1130" s="320"/>
      <c r="E1130" s="231"/>
      <c r="F1130" s="190"/>
      <c r="G11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0" s="190"/>
      <c r="I11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0" s="190"/>
      <c r="K11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0" s="190"/>
      <c r="M11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0" s="190"/>
      <c r="O11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0" s="190"/>
      <c r="Q11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0" s="192">
        <f ca="1">Table66[[#This Row],[Year 1 (Specified in RFO) - N/A]]+Table66[[#This Row],[Year 2 (Specified in RFO) - N/A]]+Table66[[#This Row],[Year 3 (Specified in RFO) - N/A]]+Table66[[#This Row],[Year 4 (Specified in RFO) - N/A]]+Table66[[#This Row],[Year 5 (Specified in RFO) - N/A]]+Table66[[#This Row],[Year 6 (Specified in RFO) - N/A]]</f>
        <v>0</v>
      </c>
      <c r="S1130" s="402">
        <f ca="1">Table66[[#This Row],[Year 1  (Proposed)]]+Table66[[#This Row],[Year 2 (Proposed)]]+Table66[[#This Row],[Year 3 (Proposed)]]+Table66[[#This Row],[Year 4 (Proposed)]]+Table66[[#This Row],[Year 5 (Proposed)]]+Table66[[#This Row],[Year 6 (Proposed)]]</f>
        <v>0</v>
      </c>
      <c r="T1130" s="403" t="b">
        <f ca="1">Table66[[#This Row],[Total Specifed in RFO - N/A]]=Table66[[#This Row],[Total Proposed]]</f>
        <v>1</v>
      </c>
      <c r="U1130" s="439"/>
      <c r="V1130" s="441">
        <f ca="1">Table66[[#This Row],[Year 6 (Specified in RFO) - N/A]]-Table66[[#This Row],[Column1]]</f>
        <v>0</v>
      </c>
    </row>
    <row r="1131" spans="1:22" ht="16.5" thickBot="1">
      <c r="A1131" s="227"/>
      <c r="B1131" s="319"/>
      <c r="C1131" s="319"/>
      <c r="D1131" s="320"/>
      <c r="E1131" s="320"/>
      <c r="F1131" s="190"/>
      <c r="G11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1" s="190"/>
      <c r="I11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1" s="190"/>
      <c r="K11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1" s="190"/>
      <c r="M11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1" s="190"/>
      <c r="O11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1" s="190"/>
      <c r="Q11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1" s="192">
        <f ca="1">Table66[[#This Row],[Year 1 (Specified in RFO) - N/A]]+Table66[[#This Row],[Year 2 (Specified in RFO) - N/A]]+Table66[[#This Row],[Year 3 (Specified in RFO) - N/A]]+Table66[[#This Row],[Year 4 (Specified in RFO) - N/A]]+Table66[[#This Row],[Year 5 (Specified in RFO) - N/A]]+Table66[[#This Row],[Year 6 (Specified in RFO) - N/A]]</f>
        <v>0</v>
      </c>
      <c r="S1131" s="402">
        <f ca="1">Table66[[#This Row],[Year 1  (Proposed)]]+Table66[[#This Row],[Year 2 (Proposed)]]+Table66[[#This Row],[Year 3 (Proposed)]]+Table66[[#This Row],[Year 4 (Proposed)]]+Table66[[#This Row],[Year 5 (Proposed)]]+Table66[[#This Row],[Year 6 (Proposed)]]</f>
        <v>0</v>
      </c>
      <c r="T1131" s="403" t="b">
        <f ca="1">Table66[[#This Row],[Total Specifed in RFO - N/A]]=Table66[[#This Row],[Total Proposed]]</f>
        <v>1</v>
      </c>
      <c r="U1131" s="439"/>
      <c r="V1131" s="441">
        <f ca="1">Table66[[#This Row],[Year 6 (Specified in RFO) - N/A]]-Table66[[#This Row],[Column1]]</f>
        <v>0</v>
      </c>
    </row>
    <row r="1132" spans="1:22" ht="16.5" thickBot="1">
      <c r="A1132" s="319"/>
      <c r="B1132" s="319"/>
      <c r="C1132" s="319"/>
      <c r="D1132" s="320"/>
      <c r="E1132" s="320"/>
      <c r="F1132" s="190"/>
      <c r="G11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2" s="190"/>
      <c r="I11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2" s="190"/>
      <c r="K11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2" s="190"/>
      <c r="M11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2" s="190"/>
      <c r="O11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2" s="190"/>
      <c r="Q11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2" s="192">
        <f ca="1">Table66[[#This Row],[Year 1 (Specified in RFO) - N/A]]+Table66[[#This Row],[Year 2 (Specified in RFO) - N/A]]+Table66[[#This Row],[Year 3 (Specified in RFO) - N/A]]+Table66[[#This Row],[Year 4 (Specified in RFO) - N/A]]+Table66[[#This Row],[Year 5 (Specified in RFO) - N/A]]+Table66[[#This Row],[Year 6 (Specified in RFO) - N/A]]</f>
        <v>0</v>
      </c>
      <c r="S1132" s="402">
        <f ca="1">Table66[[#This Row],[Year 1  (Proposed)]]+Table66[[#This Row],[Year 2 (Proposed)]]+Table66[[#This Row],[Year 3 (Proposed)]]+Table66[[#This Row],[Year 4 (Proposed)]]+Table66[[#This Row],[Year 5 (Proposed)]]+Table66[[#This Row],[Year 6 (Proposed)]]</f>
        <v>0</v>
      </c>
      <c r="T1132" s="403" t="b">
        <f ca="1">Table66[[#This Row],[Total Specifed in RFO - N/A]]=Table66[[#This Row],[Total Proposed]]</f>
        <v>1</v>
      </c>
      <c r="U1132" s="439"/>
      <c r="V1132" s="441">
        <f ca="1">Table66[[#This Row],[Year 6 (Specified in RFO) - N/A]]-Table66[[#This Row],[Column1]]</f>
        <v>0</v>
      </c>
    </row>
    <row r="1133" spans="1:22" ht="16.5" thickBot="1">
      <c r="A1133" s="227"/>
      <c r="B1133" s="227"/>
      <c r="C1133" s="227"/>
      <c r="D1133" s="320"/>
      <c r="E1133" s="231"/>
      <c r="F1133" s="190"/>
      <c r="G11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3" s="190"/>
      <c r="I11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3" s="190"/>
      <c r="K11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3" s="190"/>
      <c r="M11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3" s="190"/>
      <c r="O11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3" s="190"/>
      <c r="Q11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3" s="192">
        <f ca="1">Table66[[#This Row],[Year 1 (Specified in RFO) - N/A]]+Table66[[#This Row],[Year 2 (Specified in RFO) - N/A]]+Table66[[#This Row],[Year 3 (Specified in RFO) - N/A]]+Table66[[#This Row],[Year 4 (Specified in RFO) - N/A]]+Table66[[#This Row],[Year 5 (Specified in RFO) - N/A]]+Table66[[#This Row],[Year 6 (Specified in RFO) - N/A]]</f>
        <v>0</v>
      </c>
      <c r="S1133" s="402">
        <f ca="1">Table66[[#This Row],[Year 1  (Proposed)]]+Table66[[#This Row],[Year 2 (Proposed)]]+Table66[[#This Row],[Year 3 (Proposed)]]+Table66[[#This Row],[Year 4 (Proposed)]]+Table66[[#This Row],[Year 5 (Proposed)]]+Table66[[#This Row],[Year 6 (Proposed)]]</f>
        <v>0</v>
      </c>
      <c r="T1133" s="403" t="b">
        <f ca="1">Table66[[#This Row],[Total Specifed in RFO - N/A]]=Table66[[#This Row],[Total Proposed]]</f>
        <v>1</v>
      </c>
      <c r="U1133" s="439"/>
      <c r="V1133" s="441">
        <f ca="1">Table66[[#This Row],[Year 6 (Specified in RFO) - N/A]]-Table66[[#This Row],[Column1]]</f>
        <v>0</v>
      </c>
    </row>
    <row r="1134" spans="1:22" ht="16.5" thickBot="1">
      <c r="A1134" s="227"/>
      <c r="B1134" s="319"/>
      <c r="C1134" s="319"/>
      <c r="D1134" s="320"/>
      <c r="E1134" s="320"/>
      <c r="F1134" s="190"/>
      <c r="G11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4" s="190"/>
      <c r="I11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4" s="190"/>
      <c r="K11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4" s="190"/>
      <c r="M11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4" s="190"/>
      <c r="O11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4" s="190"/>
      <c r="Q11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4" s="192">
        <f ca="1">Table66[[#This Row],[Year 1 (Specified in RFO) - N/A]]+Table66[[#This Row],[Year 2 (Specified in RFO) - N/A]]+Table66[[#This Row],[Year 3 (Specified in RFO) - N/A]]+Table66[[#This Row],[Year 4 (Specified in RFO) - N/A]]+Table66[[#This Row],[Year 5 (Specified in RFO) - N/A]]+Table66[[#This Row],[Year 6 (Specified in RFO) - N/A]]</f>
        <v>0</v>
      </c>
      <c r="S1134" s="402">
        <f ca="1">Table66[[#This Row],[Year 1  (Proposed)]]+Table66[[#This Row],[Year 2 (Proposed)]]+Table66[[#This Row],[Year 3 (Proposed)]]+Table66[[#This Row],[Year 4 (Proposed)]]+Table66[[#This Row],[Year 5 (Proposed)]]+Table66[[#This Row],[Year 6 (Proposed)]]</f>
        <v>0</v>
      </c>
      <c r="T1134" s="403" t="b">
        <f ca="1">Table66[[#This Row],[Total Specifed in RFO - N/A]]=Table66[[#This Row],[Total Proposed]]</f>
        <v>1</v>
      </c>
      <c r="U1134" s="439"/>
      <c r="V1134" s="441">
        <f ca="1">Table66[[#This Row],[Year 6 (Specified in RFO) - N/A]]-Table66[[#This Row],[Column1]]</f>
        <v>0</v>
      </c>
    </row>
    <row r="1135" spans="1:22" ht="16.5" thickBot="1">
      <c r="A1135" s="227"/>
      <c r="B1135" s="319"/>
      <c r="C1135" s="319"/>
      <c r="D1135" s="320"/>
      <c r="E1135" s="320"/>
      <c r="F1135" s="190"/>
      <c r="G11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5" s="190"/>
      <c r="I11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5" s="190"/>
      <c r="K11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5" s="190"/>
      <c r="M11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5" s="190"/>
      <c r="O11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5" s="190"/>
      <c r="Q11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5" s="192">
        <f ca="1">Table66[[#This Row],[Year 1 (Specified in RFO) - N/A]]+Table66[[#This Row],[Year 2 (Specified in RFO) - N/A]]+Table66[[#This Row],[Year 3 (Specified in RFO) - N/A]]+Table66[[#This Row],[Year 4 (Specified in RFO) - N/A]]+Table66[[#This Row],[Year 5 (Specified in RFO) - N/A]]+Table66[[#This Row],[Year 6 (Specified in RFO) - N/A]]</f>
        <v>0</v>
      </c>
      <c r="S1135" s="402">
        <f ca="1">Table66[[#This Row],[Year 1  (Proposed)]]+Table66[[#This Row],[Year 2 (Proposed)]]+Table66[[#This Row],[Year 3 (Proposed)]]+Table66[[#This Row],[Year 4 (Proposed)]]+Table66[[#This Row],[Year 5 (Proposed)]]+Table66[[#This Row],[Year 6 (Proposed)]]</f>
        <v>0</v>
      </c>
      <c r="T1135" s="403" t="b">
        <f ca="1">Table66[[#This Row],[Total Specifed in RFO - N/A]]=Table66[[#This Row],[Total Proposed]]</f>
        <v>1</v>
      </c>
      <c r="U1135" s="439"/>
      <c r="V1135" s="441">
        <f ca="1">Table66[[#This Row],[Year 6 (Specified in RFO) - N/A]]-Table66[[#This Row],[Column1]]</f>
        <v>0</v>
      </c>
    </row>
    <row r="1136" spans="1:22" ht="16.5" thickBot="1">
      <c r="A1136" s="227"/>
      <c r="B1136" s="319"/>
      <c r="C1136" s="319"/>
      <c r="D1136" s="320"/>
      <c r="E1136" s="320"/>
      <c r="F1136" s="190"/>
      <c r="G11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6" s="190"/>
      <c r="I11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6" s="190"/>
      <c r="K11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6" s="190"/>
      <c r="M11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6" s="190"/>
      <c r="O11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6" s="190"/>
      <c r="Q11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6" s="192">
        <f ca="1">Table66[[#This Row],[Year 1 (Specified in RFO) - N/A]]+Table66[[#This Row],[Year 2 (Specified in RFO) - N/A]]+Table66[[#This Row],[Year 3 (Specified in RFO) - N/A]]+Table66[[#This Row],[Year 4 (Specified in RFO) - N/A]]+Table66[[#This Row],[Year 5 (Specified in RFO) - N/A]]+Table66[[#This Row],[Year 6 (Specified in RFO) - N/A]]</f>
        <v>0</v>
      </c>
      <c r="S1136" s="402">
        <f ca="1">Table66[[#This Row],[Year 1  (Proposed)]]+Table66[[#This Row],[Year 2 (Proposed)]]+Table66[[#This Row],[Year 3 (Proposed)]]+Table66[[#This Row],[Year 4 (Proposed)]]+Table66[[#This Row],[Year 5 (Proposed)]]+Table66[[#This Row],[Year 6 (Proposed)]]</f>
        <v>0</v>
      </c>
      <c r="T1136" s="403" t="b">
        <f ca="1">Table66[[#This Row],[Total Specifed in RFO - N/A]]=Table66[[#This Row],[Total Proposed]]</f>
        <v>1</v>
      </c>
      <c r="U1136" s="439"/>
      <c r="V1136" s="441">
        <f ca="1">Table66[[#This Row],[Year 6 (Specified in RFO) - N/A]]-Table66[[#This Row],[Column1]]</f>
        <v>0</v>
      </c>
    </row>
    <row r="1137" spans="1:22" ht="16.5" thickBot="1">
      <c r="A1137" s="227"/>
      <c r="B1137" s="319"/>
      <c r="C1137" s="319"/>
      <c r="D1137" s="320"/>
      <c r="E1137" s="320"/>
      <c r="F1137" s="190"/>
      <c r="G11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7" s="190"/>
      <c r="I11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7" s="190"/>
      <c r="K11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7" s="190"/>
      <c r="M11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7" s="190"/>
      <c r="O11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7" s="190"/>
      <c r="Q11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7" s="192">
        <f ca="1">Table66[[#This Row],[Year 1 (Specified in RFO) - N/A]]+Table66[[#This Row],[Year 2 (Specified in RFO) - N/A]]+Table66[[#This Row],[Year 3 (Specified in RFO) - N/A]]+Table66[[#This Row],[Year 4 (Specified in RFO) - N/A]]+Table66[[#This Row],[Year 5 (Specified in RFO) - N/A]]+Table66[[#This Row],[Year 6 (Specified in RFO) - N/A]]</f>
        <v>0</v>
      </c>
      <c r="S1137" s="402">
        <f ca="1">Table66[[#This Row],[Year 1  (Proposed)]]+Table66[[#This Row],[Year 2 (Proposed)]]+Table66[[#This Row],[Year 3 (Proposed)]]+Table66[[#This Row],[Year 4 (Proposed)]]+Table66[[#This Row],[Year 5 (Proposed)]]+Table66[[#This Row],[Year 6 (Proposed)]]</f>
        <v>0</v>
      </c>
      <c r="T1137" s="403" t="b">
        <f ca="1">Table66[[#This Row],[Total Specifed in RFO - N/A]]=Table66[[#This Row],[Total Proposed]]</f>
        <v>1</v>
      </c>
      <c r="U1137" s="439"/>
      <c r="V1137" s="441">
        <f ca="1">Table66[[#This Row],[Year 6 (Specified in RFO) - N/A]]-Table66[[#This Row],[Column1]]</f>
        <v>0</v>
      </c>
    </row>
    <row r="1138" spans="1:22" ht="16.5" thickBot="1">
      <c r="A1138" s="227"/>
      <c r="B1138" s="319"/>
      <c r="C1138" s="319"/>
      <c r="D1138" s="320"/>
      <c r="E1138" s="320"/>
      <c r="F1138" s="190"/>
      <c r="G11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8" s="190"/>
      <c r="I11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8" s="190"/>
      <c r="K11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8" s="190"/>
      <c r="M11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8" s="190"/>
      <c r="O11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8" s="190"/>
      <c r="Q11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8" s="192">
        <f ca="1">Table66[[#This Row],[Year 1 (Specified in RFO) - N/A]]+Table66[[#This Row],[Year 2 (Specified in RFO) - N/A]]+Table66[[#This Row],[Year 3 (Specified in RFO) - N/A]]+Table66[[#This Row],[Year 4 (Specified in RFO) - N/A]]+Table66[[#This Row],[Year 5 (Specified in RFO) - N/A]]+Table66[[#This Row],[Year 6 (Specified in RFO) - N/A]]</f>
        <v>0</v>
      </c>
      <c r="S1138" s="402">
        <f ca="1">Table66[[#This Row],[Year 1  (Proposed)]]+Table66[[#This Row],[Year 2 (Proposed)]]+Table66[[#This Row],[Year 3 (Proposed)]]+Table66[[#This Row],[Year 4 (Proposed)]]+Table66[[#This Row],[Year 5 (Proposed)]]+Table66[[#This Row],[Year 6 (Proposed)]]</f>
        <v>0</v>
      </c>
      <c r="T1138" s="403" t="b">
        <f ca="1">Table66[[#This Row],[Total Specifed in RFO - N/A]]=Table66[[#This Row],[Total Proposed]]</f>
        <v>1</v>
      </c>
      <c r="U1138" s="439"/>
      <c r="V1138" s="441">
        <f ca="1">Table66[[#This Row],[Year 6 (Specified in RFO) - N/A]]-Table66[[#This Row],[Column1]]</f>
        <v>0</v>
      </c>
    </row>
    <row r="1139" spans="1:22" ht="16.5" thickBot="1">
      <c r="A1139" s="227"/>
      <c r="B1139" s="319"/>
      <c r="C1139" s="319"/>
      <c r="D1139" s="320"/>
      <c r="E1139" s="320"/>
      <c r="F1139" s="190"/>
      <c r="G11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9" s="190"/>
      <c r="I11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9" s="190"/>
      <c r="K11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9" s="190"/>
      <c r="M11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9" s="190"/>
      <c r="O11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9" s="190"/>
      <c r="Q11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9" s="192">
        <f ca="1">Table66[[#This Row],[Year 1 (Specified in RFO) - N/A]]+Table66[[#This Row],[Year 2 (Specified in RFO) - N/A]]+Table66[[#This Row],[Year 3 (Specified in RFO) - N/A]]+Table66[[#This Row],[Year 4 (Specified in RFO) - N/A]]+Table66[[#This Row],[Year 5 (Specified in RFO) - N/A]]+Table66[[#This Row],[Year 6 (Specified in RFO) - N/A]]</f>
        <v>0</v>
      </c>
      <c r="S1139" s="402">
        <f ca="1">Table66[[#This Row],[Year 1  (Proposed)]]+Table66[[#This Row],[Year 2 (Proposed)]]+Table66[[#This Row],[Year 3 (Proposed)]]+Table66[[#This Row],[Year 4 (Proposed)]]+Table66[[#This Row],[Year 5 (Proposed)]]+Table66[[#This Row],[Year 6 (Proposed)]]</f>
        <v>0</v>
      </c>
      <c r="T1139" s="403" t="b">
        <f ca="1">Table66[[#This Row],[Total Specifed in RFO - N/A]]=Table66[[#This Row],[Total Proposed]]</f>
        <v>1</v>
      </c>
      <c r="U1139" s="439"/>
      <c r="V1139" s="441">
        <f ca="1">Table66[[#This Row],[Year 6 (Specified in RFO) - N/A]]-Table66[[#This Row],[Column1]]</f>
        <v>0</v>
      </c>
    </row>
    <row r="1140" spans="1:22" ht="16.5" thickBot="1">
      <c r="A1140" s="227"/>
      <c r="B1140" s="319"/>
      <c r="C1140" s="319"/>
      <c r="D1140" s="320"/>
      <c r="E1140" s="320"/>
      <c r="F1140" s="190"/>
      <c r="G11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0" s="190"/>
      <c r="I11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0" s="190"/>
      <c r="K11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0" s="190"/>
      <c r="M11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0" s="190"/>
      <c r="O11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0" s="190"/>
      <c r="Q11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0" s="192">
        <f ca="1">Table66[[#This Row],[Year 1 (Specified in RFO) - N/A]]+Table66[[#This Row],[Year 2 (Specified in RFO) - N/A]]+Table66[[#This Row],[Year 3 (Specified in RFO) - N/A]]+Table66[[#This Row],[Year 4 (Specified in RFO) - N/A]]+Table66[[#This Row],[Year 5 (Specified in RFO) - N/A]]+Table66[[#This Row],[Year 6 (Specified in RFO) - N/A]]</f>
        <v>0</v>
      </c>
      <c r="S1140" s="402">
        <f ca="1">Table66[[#This Row],[Year 1  (Proposed)]]+Table66[[#This Row],[Year 2 (Proposed)]]+Table66[[#This Row],[Year 3 (Proposed)]]+Table66[[#This Row],[Year 4 (Proposed)]]+Table66[[#This Row],[Year 5 (Proposed)]]+Table66[[#This Row],[Year 6 (Proposed)]]</f>
        <v>0</v>
      </c>
      <c r="T1140" s="403" t="b">
        <f ca="1">Table66[[#This Row],[Total Specifed in RFO - N/A]]=Table66[[#This Row],[Total Proposed]]</f>
        <v>1</v>
      </c>
      <c r="U1140" s="439"/>
      <c r="V1140" s="441">
        <f ca="1">Table66[[#This Row],[Year 6 (Specified in RFO) - N/A]]-Table66[[#This Row],[Column1]]</f>
        <v>0</v>
      </c>
    </row>
    <row r="1141" spans="1:22" ht="16.5" thickBot="1">
      <c r="A1141" s="227"/>
      <c r="B1141" s="319"/>
      <c r="C1141" s="319"/>
      <c r="D1141" s="320"/>
      <c r="E1141" s="320"/>
      <c r="F1141" s="190"/>
      <c r="G11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1" s="190"/>
      <c r="I11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1" s="190"/>
      <c r="K11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1" s="190"/>
      <c r="M11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1" s="190"/>
      <c r="O11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1" s="190"/>
      <c r="Q11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1" s="192">
        <f ca="1">Table66[[#This Row],[Year 1 (Specified in RFO) - N/A]]+Table66[[#This Row],[Year 2 (Specified in RFO) - N/A]]+Table66[[#This Row],[Year 3 (Specified in RFO) - N/A]]+Table66[[#This Row],[Year 4 (Specified in RFO) - N/A]]+Table66[[#This Row],[Year 5 (Specified in RFO) - N/A]]+Table66[[#This Row],[Year 6 (Specified in RFO) - N/A]]</f>
        <v>0</v>
      </c>
      <c r="S1141" s="402">
        <f ca="1">Table66[[#This Row],[Year 1  (Proposed)]]+Table66[[#This Row],[Year 2 (Proposed)]]+Table66[[#This Row],[Year 3 (Proposed)]]+Table66[[#This Row],[Year 4 (Proposed)]]+Table66[[#This Row],[Year 5 (Proposed)]]+Table66[[#This Row],[Year 6 (Proposed)]]</f>
        <v>0</v>
      </c>
      <c r="T1141" s="403" t="b">
        <f ca="1">Table66[[#This Row],[Total Specifed in RFO - N/A]]=Table66[[#This Row],[Total Proposed]]</f>
        <v>1</v>
      </c>
      <c r="U1141" s="439"/>
      <c r="V1141" s="441">
        <f ca="1">Table66[[#This Row],[Year 6 (Specified in RFO) - N/A]]-Table66[[#This Row],[Column1]]</f>
        <v>0</v>
      </c>
    </row>
    <row r="1142" spans="1:22" ht="16.5" thickBot="1">
      <c r="A1142" s="227"/>
      <c r="B1142" s="319"/>
      <c r="C1142" s="319"/>
      <c r="D1142" s="320"/>
      <c r="E1142" s="320"/>
      <c r="F1142" s="190"/>
      <c r="G11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2" s="190"/>
      <c r="I11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2" s="190"/>
      <c r="K11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2" s="190"/>
      <c r="M11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2" s="190"/>
      <c r="O11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2" s="190"/>
      <c r="Q11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2" s="192">
        <f ca="1">Table66[[#This Row],[Year 1 (Specified in RFO) - N/A]]+Table66[[#This Row],[Year 2 (Specified in RFO) - N/A]]+Table66[[#This Row],[Year 3 (Specified in RFO) - N/A]]+Table66[[#This Row],[Year 4 (Specified in RFO) - N/A]]+Table66[[#This Row],[Year 5 (Specified in RFO) - N/A]]+Table66[[#This Row],[Year 6 (Specified in RFO) - N/A]]</f>
        <v>0</v>
      </c>
      <c r="S1142" s="402">
        <f ca="1">Table66[[#This Row],[Year 1  (Proposed)]]+Table66[[#This Row],[Year 2 (Proposed)]]+Table66[[#This Row],[Year 3 (Proposed)]]+Table66[[#This Row],[Year 4 (Proposed)]]+Table66[[#This Row],[Year 5 (Proposed)]]+Table66[[#This Row],[Year 6 (Proposed)]]</f>
        <v>0</v>
      </c>
      <c r="T1142" s="403" t="b">
        <f ca="1">Table66[[#This Row],[Total Specifed in RFO - N/A]]=Table66[[#This Row],[Total Proposed]]</f>
        <v>1</v>
      </c>
      <c r="U1142" s="439"/>
      <c r="V1142" s="441">
        <f ca="1">Table66[[#This Row],[Year 6 (Specified in RFO) - N/A]]-Table66[[#This Row],[Column1]]</f>
        <v>0</v>
      </c>
    </row>
    <row r="1143" spans="1:22" ht="16.5" thickBot="1">
      <c r="A1143" s="227"/>
      <c r="B1143" s="319"/>
      <c r="C1143" s="319"/>
      <c r="D1143" s="320"/>
      <c r="E1143" s="320"/>
      <c r="F1143" s="190"/>
      <c r="G11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3" s="190"/>
      <c r="I11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3" s="190"/>
      <c r="K11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3" s="190"/>
      <c r="M11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3" s="190"/>
      <c r="O11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3" s="190"/>
      <c r="Q11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3" s="192">
        <f ca="1">Table66[[#This Row],[Year 1 (Specified in RFO) - N/A]]+Table66[[#This Row],[Year 2 (Specified in RFO) - N/A]]+Table66[[#This Row],[Year 3 (Specified in RFO) - N/A]]+Table66[[#This Row],[Year 4 (Specified in RFO) - N/A]]+Table66[[#This Row],[Year 5 (Specified in RFO) - N/A]]+Table66[[#This Row],[Year 6 (Specified in RFO) - N/A]]</f>
        <v>0</v>
      </c>
      <c r="S1143" s="402">
        <f ca="1">Table66[[#This Row],[Year 1  (Proposed)]]+Table66[[#This Row],[Year 2 (Proposed)]]+Table66[[#This Row],[Year 3 (Proposed)]]+Table66[[#This Row],[Year 4 (Proposed)]]+Table66[[#This Row],[Year 5 (Proposed)]]+Table66[[#This Row],[Year 6 (Proposed)]]</f>
        <v>0</v>
      </c>
      <c r="T1143" s="403" t="b">
        <f ca="1">Table66[[#This Row],[Total Specifed in RFO - N/A]]=Table66[[#This Row],[Total Proposed]]</f>
        <v>1</v>
      </c>
      <c r="U1143" s="439"/>
      <c r="V1143" s="441">
        <f ca="1">Table66[[#This Row],[Year 6 (Specified in RFO) - N/A]]-Table66[[#This Row],[Column1]]</f>
        <v>0</v>
      </c>
    </row>
    <row r="1144" spans="1:22" ht="16.5" thickBot="1">
      <c r="A1144" s="227"/>
      <c r="B1144" s="319"/>
      <c r="C1144" s="319"/>
      <c r="D1144" s="320"/>
      <c r="E1144" s="320"/>
      <c r="F1144" s="190"/>
      <c r="G11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4" s="190"/>
      <c r="I11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4" s="190"/>
      <c r="K11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4" s="190"/>
      <c r="M11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4" s="190"/>
      <c r="O11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4" s="190"/>
      <c r="Q11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4" s="192">
        <f ca="1">Table66[[#This Row],[Year 1 (Specified in RFO) - N/A]]+Table66[[#This Row],[Year 2 (Specified in RFO) - N/A]]+Table66[[#This Row],[Year 3 (Specified in RFO) - N/A]]+Table66[[#This Row],[Year 4 (Specified in RFO) - N/A]]+Table66[[#This Row],[Year 5 (Specified in RFO) - N/A]]+Table66[[#This Row],[Year 6 (Specified in RFO) - N/A]]</f>
        <v>0</v>
      </c>
      <c r="S1144" s="402">
        <f ca="1">Table66[[#This Row],[Year 1  (Proposed)]]+Table66[[#This Row],[Year 2 (Proposed)]]+Table66[[#This Row],[Year 3 (Proposed)]]+Table66[[#This Row],[Year 4 (Proposed)]]+Table66[[#This Row],[Year 5 (Proposed)]]+Table66[[#This Row],[Year 6 (Proposed)]]</f>
        <v>0</v>
      </c>
      <c r="T1144" s="403" t="b">
        <f ca="1">Table66[[#This Row],[Total Specifed in RFO - N/A]]=Table66[[#This Row],[Total Proposed]]</f>
        <v>1</v>
      </c>
      <c r="U1144" s="439"/>
      <c r="V1144" s="441">
        <f ca="1">Table66[[#This Row],[Year 6 (Specified in RFO) - N/A]]-Table66[[#This Row],[Column1]]</f>
        <v>0</v>
      </c>
    </row>
    <row r="1145" spans="1:22" ht="16.5" thickBot="1">
      <c r="A1145" s="227"/>
      <c r="B1145" s="319"/>
      <c r="C1145" s="319"/>
      <c r="D1145" s="320"/>
      <c r="E1145" s="320"/>
      <c r="F1145" s="190"/>
      <c r="G11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5" s="190"/>
      <c r="I11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5" s="190"/>
      <c r="K11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5" s="190"/>
      <c r="M11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5" s="190"/>
      <c r="O11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5" s="190"/>
      <c r="Q11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5" s="192">
        <f ca="1">Table66[[#This Row],[Year 1 (Specified in RFO) - N/A]]+Table66[[#This Row],[Year 2 (Specified in RFO) - N/A]]+Table66[[#This Row],[Year 3 (Specified in RFO) - N/A]]+Table66[[#This Row],[Year 4 (Specified in RFO) - N/A]]+Table66[[#This Row],[Year 5 (Specified in RFO) - N/A]]+Table66[[#This Row],[Year 6 (Specified in RFO) - N/A]]</f>
        <v>0</v>
      </c>
      <c r="S1145" s="402">
        <f ca="1">Table66[[#This Row],[Year 1  (Proposed)]]+Table66[[#This Row],[Year 2 (Proposed)]]+Table66[[#This Row],[Year 3 (Proposed)]]+Table66[[#This Row],[Year 4 (Proposed)]]+Table66[[#This Row],[Year 5 (Proposed)]]+Table66[[#This Row],[Year 6 (Proposed)]]</f>
        <v>0</v>
      </c>
      <c r="T1145" s="403" t="b">
        <f ca="1">Table66[[#This Row],[Total Specifed in RFO - N/A]]=Table66[[#This Row],[Total Proposed]]</f>
        <v>1</v>
      </c>
      <c r="U1145" s="439"/>
      <c r="V1145" s="441">
        <f ca="1">Table66[[#This Row],[Year 6 (Specified in RFO) - N/A]]-Table66[[#This Row],[Column1]]</f>
        <v>0</v>
      </c>
    </row>
    <row r="1146" spans="1:22" ht="16.5" thickBot="1">
      <c r="A1146" s="227"/>
      <c r="B1146" s="319"/>
      <c r="C1146" s="319"/>
      <c r="D1146" s="320"/>
      <c r="E1146" s="320"/>
      <c r="F1146" s="190"/>
      <c r="G11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6" s="190"/>
      <c r="I11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6" s="190"/>
      <c r="K11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6" s="190"/>
      <c r="M11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6" s="190"/>
      <c r="O11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6" s="190"/>
      <c r="Q11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6" s="192">
        <f ca="1">Table66[[#This Row],[Year 1 (Specified in RFO) - N/A]]+Table66[[#This Row],[Year 2 (Specified in RFO) - N/A]]+Table66[[#This Row],[Year 3 (Specified in RFO) - N/A]]+Table66[[#This Row],[Year 4 (Specified in RFO) - N/A]]+Table66[[#This Row],[Year 5 (Specified in RFO) - N/A]]+Table66[[#This Row],[Year 6 (Specified in RFO) - N/A]]</f>
        <v>0</v>
      </c>
      <c r="S1146" s="402">
        <f ca="1">Table66[[#This Row],[Year 1  (Proposed)]]+Table66[[#This Row],[Year 2 (Proposed)]]+Table66[[#This Row],[Year 3 (Proposed)]]+Table66[[#This Row],[Year 4 (Proposed)]]+Table66[[#This Row],[Year 5 (Proposed)]]+Table66[[#This Row],[Year 6 (Proposed)]]</f>
        <v>0</v>
      </c>
      <c r="T1146" s="403" t="b">
        <f ca="1">Table66[[#This Row],[Total Specifed in RFO - N/A]]=Table66[[#This Row],[Total Proposed]]</f>
        <v>1</v>
      </c>
      <c r="U1146" s="439"/>
      <c r="V1146" s="441">
        <f ca="1">Table66[[#This Row],[Year 6 (Specified in RFO) - N/A]]-Table66[[#This Row],[Column1]]</f>
        <v>0</v>
      </c>
    </row>
    <row r="1147" spans="1:22" ht="16.5" thickBot="1">
      <c r="A1147" s="227"/>
      <c r="B1147" s="319"/>
      <c r="C1147" s="319"/>
      <c r="D1147" s="320"/>
      <c r="E1147" s="320"/>
      <c r="F1147" s="190"/>
      <c r="G11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7" s="190"/>
      <c r="I11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7" s="190"/>
      <c r="K11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7" s="190"/>
      <c r="M11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7" s="190"/>
      <c r="O11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7" s="190"/>
      <c r="Q11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7" s="192">
        <f ca="1">Table66[[#This Row],[Year 1 (Specified in RFO) - N/A]]+Table66[[#This Row],[Year 2 (Specified in RFO) - N/A]]+Table66[[#This Row],[Year 3 (Specified in RFO) - N/A]]+Table66[[#This Row],[Year 4 (Specified in RFO) - N/A]]+Table66[[#This Row],[Year 5 (Specified in RFO) - N/A]]+Table66[[#This Row],[Year 6 (Specified in RFO) - N/A]]</f>
        <v>0</v>
      </c>
      <c r="S1147" s="402">
        <f ca="1">Table66[[#This Row],[Year 1  (Proposed)]]+Table66[[#This Row],[Year 2 (Proposed)]]+Table66[[#This Row],[Year 3 (Proposed)]]+Table66[[#This Row],[Year 4 (Proposed)]]+Table66[[#This Row],[Year 5 (Proposed)]]+Table66[[#This Row],[Year 6 (Proposed)]]</f>
        <v>0</v>
      </c>
      <c r="T1147" s="403" t="b">
        <f ca="1">Table66[[#This Row],[Total Specifed in RFO - N/A]]=Table66[[#This Row],[Total Proposed]]</f>
        <v>1</v>
      </c>
      <c r="U1147" s="439"/>
      <c r="V1147" s="441">
        <f ca="1">Table66[[#This Row],[Year 6 (Specified in RFO) - N/A]]-Table66[[#This Row],[Column1]]</f>
        <v>0</v>
      </c>
    </row>
    <row r="1148" spans="1:22" ht="16.5" thickBot="1">
      <c r="A1148" s="227"/>
      <c r="B1148" s="319"/>
      <c r="C1148" s="319"/>
      <c r="D1148" s="320"/>
      <c r="E1148" s="320"/>
      <c r="F1148" s="190"/>
      <c r="G11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8" s="190"/>
      <c r="I11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8" s="190"/>
      <c r="K11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8" s="190"/>
      <c r="M11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8" s="190"/>
      <c r="O11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8" s="190"/>
      <c r="Q11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8" s="192">
        <f ca="1">Table66[[#This Row],[Year 1 (Specified in RFO) - N/A]]+Table66[[#This Row],[Year 2 (Specified in RFO) - N/A]]+Table66[[#This Row],[Year 3 (Specified in RFO) - N/A]]+Table66[[#This Row],[Year 4 (Specified in RFO) - N/A]]+Table66[[#This Row],[Year 5 (Specified in RFO) - N/A]]+Table66[[#This Row],[Year 6 (Specified in RFO) - N/A]]</f>
        <v>0</v>
      </c>
      <c r="S1148" s="402">
        <f ca="1">Table66[[#This Row],[Year 1  (Proposed)]]+Table66[[#This Row],[Year 2 (Proposed)]]+Table66[[#This Row],[Year 3 (Proposed)]]+Table66[[#This Row],[Year 4 (Proposed)]]+Table66[[#This Row],[Year 5 (Proposed)]]+Table66[[#This Row],[Year 6 (Proposed)]]</f>
        <v>0</v>
      </c>
      <c r="T1148" s="403" t="b">
        <f ca="1">Table66[[#This Row],[Total Specifed in RFO - N/A]]=Table66[[#This Row],[Total Proposed]]</f>
        <v>1</v>
      </c>
      <c r="U1148" s="439"/>
      <c r="V1148" s="441">
        <f ca="1">Table66[[#This Row],[Year 6 (Specified in RFO) - N/A]]-Table66[[#This Row],[Column1]]</f>
        <v>0</v>
      </c>
    </row>
    <row r="1149" spans="1:22" ht="16.5" thickBot="1">
      <c r="A1149" s="227"/>
      <c r="B1149" s="319"/>
      <c r="C1149" s="319"/>
      <c r="D1149" s="320"/>
      <c r="E1149" s="320"/>
      <c r="F1149" s="190"/>
      <c r="G11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9" s="190"/>
      <c r="I11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9" s="190"/>
      <c r="K11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9" s="190"/>
      <c r="M11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9" s="190"/>
      <c r="O11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9" s="190"/>
      <c r="Q11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9" s="192">
        <f ca="1">Table66[[#This Row],[Year 1 (Specified in RFO) - N/A]]+Table66[[#This Row],[Year 2 (Specified in RFO) - N/A]]+Table66[[#This Row],[Year 3 (Specified in RFO) - N/A]]+Table66[[#This Row],[Year 4 (Specified in RFO) - N/A]]+Table66[[#This Row],[Year 5 (Specified in RFO) - N/A]]+Table66[[#This Row],[Year 6 (Specified in RFO) - N/A]]</f>
        <v>0</v>
      </c>
      <c r="S1149" s="402">
        <f ca="1">Table66[[#This Row],[Year 1  (Proposed)]]+Table66[[#This Row],[Year 2 (Proposed)]]+Table66[[#This Row],[Year 3 (Proposed)]]+Table66[[#This Row],[Year 4 (Proposed)]]+Table66[[#This Row],[Year 5 (Proposed)]]+Table66[[#This Row],[Year 6 (Proposed)]]</f>
        <v>0</v>
      </c>
      <c r="T1149" s="403" t="b">
        <f ca="1">Table66[[#This Row],[Total Specifed in RFO - N/A]]=Table66[[#This Row],[Total Proposed]]</f>
        <v>1</v>
      </c>
      <c r="U1149" s="439"/>
      <c r="V1149" s="441">
        <f ca="1">Table66[[#This Row],[Year 6 (Specified in RFO) - N/A]]-Table66[[#This Row],[Column1]]</f>
        <v>0</v>
      </c>
    </row>
    <row r="1150" spans="1:22" ht="16.5" thickBot="1">
      <c r="A1150" s="227"/>
      <c r="B1150" s="319"/>
      <c r="C1150" s="319"/>
      <c r="D1150" s="320"/>
      <c r="E1150" s="320"/>
      <c r="F1150" s="190"/>
      <c r="G11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0" s="190"/>
      <c r="I11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0" s="190"/>
      <c r="K11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0" s="190"/>
      <c r="M11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0" s="190"/>
      <c r="O11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0" s="190"/>
      <c r="Q11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0" s="192">
        <f ca="1">Table66[[#This Row],[Year 1 (Specified in RFO) - N/A]]+Table66[[#This Row],[Year 2 (Specified in RFO) - N/A]]+Table66[[#This Row],[Year 3 (Specified in RFO) - N/A]]+Table66[[#This Row],[Year 4 (Specified in RFO) - N/A]]+Table66[[#This Row],[Year 5 (Specified in RFO) - N/A]]+Table66[[#This Row],[Year 6 (Specified in RFO) - N/A]]</f>
        <v>0</v>
      </c>
      <c r="S1150" s="402">
        <f ca="1">Table66[[#This Row],[Year 1  (Proposed)]]+Table66[[#This Row],[Year 2 (Proposed)]]+Table66[[#This Row],[Year 3 (Proposed)]]+Table66[[#This Row],[Year 4 (Proposed)]]+Table66[[#This Row],[Year 5 (Proposed)]]+Table66[[#This Row],[Year 6 (Proposed)]]</f>
        <v>0</v>
      </c>
      <c r="T1150" s="403" t="b">
        <f ca="1">Table66[[#This Row],[Total Specifed in RFO - N/A]]=Table66[[#This Row],[Total Proposed]]</f>
        <v>1</v>
      </c>
      <c r="U1150" s="439"/>
      <c r="V1150" s="441">
        <f ca="1">Table66[[#This Row],[Year 6 (Specified in RFO) - N/A]]-Table66[[#This Row],[Column1]]</f>
        <v>0</v>
      </c>
    </row>
    <row r="1151" spans="1:22" ht="16.5" thickBot="1">
      <c r="A1151" s="227"/>
      <c r="B1151" s="319"/>
      <c r="C1151" s="319"/>
      <c r="D1151" s="320"/>
      <c r="E1151" s="320"/>
      <c r="F1151" s="190"/>
      <c r="G11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1" s="190"/>
      <c r="I11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1" s="190"/>
      <c r="K11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1" s="190"/>
      <c r="M11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1" s="190"/>
      <c r="O11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1" s="190"/>
      <c r="Q11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1" s="192">
        <f ca="1">Table66[[#This Row],[Year 1 (Specified in RFO) - N/A]]+Table66[[#This Row],[Year 2 (Specified in RFO) - N/A]]+Table66[[#This Row],[Year 3 (Specified in RFO) - N/A]]+Table66[[#This Row],[Year 4 (Specified in RFO) - N/A]]+Table66[[#This Row],[Year 5 (Specified in RFO) - N/A]]+Table66[[#This Row],[Year 6 (Specified in RFO) - N/A]]</f>
        <v>0</v>
      </c>
      <c r="S1151" s="402">
        <f ca="1">Table66[[#This Row],[Year 1  (Proposed)]]+Table66[[#This Row],[Year 2 (Proposed)]]+Table66[[#This Row],[Year 3 (Proposed)]]+Table66[[#This Row],[Year 4 (Proposed)]]+Table66[[#This Row],[Year 5 (Proposed)]]+Table66[[#This Row],[Year 6 (Proposed)]]</f>
        <v>0</v>
      </c>
      <c r="T1151" s="403" t="b">
        <f ca="1">Table66[[#This Row],[Total Specifed in RFO - N/A]]=Table66[[#This Row],[Total Proposed]]</f>
        <v>1</v>
      </c>
      <c r="U1151" s="439"/>
      <c r="V1151" s="441">
        <f ca="1">Table66[[#This Row],[Year 6 (Specified in RFO) - N/A]]-Table66[[#This Row],[Column1]]</f>
        <v>0</v>
      </c>
    </row>
    <row r="1152" spans="1:22" ht="16.5" thickBot="1">
      <c r="A1152" s="227"/>
      <c r="B1152" s="319"/>
      <c r="C1152" s="319"/>
      <c r="D1152" s="320"/>
      <c r="E1152" s="320"/>
      <c r="F1152" s="190"/>
      <c r="G11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2" s="190"/>
      <c r="I11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2" s="190"/>
      <c r="K11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2" s="190"/>
      <c r="M11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2" s="190"/>
      <c r="O11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2" s="190"/>
      <c r="Q11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2" s="192">
        <f ca="1">Table66[[#This Row],[Year 1 (Specified in RFO) - N/A]]+Table66[[#This Row],[Year 2 (Specified in RFO) - N/A]]+Table66[[#This Row],[Year 3 (Specified in RFO) - N/A]]+Table66[[#This Row],[Year 4 (Specified in RFO) - N/A]]+Table66[[#This Row],[Year 5 (Specified in RFO) - N/A]]+Table66[[#This Row],[Year 6 (Specified in RFO) - N/A]]</f>
        <v>0</v>
      </c>
      <c r="S1152" s="402">
        <f ca="1">Table66[[#This Row],[Year 1  (Proposed)]]+Table66[[#This Row],[Year 2 (Proposed)]]+Table66[[#This Row],[Year 3 (Proposed)]]+Table66[[#This Row],[Year 4 (Proposed)]]+Table66[[#This Row],[Year 5 (Proposed)]]+Table66[[#This Row],[Year 6 (Proposed)]]</f>
        <v>0</v>
      </c>
      <c r="T1152" s="403" t="b">
        <f ca="1">Table66[[#This Row],[Total Specifed in RFO - N/A]]=Table66[[#This Row],[Total Proposed]]</f>
        <v>1</v>
      </c>
      <c r="U1152" s="439"/>
      <c r="V1152" s="441">
        <f ca="1">Table66[[#This Row],[Year 6 (Specified in RFO) - N/A]]-Table66[[#This Row],[Column1]]</f>
        <v>0</v>
      </c>
    </row>
    <row r="1153" spans="1:22" ht="16.5" thickBot="1">
      <c r="A1153" s="227"/>
      <c r="B1153" s="319"/>
      <c r="C1153" s="319"/>
      <c r="D1153" s="320"/>
      <c r="E1153" s="320"/>
      <c r="F1153" s="190"/>
      <c r="G11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3" s="190"/>
      <c r="I11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3" s="190"/>
      <c r="K11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3" s="190"/>
      <c r="M11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3" s="190"/>
      <c r="O11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3" s="190"/>
      <c r="Q11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3" s="192">
        <f ca="1">Table66[[#This Row],[Year 1 (Specified in RFO) - N/A]]+Table66[[#This Row],[Year 2 (Specified in RFO) - N/A]]+Table66[[#This Row],[Year 3 (Specified in RFO) - N/A]]+Table66[[#This Row],[Year 4 (Specified in RFO) - N/A]]+Table66[[#This Row],[Year 5 (Specified in RFO) - N/A]]+Table66[[#This Row],[Year 6 (Specified in RFO) - N/A]]</f>
        <v>0</v>
      </c>
      <c r="S1153" s="402">
        <f ca="1">Table66[[#This Row],[Year 1  (Proposed)]]+Table66[[#This Row],[Year 2 (Proposed)]]+Table66[[#This Row],[Year 3 (Proposed)]]+Table66[[#This Row],[Year 4 (Proposed)]]+Table66[[#This Row],[Year 5 (Proposed)]]+Table66[[#This Row],[Year 6 (Proposed)]]</f>
        <v>0</v>
      </c>
      <c r="T1153" s="403" t="b">
        <f ca="1">Table66[[#This Row],[Total Specifed in RFO - N/A]]=Table66[[#This Row],[Total Proposed]]</f>
        <v>1</v>
      </c>
      <c r="U1153" s="439"/>
      <c r="V1153" s="441">
        <f ca="1">Table66[[#This Row],[Year 6 (Specified in RFO) - N/A]]-Table66[[#This Row],[Column1]]</f>
        <v>0</v>
      </c>
    </row>
    <row r="1154" spans="1:22" ht="16.5" thickBot="1">
      <c r="A1154" s="227"/>
      <c r="B1154" s="319"/>
      <c r="C1154" s="319"/>
      <c r="D1154" s="320"/>
      <c r="E1154" s="320"/>
      <c r="F1154" s="190"/>
      <c r="G11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4" s="190"/>
      <c r="I11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4" s="190"/>
      <c r="K11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4" s="190"/>
      <c r="M11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4" s="190"/>
      <c r="O11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4" s="190"/>
      <c r="Q11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4" s="192">
        <f ca="1">Table66[[#This Row],[Year 1 (Specified in RFO) - N/A]]+Table66[[#This Row],[Year 2 (Specified in RFO) - N/A]]+Table66[[#This Row],[Year 3 (Specified in RFO) - N/A]]+Table66[[#This Row],[Year 4 (Specified in RFO) - N/A]]+Table66[[#This Row],[Year 5 (Specified in RFO) - N/A]]+Table66[[#This Row],[Year 6 (Specified in RFO) - N/A]]</f>
        <v>0</v>
      </c>
      <c r="S1154" s="402">
        <f ca="1">Table66[[#This Row],[Year 1  (Proposed)]]+Table66[[#This Row],[Year 2 (Proposed)]]+Table66[[#This Row],[Year 3 (Proposed)]]+Table66[[#This Row],[Year 4 (Proposed)]]+Table66[[#This Row],[Year 5 (Proposed)]]+Table66[[#This Row],[Year 6 (Proposed)]]</f>
        <v>0</v>
      </c>
      <c r="T1154" s="403" t="b">
        <f ca="1">Table66[[#This Row],[Total Specifed in RFO - N/A]]=Table66[[#This Row],[Total Proposed]]</f>
        <v>1</v>
      </c>
      <c r="U1154" s="439"/>
      <c r="V1154" s="441">
        <f ca="1">Table66[[#This Row],[Year 6 (Specified in RFO) - N/A]]-Table66[[#This Row],[Column1]]</f>
        <v>0</v>
      </c>
    </row>
    <row r="1155" spans="1:22" ht="16.5" thickBot="1">
      <c r="A1155" s="227"/>
      <c r="B1155" s="319"/>
      <c r="C1155" s="319"/>
      <c r="D1155" s="320"/>
      <c r="E1155" s="320"/>
      <c r="F1155" s="190"/>
      <c r="G11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5" s="190"/>
      <c r="I11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5" s="190"/>
      <c r="K11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5" s="190"/>
      <c r="M11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5" s="190"/>
      <c r="O11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5" s="190"/>
      <c r="Q11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5" s="192">
        <f ca="1">Table66[[#This Row],[Year 1 (Specified in RFO) - N/A]]+Table66[[#This Row],[Year 2 (Specified in RFO) - N/A]]+Table66[[#This Row],[Year 3 (Specified in RFO) - N/A]]+Table66[[#This Row],[Year 4 (Specified in RFO) - N/A]]+Table66[[#This Row],[Year 5 (Specified in RFO) - N/A]]+Table66[[#This Row],[Year 6 (Specified in RFO) - N/A]]</f>
        <v>0</v>
      </c>
      <c r="S1155" s="402">
        <f ca="1">Table66[[#This Row],[Year 1  (Proposed)]]+Table66[[#This Row],[Year 2 (Proposed)]]+Table66[[#This Row],[Year 3 (Proposed)]]+Table66[[#This Row],[Year 4 (Proposed)]]+Table66[[#This Row],[Year 5 (Proposed)]]+Table66[[#This Row],[Year 6 (Proposed)]]</f>
        <v>0</v>
      </c>
      <c r="T1155" s="403" t="b">
        <f ca="1">Table66[[#This Row],[Total Specifed in RFO - N/A]]=Table66[[#This Row],[Total Proposed]]</f>
        <v>1</v>
      </c>
      <c r="U1155" s="439"/>
      <c r="V1155" s="441">
        <f ca="1">Table66[[#This Row],[Year 6 (Specified in RFO) - N/A]]-Table66[[#This Row],[Column1]]</f>
        <v>0</v>
      </c>
    </row>
    <row r="1156" spans="1:22" ht="16.5" thickBot="1">
      <c r="A1156" s="227"/>
      <c r="B1156" s="319"/>
      <c r="C1156" s="319"/>
      <c r="D1156" s="320"/>
      <c r="E1156" s="320"/>
      <c r="F1156" s="190"/>
      <c r="G11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6" s="190"/>
      <c r="I11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6" s="190"/>
      <c r="K11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6" s="190"/>
      <c r="M11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6" s="190"/>
      <c r="O11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6" s="190"/>
      <c r="Q11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6" s="192">
        <f ca="1">Table66[[#This Row],[Year 1 (Specified in RFO) - N/A]]+Table66[[#This Row],[Year 2 (Specified in RFO) - N/A]]+Table66[[#This Row],[Year 3 (Specified in RFO) - N/A]]+Table66[[#This Row],[Year 4 (Specified in RFO) - N/A]]+Table66[[#This Row],[Year 5 (Specified in RFO) - N/A]]+Table66[[#This Row],[Year 6 (Specified in RFO) - N/A]]</f>
        <v>0</v>
      </c>
      <c r="S1156" s="402">
        <f ca="1">Table66[[#This Row],[Year 1  (Proposed)]]+Table66[[#This Row],[Year 2 (Proposed)]]+Table66[[#This Row],[Year 3 (Proposed)]]+Table66[[#This Row],[Year 4 (Proposed)]]+Table66[[#This Row],[Year 5 (Proposed)]]+Table66[[#This Row],[Year 6 (Proposed)]]</f>
        <v>0</v>
      </c>
      <c r="T1156" s="403" t="b">
        <f ca="1">Table66[[#This Row],[Total Specifed in RFO - N/A]]=Table66[[#This Row],[Total Proposed]]</f>
        <v>1</v>
      </c>
      <c r="U1156" s="439"/>
      <c r="V1156" s="441">
        <f ca="1">Table66[[#This Row],[Year 6 (Specified in RFO) - N/A]]-Table66[[#This Row],[Column1]]</f>
        <v>0</v>
      </c>
    </row>
    <row r="1157" spans="1:22" ht="16.5" thickBot="1">
      <c r="A1157" s="227"/>
      <c r="B1157" s="319"/>
      <c r="C1157" s="319"/>
      <c r="D1157" s="320"/>
      <c r="E1157" s="320"/>
      <c r="F1157" s="190"/>
      <c r="G11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7" s="190"/>
      <c r="I11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7" s="190"/>
      <c r="K11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7" s="190"/>
      <c r="M11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7" s="190"/>
      <c r="O11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7" s="190"/>
      <c r="Q11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7" s="192">
        <f ca="1">Table66[[#This Row],[Year 1 (Specified in RFO) - N/A]]+Table66[[#This Row],[Year 2 (Specified in RFO) - N/A]]+Table66[[#This Row],[Year 3 (Specified in RFO) - N/A]]+Table66[[#This Row],[Year 4 (Specified in RFO) - N/A]]+Table66[[#This Row],[Year 5 (Specified in RFO) - N/A]]+Table66[[#This Row],[Year 6 (Specified in RFO) - N/A]]</f>
        <v>0</v>
      </c>
      <c r="S1157" s="402">
        <f ca="1">Table66[[#This Row],[Year 1  (Proposed)]]+Table66[[#This Row],[Year 2 (Proposed)]]+Table66[[#This Row],[Year 3 (Proposed)]]+Table66[[#This Row],[Year 4 (Proposed)]]+Table66[[#This Row],[Year 5 (Proposed)]]+Table66[[#This Row],[Year 6 (Proposed)]]</f>
        <v>0</v>
      </c>
      <c r="T1157" s="403" t="b">
        <f ca="1">Table66[[#This Row],[Total Specifed in RFO - N/A]]=Table66[[#This Row],[Total Proposed]]</f>
        <v>1</v>
      </c>
      <c r="U1157" s="439"/>
      <c r="V1157" s="441">
        <f ca="1">Table66[[#This Row],[Year 6 (Specified in RFO) - N/A]]-Table66[[#This Row],[Column1]]</f>
        <v>0</v>
      </c>
    </row>
    <row r="1158" spans="1:22" ht="16.5" thickBot="1">
      <c r="A1158" s="227"/>
      <c r="B1158" s="319"/>
      <c r="C1158" s="319"/>
      <c r="D1158" s="320"/>
      <c r="E1158" s="320"/>
      <c r="F1158" s="190"/>
      <c r="G11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8" s="190"/>
      <c r="I11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8" s="190"/>
      <c r="K11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8" s="190"/>
      <c r="M11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8" s="190"/>
      <c r="O11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8" s="190"/>
      <c r="Q11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8" s="192">
        <f ca="1">Table66[[#This Row],[Year 1 (Specified in RFO) - N/A]]+Table66[[#This Row],[Year 2 (Specified in RFO) - N/A]]+Table66[[#This Row],[Year 3 (Specified in RFO) - N/A]]+Table66[[#This Row],[Year 4 (Specified in RFO) - N/A]]+Table66[[#This Row],[Year 5 (Specified in RFO) - N/A]]+Table66[[#This Row],[Year 6 (Specified in RFO) - N/A]]</f>
        <v>0</v>
      </c>
      <c r="S1158" s="402">
        <f ca="1">Table66[[#This Row],[Year 1  (Proposed)]]+Table66[[#This Row],[Year 2 (Proposed)]]+Table66[[#This Row],[Year 3 (Proposed)]]+Table66[[#This Row],[Year 4 (Proposed)]]+Table66[[#This Row],[Year 5 (Proposed)]]+Table66[[#This Row],[Year 6 (Proposed)]]</f>
        <v>0</v>
      </c>
      <c r="T1158" s="403" t="b">
        <f ca="1">Table66[[#This Row],[Total Specifed in RFO - N/A]]=Table66[[#This Row],[Total Proposed]]</f>
        <v>1</v>
      </c>
      <c r="U1158" s="439"/>
      <c r="V1158" s="441">
        <f ca="1">Table66[[#This Row],[Year 6 (Specified in RFO) - N/A]]-Table66[[#This Row],[Column1]]</f>
        <v>0</v>
      </c>
    </row>
    <row r="1159" spans="1:22" ht="16.5" thickBot="1">
      <c r="A1159" s="227"/>
      <c r="B1159" s="319"/>
      <c r="C1159" s="319"/>
      <c r="D1159" s="320"/>
      <c r="E1159" s="320"/>
      <c r="F1159" s="190"/>
      <c r="G11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9" s="190"/>
      <c r="I11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9" s="190"/>
      <c r="K11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9" s="190"/>
      <c r="M11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9" s="190"/>
      <c r="O11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9" s="190"/>
      <c r="Q11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9" s="192">
        <f ca="1">Table66[[#This Row],[Year 1 (Specified in RFO) - N/A]]+Table66[[#This Row],[Year 2 (Specified in RFO) - N/A]]+Table66[[#This Row],[Year 3 (Specified in RFO) - N/A]]+Table66[[#This Row],[Year 4 (Specified in RFO) - N/A]]+Table66[[#This Row],[Year 5 (Specified in RFO) - N/A]]+Table66[[#This Row],[Year 6 (Specified in RFO) - N/A]]</f>
        <v>0</v>
      </c>
      <c r="S1159" s="402">
        <f ca="1">Table66[[#This Row],[Year 1  (Proposed)]]+Table66[[#This Row],[Year 2 (Proposed)]]+Table66[[#This Row],[Year 3 (Proposed)]]+Table66[[#This Row],[Year 4 (Proposed)]]+Table66[[#This Row],[Year 5 (Proposed)]]+Table66[[#This Row],[Year 6 (Proposed)]]</f>
        <v>0</v>
      </c>
      <c r="T1159" s="403" t="b">
        <f ca="1">Table66[[#This Row],[Total Specifed in RFO - N/A]]=Table66[[#This Row],[Total Proposed]]</f>
        <v>1</v>
      </c>
      <c r="U1159" s="439"/>
      <c r="V1159" s="441">
        <f ca="1">Table66[[#This Row],[Year 6 (Specified in RFO) - N/A]]-Table66[[#This Row],[Column1]]</f>
        <v>0</v>
      </c>
    </row>
    <row r="1160" spans="1:22" ht="16.5" thickBot="1">
      <c r="A1160" s="227"/>
      <c r="B1160" s="319"/>
      <c r="C1160" s="319"/>
      <c r="D1160" s="320"/>
      <c r="E1160" s="320"/>
      <c r="F1160" s="190"/>
      <c r="G11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0" s="190"/>
      <c r="I11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0" s="190"/>
      <c r="K11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0" s="190"/>
      <c r="M11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0" s="190"/>
      <c r="O11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0" s="190"/>
      <c r="Q11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0" s="192">
        <f ca="1">Table66[[#This Row],[Year 1 (Specified in RFO) - N/A]]+Table66[[#This Row],[Year 2 (Specified in RFO) - N/A]]+Table66[[#This Row],[Year 3 (Specified in RFO) - N/A]]+Table66[[#This Row],[Year 4 (Specified in RFO) - N/A]]+Table66[[#This Row],[Year 5 (Specified in RFO) - N/A]]+Table66[[#This Row],[Year 6 (Specified in RFO) - N/A]]</f>
        <v>0</v>
      </c>
      <c r="S1160" s="402">
        <f ca="1">Table66[[#This Row],[Year 1  (Proposed)]]+Table66[[#This Row],[Year 2 (Proposed)]]+Table66[[#This Row],[Year 3 (Proposed)]]+Table66[[#This Row],[Year 4 (Proposed)]]+Table66[[#This Row],[Year 5 (Proposed)]]+Table66[[#This Row],[Year 6 (Proposed)]]</f>
        <v>0</v>
      </c>
      <c r="T1160" s="403" t="b">
        <f ca="1">Table66[[#This Row],[Total Specifed in RFO - N/A]]=Table66[[#This Row],[Total Proposed]]</f>
        <v>1</v>
      </c>
      <c r="U1160" s="439"/>
      <c r="V1160" s="441">
        <f ca="1">Table66[[#This Row],[Year 6 (Specified in RFO) - N/A]]-Table66[[#This Row],[Column1]]</f>
        <v>0</v>
      </c>
    </row>
    <row r="1161" spans="1:22" ht="16.5" thickBot="1">
      <c r="A1161" s="227"/>
      <c r="B1161" s="319"/>
      <c r="C1161" s="319"/>
      <c r="D1161" s="320"/>
      <c r="E1161" s="320"/>
      <c r="F1161" s="190"/>
      <c r="G11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1" s="190"/>
      <c r="I11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1" s="190"/>
      <c r="K11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1" s="190"/>
      <c r="M11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1" s="190"/>
      <c r="O11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1" s="190"/>
      <c r="Q11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1" s="192">
        <f ca="1">Table66[[#This Row],[Year 1 (Specified in RFO) - N/A]]+Table66[[#This Row],[Year 2 (Specified in RFO) - N/A]]+Table66[[#This Row],[Year 3 (Specified in RFO) - N/A]]+Table66[[#This Row],[Year 4 (Specified in RFO) - N/A]]+Table66[[#This Row],[Year 5 (Specified in RFO) - N/A]]+Table66[[#This Row],[Year 6 (Specified in RFO) - N/A]]</f>
        <v>0</v>
      </c>
      <c r="S1161" s="402">
        <f ca="1">Table66[[#This Row],[Year 1  (Proposed)]]+Table66[[#This Row],[Year 2 (Proposed)]]+Table66[[#This Row],[Year 3 (Proposed)]]+Table66[[#This Row],[Year 4 (Proposed)]]+Table66[[#This Row],[Year 5 (Proposed)]]+Table66[[#This Row],[Year 6 (Proposed)]]</f>
        <v>0</v>
      </c>
      <c r="T1161" s="403" t="b">
        <f ca="1">Table66[[#This Row],[Total Specifed in RFO - N/A]]=Table66[[#This Row],[Total Proposed]]</f>
        <v>1</v>
      </c>
      <c r="U1161" s="439"/>
      <c r="V1161" s="441">
        <f ca="1">Table66[[#This Row],[Year 6 (Specified in RFO) - N/A]]-Table66[[#This Row],[Column1]]</f>
        <v>0</v>
      </c>
    </row>
    <row r="1162" spans="1:22" ht="16.5" thickBot="1">
      <c r="A1162" s="227"/>
      <c r="B1162" s="319"/>
      <c r="C1162" s="319"/>
      <c r="D1162" s="320"/>
      <c r="E1162" s="320"/>
      <c r="F1162" s="190"/>
      <c r="G11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2" s="190"/>
      <c r="I11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2" s="190"/>
      <c r="K11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2" s="190"/>
      <c r="M11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2" s="190"/>
      <c r="O11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2" s="190"/>
      <c r="Q11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2" s="192">
        <f ca="1">Table66[[#This Row],[Year 1 (Specified in RFO) - N/A]]+Table66[[#This Row],[Year 2 (Specified in RFO) - N/A]]+Table66[[#This Row],[Year 3 (Specified in RFO) - N/A]]+Table66[[#This Row],[Year 4 (Specified in RFO) - N/A]]+Table66[[#This Row],[Year 5 (Specified in RFO) - N/A]]+Table66[[#This Row],[Year 6 (Specified in RFO) - N/A]]</f>
        <v>0</v>
      </c>
      <c r="S1162" s="402">
        <f ca="1">Table66[[#This Row],[Year 1  (Proposed)]]+Table66[[#This Row],[Year 2 (Proposed)]]+Table66[[#This Row],[Year 3 (Proposed)]]+Table66[[#This Row],[Year 4 (Proposed)]]+Table66[[#This Row],[Year 5 (Proposed)]]+Table66[[#This Row],[Year 6 (Proposed)]]</f>
        <v>0</v>
      </c>
      <c r="T1162" s="403" t="b">
        <f ca="1">Table66[[#This Row],[Total Specifed in RFO - N/A]]=Table66[[#This Row],[Total Proposed]]</f>
        <v>1</v>
      </c>
      <c r="U1162" s="439"/>
      <c r="V1162" s="441">
        <f ca="1">Table66[[#This Row],[Year 6 (Specified in RFO) - N/A]]-Table66[[#This Row],[Column1]]</f>
        <v>0</v>
      </c>
    </row>
    <row r="1163" spans="1:22" ht="16.5" thickBot="1">
      <c r="A1163" s="227"/>
      <c r="B1163" s="319"/>
      <c r="C1163" s="319"/>
      <c r="D1163" s="320"/>
      <c r="E1163" s="320"/>
      <c r="F1163" s="190"/>
      <c r="G11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3" s="190"/>
      <c r="I11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3" s="190"/>
      <c r="K11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3" s="190"/>
      <c r="M11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3" s="190"/>
      <c r="O11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3" s="190"/>
      <c r="Q11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3" s="192">
        <f ca="1">Table66[[#This Row],[Year 1 (Specified in RFO) - N/A]]+Table66[[#This Row],[Year 2 (Specified in RFO) - N/A]]+Table66[[#This Row],[Year 3 (Specified in RFO) - N/A]]+Table66[[#This Row],[Year 4 (Specified in RFO) - N/A]]+Table66[[#This Row],[Year 5 (Specified in RFO) - N/A]]+Table66[[#This Row],[Year 6 (Specified in RFO) - N/A]]</f>
        <v>0</v>
      </c>
      <c r="S1163" s="402">
        <f ca="1">Table66[[#This Row],[Year 1  (Proposed)]]+Table66[[#This Row],[Year 2 (Proposed)]]+Table66[[#This Row],[Year 3 (Proposed)]]+Table66[[#This Row],[Year 4 (Proposed)]]+Table66[[#This Row],[Year 5 (Proposed)]]+Table66[[#This Row],[Year 6 (Proposed)]]</f>
        <v>0</v>
      </c>
      <c r="T1163" s="403" t="b">
        <f ca="1">Table66[[#This Row],[Total Specifed in RFO - N/A]]=Table66[[#This Row],[Total Proposed]]</f>
        <v>1</v>
      </c>
      <c r="U1163" s="439"/>
      <c r="V1163" s="441">
        <f ca="1">Table66[[#This Row],[Year 6 (Specified in RFO) - N/A]]-Table66[[#This Row],[Column1]]</f>
        <v>0</v>
      </c>
    </row>
    <row r="1164" spans="1:22" ht="16.5" thickBot="1">
      <c r="A1164" s="227"/>
      <c r="B1164" s="319"/>
      <c r="C1164" s="319"/>
      <c r="D1164" s="320"/>
      <c r="E1164" s="320"/>
      <c r="F1164" s="190"/>
      <c r="G11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4" s="190"/>
      <c r="I11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4" s="190"/>
      <c r="K11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4" s="190"/>
      <c r="M11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4" s="190"/>
      <c r="O11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4" s="190"/>
      <c r="Q11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4" s="192">
        <f ca="1">Table66[[#This Row],[Year 1 (Specified in RFO) - N/A]]+Table66[[#This Row],[Year 2 (Specified in RFO) - N/A]]+Table66[[#This Row],[Year 3 (Specified in RFO) - N/A]]+Table66[[#This Row],[Year 4 (Specified in RFO) - N/A]]+Table66[[#This Row],[Year 5 (Specified in RFO) - N/A]]+Table66[[#This Row],[Year 6 (Specified in RFO) - N/A]]</f>
        <v>0</v>
      </c>
      <c r="S1164" s="402">
        <f ca="1">Table66[[#This Row],[Year 1  (Proposed)]]+Table66[[#This Row],[Year 2 (Proposed)]]+Table66[[#This Row],[Year 3 (Proposed)]]+Table66[[#This Row],[Year 4 (Proposed)]]+Table66[[#This Row],[Year 5 (Proposed)]]+Table66[[#This Row],[Year 6 (Proposed)]]</f>
        <v>0</v>
      </c>
      <c r="T1164" s="403" t="b">
        <f ca="1">Table66[[#This Row],[Total Specifed in RFO - N/A]]=Table66[[#This Row],[Total Proposed]]</f>
        <v>1</v>
      </c>
      <c r="U1164" s="439"/>
      <c r="V1164" s="441">
        <f ca="1">Table66[[#This Row],[Year 6 (Specified in RFO) - N/A]]-Table66[[#This Row],[Column1]]</f>
        <v>0</v>
      </c>
    </row>
    <row r="1165" spans="1:22" ht="16.5" thickBot="1">
      <c r="A1165" s="227"/>
      <c r="B1165" s="319"/>
      <c r="C1165" s="319"/>
      <c r="D1165" s="320"/>
      <c r="E1165" s="320"/>
      <c r="F1165" s="190"/>
      <c r="G11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5" s="190"/>
      <c r="I11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5" s="190"/>
      <c r="K11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5" s="190"/>
      <c r="M11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5" s="190"/>
      <c r="O11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5" s="190"/>
      <c r="Q11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5" s="192">
        <f ca="1">Table66[[#This Row],[Year 1 (Specified in RFO) - N/A]]+Table66[[#This Row],[Year 2 (Specified in RFO) - N/A]]+Table66[[#This Row],[Year 3 (Specified in RFO) - N/A]]+Table66[[#This Row],[Year 4 (Specified in RFO) - N/A]]+Table66[[#This Row],[Year 5 (Specified in RFO) - N/A]]+Table66[[#This Row],[Year 6 (Specified in RFO) - N/A]]</f>
        <v>0</v>
      </c>
      <c r="S1165" s="402">
        <f ca="1">Table66[[#This Row],[Year 1  (Proposed)]]+Table66[[#This Row],[Year 2 (Proposed)]]+Table66[[#This Row],[Year 3 (Proposed)]]+Table66[[#This Row],[Year 4 (Proposed)]]+Table66[[#This Row],[Year 5 (Proposed)]]+Table66[[#This Row],[Year 6 (Proposed)]]</f>
        <v>0</v>
      </c>
      <c r="T1165" s="403" t="b">
        <f ca="1">Table66[[#This Row],[Total Specifed in RFO - N/A]]=Table66[[#This Row],[Total Proposed]]</f>
        <v>1</v>
      </c>
      <c r="U1165" s="439"/>
      <c r="V1165" s="441">
        <f ca="1">Table66[[#This Row],[Year 6 (Specified in RFO) - N/A]]-Table66[[#This Row],[Column1]]</f>
        <v>0</v>
      </c>
    </row>
    <row r="1166" spans="1:22" ht="16.5" thickBot="1">
      <c r="A1166" s="227"/>
      <c r="B1166" s="319"/>
      <c r="C1166" s="319"/>
      <c r="D1166" s="320"/>
      <c r="E1166" s="320"/>
      <c r="F1166" s="190"/>
      <c r="G11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6" s="190"/>
      <c r="I11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6" s="190"/>
      <c r="K11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6" s="190"/>
      <c r="M11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6" s="190"/>
      <c r="O11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6" s="190"/>
      <c r="Q11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6" s="192">
        <f ca="1">Table66[[#This Row],[Year 1 (Specified in RFO) - N/A]]+Table66[[#This Row],[Year 2 (Specified in RFO) - N/A]]+Table66[[#This Row],[Year 3 (Specified in RFO) - N/A]]+Table66[[#This Row],[Year 4 (Specified in RFO) - N/A]]+Table66[[#This Row],[Year 5 (Specified in RFO) - N/A]]+Table66[[#This Row],[Year 6 (Specified in RFO) - N/A]]</f>
        <v>0</v>
      </c>
      <c r="S1166" s="402">
        <f ca="1">Table66[[#This Row],[Year 1  (Proposed)]]+Table66[[#This Row],[Year 2 (Proposed)]]+Table66[[#This Row],[Year 3 (Proposed)]]+Table66[[#This Row],[Year 4 (Proposed)]]+Table66[[#This Row],[Year 5 (Proposed)]]+Table66[[#This Row],[Year 6 (Proposed)]]</f>
        <v>0</v>
      </c>
      <c r="T1166" s="403" t="b">
        <f ca="1">Table66[[#This Row],[Total Specifed in RFO - N/A]]=Table66[[#This Row],[Total Proposed]]</f>
        <v>1</v>
      </c>
      <c r="U1166" s="439"/>
      <c r="V1166" s="441">
        <f ca="1">Table66[[#This Row],[Year 6 (Specified in RFO) - N/A]]-Table66[[#This Row],[Column1]]</f>
        <v>0</v>
      </c>
    </row>
    <row r="1167" spans="1:22" ht="16.5" thickBot="1">
      <c r="A1167" s="227"/>
      <c r="B1167" s="319"/>
      <c r="C1167" s="319"/>
      <c r="D1167" s="320"/>
      <c r="E1167" s="320"/>
      <c r="F1167" s="190"/>
      <c r="G11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7" s="190"/>
      <c r="I11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7" s="190"/>
      <c r="K11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7" s="190"/>
      <c r="M11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7" s="190"/>
      <c r="O11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7" s="190"/>
      <c r="Q11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7" s="192">
        <f ca="1">Table66[[#This Row],[Year 1 (Specified in RFO) - N/A]]+Table66[[#This Row],[Year 2 (Specified in RFO) - N/A]]+Table66[[#This Row],[Year 3 (Specified in RFO) - N/A]]+Table66[[#This Row],[Year 4 (Specified in RFO) - N/A]]+Table66[[#This Row],[Year 5 (Specified in RFO) - N/A]]+Table66[[#This Row],[Year 6 (Specified in RFO) - N/A]]</f>
        <v>0</v>
      </c>
      <c r="S1167" s="402">
        <f ca="1">Table66[[#This Row],[Year 1  (Proposed)]]+Table66[[#This Row],[Year 2 (Proposed)]]+Table66[[#This Row],[Year 3 (Proposed)]]+Table66[[#This Row],[Year 4 (Proposed)]]+Table66[[#This Row],[Year 5 (Proposed)]]+Table66[[#This Row],[Year 6 (Proposed)]]</f>
        <v>0</v>
      </c>
      <c r="T1167" s="403" t="b">
        <f ca="1">Table66[[#This Row],[Total Specifed in RFO - N/A]]=Table66[[#This Row],[Total Proposed]]</f>
        <v>1</v>
      </c>
      <c r="U1167" s="439"/>
      <c r="V1167" s="441">
        <f ca="1">Table66[[#This Row],[Year 6 (Specified in RFO) - N/A]]-Table66[[#This Row],[Column1]]</f>
        <v>0</v>
      </c>
    </row>
    <row r="1168" spans="1:22" ht="16.5" thickBot="1">
      <c r="A1168" s="227"/>
      <c r="B1168" s="319"/>
      <c r="C1168" s="319"/>
      <c r="D1168" s="320"/>
      <c r="E1168" s="320"/>
      <c r="F1168" s="190"/>
      <c r="G11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8" s="190"/>
      <c r="I11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8" s="190"/>
      <c r="K11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8" s="190"/>
      <c r="M11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8" s="190"/>
      <c r="O11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8" s="190"/>
      <c r="Q11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8" s="192">
        <f ca="1">Table66[[#This Row],[Year 1 (Specified in RFO) - N/A]]+Table66[[#This Row],[Year 2 (Specified in RFO) - N/A]]+Table66[[#This Row],[Year 3 (Specified in RFO) - N/A]]+Table66[[#This Row],[Year 4 (Specified in RFO) - N/A]]+Table66[[#This Row],[Year 5 (Specified in RFO) - N/A]]+Table66[[#This Row],[Year 6 (Specified in RFO) - N/A]]</f>
        <v>0</v>
      </c>
      <c r="S1168" s="402">
        <f ca="1">Table66[[#This Row],[Year 1  (Proposed)]]+Table66[[#This Row],[Year 2 (Proposed)]]+Table66[[#This Row],[Year 3 (Proposed)]]+Table66[[#This Row],[Year 4 (Proposed)]]+Table66[[#This Row],[Year 5 (Proposed)]]+Table66[[#This Row],[Year 6 (Proposed)]]</f>
        <v>0</v>
      </c>
      <c r="T1168" s="403" t="b">
        <f ca="1">Table66[[#This Row],[Total Specifed in RFO - N/A]]=Table66[[#This Row],[Total Proposed]]</f>
        <v>1</v>
      </c>
      <c r="U1168" s="439"/>
      <c r="V1168" s="441">
        <f ca="1">Table66[[#This Row],[Year 6 (Specified in RFO) - N/A]]-Table66[[#This Row],[Column1]]</f>
        <v>0</v>
      </c>
    </row>
    <row r="1169" spans="1:22" ht="16.5" thickBot="1">
      <c r="A1169" s="227"/>
      <c r="B1169" s="319"/>
      <c r="C1169" s="319"/>
      <c r="D1169" s="320"/>
      <c r="E1169" s="320"/>
      <c r="F1169" s="190"/>
      <c r="G11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9" s="190"/>
      <c r="I11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9" s="190"/>
      <c r="K11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9" s="190"/>
      <c r="M11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9" s="190"/>
      <c r="O11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9" s="190"/>
      <c r="Q11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9" s="192">
        <f ca="1">Table66[[#This Row],[Year 1 (Specified in RFO) - N/A]]+Table66[[#This Row],[Year 2 (Specified in RFO) - N/A]]+Table66[[#This Row],[Year 3 (Specified in RFO) - N/A]]+Table66[[#This Row],[Year 4 (Specified in RFO) - N/A]]+Table66[[#This Row],[Year 5 (Specified in RFO) - N/A]]+Table66[[#This Row],[Year 6 (Specified in RFO) - N/A]]</f>
        <v>0</v>
      </c>
      <c r="S1169" s="402">
        <f ca="1">Table66[[#This Row],[Year 1  (Proposed)]]+Table66[[#This Row],[Year 2 (Proposed)]]+Table66[[#This Row],[Year 3 (Proposed)]]+Table66[[#This Row],[Year 4 (Proposed)]]+Table66[[#This Row],[Year 5 (Proposed)]]+Table66[[#This Row],[Year 6 (Proposed)]]</f>
        <v>0</v>
      </c>
      <c r="T1169" s="403" t="b">
        <f ca="1">Table66[[#This Row],[Total Specifed in RFO - N/A]]=Table66[[#This Row],[Total Proposed]]</f>
        <v>1</v>
      </c>
      <c r="U1169" s="439"/>
      <c r="V1169" s="441">
        <f ca="1">Table66[[#This Row],[Year 6 (Specified in RFO) - N/A]]-Table66[[#This Row],[Column1]]</f>
        <v>0</v>
      </c>
    </row>
    <row r="1170" spans="1:22" ht="16.5" thickBot="1">
      <c r="A1170" s="227"/>
      <c r="B1170" s="319"/>
      <c r="C1170" s="319"/>
      <c r="D1170" s="320"/>
      <c r="E1170" s="320"/>
      <c r="F1170" s="190"/>
      <c r="G11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0" s="190"/>
      <c r="I11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0" s="190"/>
      <c r="K11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0" s="190"/>
      <c r="M11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0" s="190"/>
      <c r="O11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0" s="190"/>
      <c r="Q11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0" s="192">
        <f ca="1">Table66[[#This Row],[Year 1 (Specified in RFO) - N/A]]+Table66[[#This Row],[Year 2 (Specified in RFO) - N/A]]+Table66[[#This Row],[Year 3 (Specified in RFO) - N/A]]+Table66[[#This Row],[Year 4 (Specified in RFO) - N/A]]+Table66[[#This Row],[Year 5 (Specified in RFO) - N/A]]+Table66[[#This Row],[Year 6 (Specified in RFO) - N/A]]</f>
        <v>0</v>
      </c>
      <c r="S1170" s="402">
        <f ca="1">Table66[[#This Row],[Year 1  (Proposed)]]+Table66[[#This Row],[Year 2 (Proposed)]]+Table66[[#This Row],[Year 3 (Proposed)]]+Table66[[#This Row],[Year 4 (Proposed)]]+Table66[[#This Row],[Year 5 (Proposed)]]+Table66[[#This Row],[Year 6 (Proposed)]]</f>
        <v>0</v>
      </c>
      <c r="T1170" s="403" t="b">
        <f ca="1">Table66[[#This Row],[Total Specifed in RFO - N/A]]=Table66[[#This Row],[Total Proposed]]</f>
        <v>1</v>
      </c>
      <c r="U1170" s="439"/>
      <c r="V1170" s="441">
        <f ca="1">Table66[[#This Row],[Year 6 (Specified in RFO) - N/A]]-Table66[[#This Row],[Column1]]</f>
        <v>0</v>
      </c>
    </row>
    <row r="1171" spans="1:22" ht="16.5" thickBot="1">
      <c r="A1171" s="227"/>
      <c r="B1171" s="319"/>
      <c r="C1171" s="319"/>
      <c r="D1171" s="320"/>
      <c r="E1171" s="320"/>
      <c r="F1171" s="190"/>
      <c r="G11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1" s="190"/>
      <c r="I11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1" s="190"/>
      <c r="K11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1" s="190"/>
      <c r="M11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1" s="190"/>
      <c r="O11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1" s="190"/>
      <c r="Q11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1" s="192">
        <f ca="1">Table66[[#This Row],[Year 1 (Specified in RFO) - N/A]]+Table66[[#This Row],[Year 2 (Specified in RFO) - N/A]]+Table66[[#This Row],[Year 3 (Specified in RFO) - N/A]]+Table66[[#This Row],[Year 4 (Specified in RFO) - N/A]]+Table66[[#This Row],[Year 5 (Specified in RFO) - N/A]]+Table66[[#This Row],[Year 6 (Specified in RFO) - N/A]]</f>
        <v>0</v>
      </c>
      <c r="S1171" s="402">
        <f ca="1">Table66[[#This Row],[Year 1  (Proposed)]]+Table66[[#This Row],[Year 2 (Proposed)]]+Table66[[#This Row],[Year 3 (Proposed)]]+Table66[[#This Row],[Year 4 (Proposed)]]+Table66[[#This Row],[Year 5 (Proposed)]]+Table66[[#This Row],[Year 6 (Proposed)]]</f>
        <v>0</v>
      </c>
      <c r="T1171" s="403" t="b">
        <f ca="1">Table66[[#This Row],[Total Specifed in RFO - N/A]]=Table66[[#This Row],[Total Proposed]]</f>
        <v>1</v>
      </c>
      <c r="U1171" s="439"/>
      <c r="V1171" s="441">
        <f ca="1">Table66[[#This Row],[Year 6 (Specified in RFO) - N/A]]-Table66[[#This Row],[Column1]]</f>
        <v>0</v>
      </c>
    </row>
    <row r="1172" spans="1:22" ht="16.5" thickBot="1">
      <c r="A1172" s="227"/>
      <c r="B1172" s="319"/>
      <c r="C1172" s="319"/>
      <c r="D1172" s="320"/>
      <c r="E1172" s="320"/>
      <c r="F1172" s="190"/>
      <c r="G11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2" s="190"/>
      <c r="I11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2" s="190"/>
      <c r="K11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2" s="190"/>
      <c r="M11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2" s="190"/>
      <c r="O11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2" s="190"/>
      <c r="Q11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2" s="192">
        <f ca="1">Table66[[#This Row],[Year 1 (Specified in RFO) - N/A]]+Table66[[#This Row],[Year 2 (Specified in RFO) - N/A]]+Table66[[#This Row],[Year 3 (Specified in RFO) - N/A]]+Table66[[#This Row],[Year 4 (Specified in RFO) - N/A]]+Table66[[#This Row],[Year 5 (Specified in RFO) - N/A]]+Table66[[#This Row],[Year 6 (Specified in RFO) - N/A]]</f>
        <v>0</v>
      </c>
      <c r="S1172" s="402">
        <f ca="1">Table66[[#This Row],[Year 1  (Proposed)]]+Table66[[#This Row],[Year 2 (Proposed)]]+Table66[[#This Row],[Year 3 (Proposed)]]+Table66[[#This Row],[Year 4 (Proposed)]]+Table66[[#This Row],[Year 5 (Proposed)]]+Table66[[#This Row],[Year 6 (Proposed)]]</f>
        <v>0</v>
      </c>
      <c r="T1172" s="403" t="b">
        <f ca="1">Table66[[#This Row],[Total Specifed in RFO - N/A]]=Table66[[#This Row],[Total Proposed]]</f>
        <v>1</v>
      </c>
      <c r="U1172" s="439"/>
      <c r="V1172" s="441">
        <f ca="1">Table66[[#This Row],[Year 6 (Specified in RFO) - N/A]]-Table66[[#This Row],[Column1]]</f>
        <v>0</v>
      </c>
    </row>
    <row r="1173" spans="1:22" ht="16.5" thickBot="1">
      <c r="A1173" s="227"/>
      <c r="B1173" s="319"/>
      <c r="C1173" s="319"/>
      <c r="D1173" s="320"/>
      <c r="E1173" s="320"/>
      <c r="F1173" s="190"/>
      <c r="G11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3" s="190"/>
      <c r="I11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3" s="190"/>
      <c r="K11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3" s="190"/>
      <c r="M11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3" s="190"/>
      <c r="O11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3" s="190"/>
      <c r="Q11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3" s="192">
        <f ca="1">Table66[[#This Row],[Year 1 (Specified in RFO) - N/A]]+Table66[[#This Row],[Year 2 (Specified in RFO) - N/A]]+Table66[[#This Row],[Year 3 (Specified in RFO) - N/A]]+Table66[[#This Row],[Year 4 (Specified in RFO) - N/A]]+Table66[[#This Row],[Year 5 (Specified in RFO) - N/A]]+Table66[[#This Row],[Year 6 (Specified in RFO) - N/A]]</f>
        <v>0</v>
      </c>
      <c r="S1173" s="402">
        <f ca="1">Table66[[#This Row],[Year 1  (Proposed)]]+Table66[[#This Row],[Year 2 (Proposed)]]+Table66[[#This Row],[Year 3 (Proposed)]]+Table66[[#This Row],[Year 4 (Proposed)]]+Table66[[#This Row],[Year 5 (Proposed)]]+Table66[[#This Row],[Year 6 (Proposed)]]</f>
        <v>0</v>
      </c>
      <c r="T1173" s="403" t="b">
        <f ca="1">Table66[[#This Row],[Total Specifed in RFO - N/A]]=Table66[[#This Row],[Total Proposed]]</f>
        <v>1</v>
      </c>
      <c r="U1173" s="439"/>
      <c r="V1173" s="441">
        <f ca="1">Table66[[#This Row],[Year 6 (Specified in RFO) - N/A]]-Table66[[#This Row],[Column1]]</f>
        <v>0</v>
      </c>
    </row>
    <row r="1174" spans="1:22" ht="16.5" thickBot="1">
      <c r="A1174" s="227"/>
      <c r="B1174" s="319"/>
      <c r="C1174" s="319"/>
      <c r="D1174" s="320"/>
      <c r="E1174" s="320"/>
      <c r="F1174" s="190"/>
      <c r="G11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4" s="190"/>
      <c r="I11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4" s="190"/>
      <c r="K11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4" s="190"/>
      <c r="M11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4" s="190"/>
      <c r="O11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4" s="190"/>
      <c r="Q11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4" s="192">
        <f ca="1">Table66[[#This Row],[Year 1 (Specified in RFO) - N/A]]+Table66[[#This Row],[Year 2 (Specified in RFO) - N/A]]+Table66[[#This Row],[Year 3 (Specified in RFO) - N/A]]+Table66[[#This Row],[Year 4 (Specified in RFO) - N/A]]+Table66[[#This Row],[Year 5 (Specified in RFO) - N/A]]+Table66[[#This Row],[Year 6 (Specified in RFO) - N/A]]</f>
        <v>0</v>
      </c>
      <c r="S1174" s="402">
        <f ca="1">Table66[[#This Row],[Year 1  (Proposed)]]+Table66[[#This Row],[Year 2 (Proposed)]]+Table66[[#This Row],[Year 3 (Proposed)]]+Table66[[#This Row],[Year 4 (Proposed)]]+Table66[[#This Row],[Year 5 (Proposed)]]+Table66[[#This Row],[Year 6 (Proposed)]]</f>
        <v>0</v>
      </c>
      <c r="T1174" s="403" t="b">
        <f ca="1">Table66[[#This Row],[Total Specifed in RFO - N/A]]=Table66[[#This Row],[Total Proposed]]</f>
        <v>1</v>
      </c>
      <c r="U1174" s="439"/>
      <c r="V1174" s="441">
        <f ca="1">Table66[[#This Row],[Year 6 (Specified in RFO) - N/A]]-Table66[[#This Row],[Column1]]</f>
        <v>0</v>
      </c>
    </row>
    <row r="1175" spans="1:22" ht="16.5" thickBot="1">
      <c r="A1175" s="227"/>
      <c r="B1175" s="319"/>
      <c r="C1175" s="319"/>
      <c r="D1175" s="320"/>
      <c r="E1175" s="320"/>
      <c r="F1175" s="190"/>
      <c r="G11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5" s="190"/>
      <c r="I11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5" s="190"/>
      <c r="K11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5" s="190"/>
      <c r="M11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5" s="190"/>
      <c r="O11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5" s="190"/>
      <c r="Q11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5" s="192">
        <f ca="1">Table66[[#This Row],[Year 1 (Specified in RFO) - N/A]]+Table66[[#This Row],[Year 2 (Specified in RFO) - N/A]]+Table66[[#This Row],[Year 3 (Specified in RFO) - N/A]]+Table66[[#This Row],[Year 4 (Specified in RFO) - N/A]]+Table66[[#This Row],[Year 5 (Specified in RFO) - N/A]]+Table66[[#This Row],[Year 6 (Specified in RFO) - N/A]]</f>
        <v>0</v>
      </c>
      <c r="S1175" s="402">
        <f ca="1">Table66[[#This Row],[Year 1  (Proposed)]]+Table66[[#This Row],[Year 2 (Proposed)]]+Table66[[#This Row],[Year 3 (Proposed)]]+Table66[[#This Row],[Year 4 (Proposed)]]+Table66[[#This Row],[Year 5 (Proposed)]]+Table66[[#This Row],[Year 6 (Proposed)]]</f>
        <v>0</v>
      </c>
      <c r="T1175" s="403" t="b">
        <f ca="1">Table66[[#This Row],[Total Specifed in RFO - N/A]]=Table66[[#This Row],[Total Proposed]]</f>
        <v>1</v>
      </c>
      <c r="U1175" s="439"/>
      <c r="V1175" s="441">
        <f ca="1">Table66[[#This Row],[Year 6 (Specified in RFO) - N/A]]-Table66[[#This Row],[Column1]]</f>
        <v>0</v>
      </c>
    </row>
    <row r="1176" spans="1:22" ht="16.5" thickBot="1">
      <c r="A1176" s="227"/>
      <c r="B1176" s="319"/>
      <c r="C1176" s="319"/>
      <c r="D1176" s="320"/>
      <c r="E1176" s="320"/>
      <c r="F1176" s="190"/>
      <c r="G11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6" s="190"/>
      <c r="I11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6" s="190"/>
      <c r="K11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6" s="190"/>
      <c r="M11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6" s="190"/>
      <c r="O11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6" s="190"/>
      <c r="Q11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6" s="192">
        <f ca="1">Table66[[#This Row],[Year 1 (Specified in RFO) - N/A]]+Table66[[#This Row],[Year 2 (Specified in RFO) - N/A]]+Table66[[#This Row],[Year 3 (Specified in RFO) - N/A]]+Table66[[#This Row],[Year 4 (Specified in RFO) - N/A]]+Table66[[#This Row],[Year 5 (Specified in RFO) - N/A]]+Table66[[#This Row],[Year 6 (Specified in RFO) - N/A]]</f>
        <v>0</v>
      </c>
      <c r="S1176" s="402">
        <f ca="1">Table66[[#This Row],[Year 1  (Proposed)]]+Table66[[#This Row],[Year 2 (Proposed)]]+Table66[[#This Row],[Year 3 (Proposed)]]+Table66[[#This Row],[Year 4 (Proposed)]]+Table66[[#This Row],[Year 5 (Proposed)]]+Table66[[#This Row],[Year 6 (Proposed)]]</f>
        <v>0</v>
      </c>
      <c r="T1176" s="403" t="b">
        <f ca="1">Table66[[#This Row],[Total Specifed in RFO - N/A]]=Table66[[#This Row],[Total Proposed]]</f>
        <v>1</v>
      </c>
      <c r="U1176" s="439"/>
      <c r="V1176" s="441">
        <f ca="1">Table66[[#This Row],[Year 6 (Specified in RFO) - N/A]]-Table66[[#This Row],[Column1]]</f>
        <v>0</v>
      </c>
    </row>
    <row r="1177" spans="1:22" ht="16.5" thickBot="1">
      <c r="A1177" s="227"/>
      <c r="B1177" s="319"/>
      <c r="C1177" s="319"/>
      <c r="D1177" s="320"/>
      <c r="E1177" s="320"/>
      <c r="F1177" s="190"/>
      <c r="G11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7" s="190"/>
      <c r="I11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7" s="190"/>
      <c r="K11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7" s="190"/>
      <c r="M11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7" s="190"/>
      <c r="O11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7" s="190"/>
      <c r="Q11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7" s="192">
        <f ca="1">Table66[[#This Row],[Year 1 (Specified in RFO) - N/A]]+Table66[[#This Row],[Year 2 (Specified in RFO) - N/A]]+Table66[[#This Row],[Year 3 (Specified in RFO) - N/A]]+Table66[[#This Row],[Year 4 (Specified in RFO) - N/A]]+Table66[[#This Row],[Year 5 (Specified in RFO) - N/A]]+Table66[[#This Row],[Year 6 (Specified in RFO) - N/A]]</f>
        <v>0</v>
      </c>
      <c r="S1177" s="402">
        <f ca="1">Table66[[#This Row],[Year 1  (Proposed)]]+Table66[[#This Row],[Year 2 (Proposed)]]+Table66[[#This Row],[Year 3 (Proposed)]]+Table66[[#This Row],[Year 4 (Proposed)]]+Table66[[#This Row],[Year 5 (Proposed)]]+Table66[[#This Row],[Year 6 (Proposed)]]</f>
        <v>0</v>
      </c>
      <c r="T1177" s="403" t="b">
        <f ca="1">Table66[[#This Row],[Total Specifed in RFO - N/A]]=Table66[[#This Row],[Total Proposed]]</f>
        <v>1</v>
      </c>
      <c r="U1177" s="439"/>
      <c r="V1177" s="441">
        <f ca="1">Table66[[#This Row],[Year 6 (Specified in RFO) - N/A]]-Table66[[#This Row],[Column1]]</f>
        <v>0</v>
      </c>
    </row>
    <row r="1178" spans="1:22" ht="16.5" thickBot="1">
      <c r="A1178" s="227"/>
      <c r="B1178" s="319"/>
      <c r="C1178" s="319"/>
      <c r="D1178" s="320"/>
      <c r="E1178" s="320"/>
      <c r="F1178" s="190"/>
      <c r="G11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8" s="190"/>
      <c r="I11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8" s="190"/>
      <c r="K11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8" s="190"/>
      <c r="M11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8" s="190"/>
      <c r="O11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8" s="190"/>
      <c r="Q11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8" s="192">
        <f ca="1">Table66[[#This Row],[Year 1 (Specified in RFO) - N/A]]+Table66[[#This Row],[Year 2 (Specified in RFO) - N/A]]+Table66[[#This Row],[Year 3 (Specified in RFO) - N/A]]+Table66[[#This Row],[Year 4 (Specified in RFO) - N/A]]+Table66[[#This Row],[Year 5 (Specified in RFO) - N/A]]+Table66[[#This Row],[Year 6 (Specified in RFO) - N/A]]</f>
        <v>0</v>
      </c>
      <c r="S1178" s="402">
        <f ca="1">Table66[[#This Row],[Year 1  (Proposed)]]+Table66[[#This Row],[Year 2 (Proposed)]]+Table66[[#This Row],[Year 3 (Proposed)]]+Table66[[#This Row],[Year 4 (Proposed)]]+Table66[[#This Row],[Year 5 (Proposed)]]+Table66[[#This Row],[Year 6 (Proposed)]]</f>
        <v>0</v>
      </c>
      <c r="T1178" s="403" t="b">
        <f ca="1">Table66[[#This Row],[Total Specifed in RFO - N/A]]=Table66[[#This Row],[Total Proposed]]</f>
        <v>1</v>
      </c>
      <c r="U1178" s="439"/>
      <c r="V1178" s="441">
        <f ca="1">Table66[[#This Row],[Year 6 (Specified in RFO) - N/A]]-Table66[[#This Row],[Column1]]</f>
        <v>0</v>
      </c>
    </row>
    <row r="1179" spans="1:22" ht="16.5" thickBot="1">
      <c r="A1179" s="227"/>
      <c r="B1179" s="319"/>
      <c r="C1179" s="319"/>
      <c r="D1179" s="320"/>
      <c r="E1179" s="320"/>
      <c r="F1179" s="190"/>
      <c r="G11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9" s="190"/>
      <c r="I11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9" s="190"/>
      <c r="K11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9" s="190"/>
      <c r="M11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9" s="190"/>
      <c r="O11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9" s="190"/>
      <c r="Q11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9" s="192">
        <f ca="1">Table66[[#This Row],[Year 1 (Specified in RFO) - N/A]]+Table66[[#This Row],[Year 2 (Specified in RFO) - N/A]]+Table66[[#This Row],[Year 3 (Specified in RFO) - N/A]]+Table66[[#This Row],[Year 4 (Specified in RFO) - N/A]]+Table66[[#This Row],[Year 5 (Specified in RFO) - N/A]]+Table66[[#This Row],[Year 6 (Specified in RFO) - N/A]]</f>
        <v>0</v>
      </c>
      <c r="S1179" s="402">
        <f ca="1">Table66[[#This Row],[Year 1  (Proposed)]]+Table66[[#This Row],[Year 2 (Proposed)]]+Table66[[#This Row],[Year 3 (Proposed)]]+Table66[[#This Row],[Year 4 (Proposed)]]+Table66[[#This Row],[Year 5 (Proposed)]]+Table66[[#This Row],[Year 6 (Proposed)]]</f>
        <v>0</v>
      </c>
      <c r="T1179" s="403" t="b">
        <f ca="1">Table66[[#This Row],[Total Specifed in RFO - N/A]]=Table66[[#This Row],[Total Proposed]]</f>
        <v>1</v>
      </c>
      <c r="U1179" s="439"/>
      <c r="V1179" s="441">
        <f ca="1">Table66[[#This Row],[Year 6 (Specified in RFO) - N/A]]-Table66[[#This Row],[Column1]]</f>
        <v>0</v>
      </c>
    </row>
    <row r="1180" spans="1:22" ht="16.5" thickBot="1">
      <c r="A1180" s="227"/>
      <c r="B1180" s="319"/>
      <c r="C1180" s="319"/>
      <c r="D1180" s="320"/>
      <c r="E1180" s="320"/>
      <c r="F1180" s="190"/>
      <c r="G11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0" s="190"/>
      <c r="I11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0" s="190"/>
      <c r="K11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0" s="190"/>
      <c r="M11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0" s="190"/>
      <c r="O11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0" s="190"/>
      <c r="Q11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0" s="192">
        <f ca="1">Table66[[#This Row],[Year 1 (Specified in RFO) - N/A]]+Table66[[#This Row],[Year 2 (Specified in RFO) - N/A]]+Table66[[#This Row],[Year 3 (Specified in RFO) - N/A]]+Table66[[#This Row],[Year 4 (Specified in RFO) - N/A]]+Table66[[#This Row],[Year 5 (Specified in RFO) - N/A]]+Table66[[#This Row],[Year 6 (Specified in RFO) - N/A]]</f>
        <v>0</v>
      </c>
      <c r="S1180" s="402">
        <f ca="1">Table66[[#This Row],[Year 1  (Proposed)]]+Table66[[#This Row],[Year 2 (Proposed)]]+Table66[[#This Row],[Year 3 (Proposed)]]+Table66[[#This Row],[Year 4 (Proposed)]]+Table66[[#This Row],[Year 5 (Proposed)]]+Table66[[#This Row],[Year 6 (Proposed)]]</f>
        <v>0</v>
      </c>
      <c r="T1180" s="403" t="b">
        <f ca="1">Table66[[#This Row],[Total Specifed in RFO - N/A]]=Table66[[#This Row],[Total Proposed]]</f>
        <v>1</v>
      </c>
      <c r="U1180" s="439"/>
      <c r="V1180" s="441">
        <f ca="1">Table66[[#This Row],[Year 6 (Specified in RFO) - N/A]]-Table66[[#This Row],[Column1]]</f>
        <v>0</v>
      </c>
    </row>
    <row r="1181" spans="1:22" ht="16.5" thickBot="1">
      <c r="A1181" s="227"/>
      <c r="B1181" s="319"/>
      <c r="C1181" s="319"/>
      <c r="D1181" s="320"/>
      <c r="E1181" s="320"/>
      <c r="F1181" s="190"/>
      <c r="G11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1" s="190"/>
      <c r="I11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1" s="190"/>
      <c r="K11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1" s="190"/>
      <c r="M11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1" s="190"/>
      <c r="O11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1" s="190"/>
      <c r="Q11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1" s="192">
        <f ca="1">Table66[[#This Row],[Year 1 (Specified in RFO) - N/A]]+Table66[[#This Row],[Year 2 (Specified in RFO) - N/A]]+Table66[[#This Row],[Year 3 (Specified in RFO) - N/A]]+Table66[[#This Row],[Year 4 (Specified in RFO) - N/A]]+Table66[[#This Row],[Year 5 (Specified in RFO) - N/A]]+Table66[[#This Row],[Year 6 (Specified in RFO) - N/A]]</f>
        <v>0</v>
      </c>
      <c r="S1181" s="402">
        <f ca="1">Table66[[#This Row],[Year 1  (Proposed)]]+Table66[[#This Row],[Year 2 (Proposed)]]+Table66[[#This Row],[Year 3 (Proposed)]]+Table66[[#This Row],[Year 4 (Proposed)]]+Table66[[#This Row],[Year 5 (Proposed)]]+Table66[[#This Row],[Year 6 (Proposed)]]</f>
        <v>0</v>
      </c>
      <c r="T1181" s="403" t="b">
        <f ca="1">Table66[[#This Row],[Total Specifed in RFO - N/A]]=Table66[[#This Row],[Total Proposed]]</f>
        <v>1</v>
      </c>
      <c r="U1181" s="439"/>
      <c r="V1181" s="441">
        <f ca="1">Table66[[#This Row],[Year 6 (Specified in RFO) - N/A]]-Table66[[#This Row],[Column1]]</f>
        <v>0</v>
      </c>
    </row>
    <row r="1182" spans="1:22" ht="16.5" thickBot="1">
      <c r="A1182" s="227"/>
      <c r="B1182" s="319"/>
      <c r="C1182" s="319"/>
      <c r="D1182" s="320"/>
      <c r="E1182" s="320"/>
      <c r="F1182" s="190"/>
      <c r="G11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2" s="190"/>
      <c r="I11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2" s="190"/>
      <c r="K11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2" s="190"/>
      <c r="M11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2" s="190"/>
      <c r="O11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2" s="190"/>
      <c r="Q11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2" s="192">
        <f ca="1">Table66[[#This Row],[Year 1 (Specified in RFO) - N/A]]+Table66[[#This Row],[Year 2 (Specified in RFO) - N/A]]+Table66[[#This Row],[Year 3 (Specified in RFO) - N/A]]+Table66[[#This Row],[Year 4 (Specified in RFO) - N/A]]+Table66[[#This Row],[Year 5 (Specified in RFO) - N/A]]+Table66[[#This Row],[Year 6 (Specified in RFO) - N/A]]</f>
        <v>0</v>
      </c>
      <c r="S1182" s="402">
        <f ca="1">Table66[[#This Row],[Year 1  (Proposed)]]+Table66[[#This Row],[Year 2 (Proposed)]]+Table66[[#This Row],[Year 3 (Proposed)]]+Table66[[#This Row],[Year 4 (Proposed)]]+Table66[[#This Row],[Year 5 (Proposed)]]+Table66[[#This Row],[Year 6 (Proposed)]]</f>
        <v>0</v>
      </c>
      <c r="T1182" s="403" t="b">
        <f ca="1">Table66[[#This Row],[Total Specifed in RFO - N/A]]=Table66[[#This Row],[Total Proposed]]</f>
        <v>1</v>
      </c>
      <c r="U1182" s="439"/>
      <c r="V1182" s="441">
        <f ca="1">Table66[[#This Row],[Year 6 (Specified in RFO) - N/A]]-Table66[[#This Row],[Column1]]</f>
        <v>0</v>
      </c>
    </row>
    <row r="1183" spans="1:22" ht="16.5" thickBot="1">
      <c r="A1183" s="227"/>
      <c r="B1183" s="319"/>
      <c r="C1183" s="319"/>
      <c r="D1183" s="320"/>
      <c r="E1183" s="320"/>
      <c r="F1183" s="190"/>
      <c r="G11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3" s="190"/>
      <c r="I11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3" s="190"/>
      <c r="K11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3" s="190"/>
      <c r="M11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3" s="190"/>
      <c r="O11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3" s="190"/>
      <c r="Q11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3" s="192">
        <f ca="1">Table66[[#This Row],[Year 1 (Specified in RFO) - N/A]]+Table66[[#This Row],[Year 2 (Specified in RFO) - N/A]]+Table66[[#This Row],[Year 3 (Specified in RFO) - N/A]]+Table66[[#This Row],[Year 4 (Specified in RFO) - N/A]]+Table66[[#This Row],[Year 5 (Specified in RFO) - N/A]]+Table66[[#This Row],[Year 6 (Specified in RFO) - N/A]]</f>
        <v>0</v>
      </c>
      <c r="S1183" s="402">
        <f ca="1">Table66[[#This Row],[Year 1  (Proposed)]]+Table66[[#This Row],[Year 2 (Proposed)]]+Table66[[#This Row],[Year 3 (Proposed)]]+Table66[[#This Row],[Year 4 (Proposed)]]+Table66[[#This Row],[Year 5 (Proposed)]]+Table66[[#This Row],[Year 6 (Proposed)]]</f>
        <v>0</v>
      </c>
      <c r="T1183" s="403" t="b">
        <f ca="1">Table66[[#This Row],[Total Specifed in RFO - N/A]]=Table66[[#This Row],[Total Proposed]]</f>
        <v>1</v>
      </c>
      <c r="U1183" s="439"/>
      <c r="V1183" s="441">
        <f ca="1">Table66[[#This Row],[Year 6 (Specified in RFO) - N/A]]-Table66[[#This Row],[Column1]]</f>
        <v>0</v>
      </c>
    </row>
    <row r="1184" spans="1:22" ht="16.5" thickBot="1">
      <c r="A1184" s="227"/>
      <c r="B1184" s="319"/>
      <c r="C1184" s="319"/>
      <c r="D1184" s="320"/>
      <c r="E1184" s="320"/>
      <c r="F1184" s="190"/>
      <c r="G11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4" s="190"/>
      <c r="I11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4" s="190"/>
      <c r="K11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4" s="190"/>
      <c r="M11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4" s="190"/>
      <c r="O11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4" s="190"/>
      <c r="Q11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4" s="192">
        <f ca="1">Table66[[#This Row],[Year 1 (Specified in RFO) - N/A]]+Table66[[#This Row],[Year 2 (Specified in RFO) - N/A]]+Table66[[#This Row],[Year 3 (Specified in RFO) - N/A]]+Table66[[#This Row],[Year 4 (Specified in RFO) - N/A]]+Table66[[#This Row],[Year 5 (Specified in RFO) - N/A]]+Table66[[#This Row],[Year 6 (Specified in RFO) - N/A]]</f>
        <v>0</v>
      </c>
      <c r="S1184" s="402">
        <f ca="1">Table66[[#This Row],[Year 1  (Proposed)]]+Table66[[#This Row],[Year 2 (Proposed)]]+Table66[[#This Row],[Year 3 (Proposed)]]+Table66[[#This Row],[Year 4 (Proposed)]]+Table66[[#This Row],[Year 5 (Proposed)]]+Table66[[#This Row],[Year 6 (Proposed)]]</f>
        <v>0</v>
      </c>
      <c r="T1184" s="403" t="b">
        <f ca="1">Table66[[#This Row],[Total Specifed in RFO - N/A]]=Table66[[#This Row],[Total Proposed]]</f>
        <v>1</v>
      </c>
      <c r="U1184" s="439"/>
      <c r="V1184" s="441">
        <f ca="1">Table66[[#This Row],[Year 6 (Specified in RFO) - N/A]]-Table66[[#This Row],[Column1]]</f>
        <v>0</v>
      </c>
    </row>
    <row r="1185" spans="1:22" ht="16.5" thickBot="1">
      <c r="A1185" s="227"/>
      <c r="B1185" s="319"/>
      <c r="C1185" s="319"/>
      <c r="D1185" s="320"/>
      <c r="E1185" s="320"/>
      <c r="F1185" s="190"/>
      <c r="G11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5" s="190"/>
      <c r="I11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5" s="190"/>
      <c r="K11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5" s="190"/>
      <c r="M11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5" s="190"/>
      <c r="O11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5" s="190"/>
      <c r="Q11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5" s="192">
        <f ca="1">Table66[[#This Row],[Year 1 (Specified in RFO) - N/A]]+Table66[[#This Row],[Year 2 (Specified in RFO) - N/A]]+Table66[[#This Row],[Year 3 (Specified in RFO) - N/A]]+Table66[[#This Row],[Year 4 (Specified in RFO) - N/A]]+Table66[[#This Row],[Year 5 (Specified in RFO) - N/A]]+Table66[[#This Row],[Year 6 (Specified in RFO) - N/A]]</f>
        <v>0</v>
      </c>
      <c r="S1185" s="402">
        <f ca="1">Table66[[#This Row],[Year 1  (Proposed)]]+Table66[[#This Row],[Year 2 (Proposed)]]+Table66[[#This Row],[Year 3 (Proposed)]]+Table66[[#This Row],[Year 4 (Proposed)]]+Table66[[#This Row],[Year 5 (Proposed)]]+Table66[[#This Row],[Year 6 (Proposed)]]</f>
        <v>0</v>
      </c>
      <c r="T1185" s="403" t="b">
        <f ca="1">Table66[[#This Row],[Total Specifed in RFO - N/A]]=Table66[[#This Row],[Total Proposed]]</f>
        <v>1</v>
      </c>
      <c r="U1185" s="439"/>
      <c r="V1185" s="441">
        <f ca="1">Table66[[#This Row],[Year 6 (Specified in RFO) - N/A]]-Table66[[#This Row],[Column1]]</f>
        <v>0</v>
      </c>
    </row>
    <row r="1186" spans="1:22" ht="16.5" thickBot="1">
      <c r="A1186" s="227"/>
      <c r="B1186" s="319"/>
      <c r="C1186" s="319"/>
      <c r="D1186" s="320"/>
      <c r="E1186" s="320"/>
      <c r="F1186" s="190"/>
      <c r="G11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6" s="190"/>
      <c r="I11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6" s="190"/>
      <c r="K11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6" s="190"/>
      <c r="M11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6" s="190"/>
      <c r="O11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6" s="190"/>
      <c r="Q11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6" s="192">
        <f ca="1">Table66[[#This Row],[Year 1 (Specified in RFO) - N/A]]+Table66[[#This Row],[Year 2 (Specified in RFO) - N/A]]+Table66[[#This Row],[Year 3 (Specified in RFO) - N/A]]+Table66[[#This Row],[Year 4 (Specified in RFO) - N/A]]+Table66[[#This Row],[Year 5 (Specified in RFO) - N/A]]+Table66[[#This Row],[Year 6 (Specified in RFO) - N/A]]</f>
        <v>0</v>
      </c>
      <c r="S1186" s="402">
        <f ca="1">Table66[[#This Row],[Year 1  (Proposed)]]+Table66[[#This Row],[Year 2 (Proposed)]]+Table66[[#This Row],[Year 3 (Proposed)]]+Table66[[#This Row],[Year 4 (Proposed)]]+Table66[[#This Row],[Year 5 (Proposed)]]+Table66[[#This Row],[Year 6 (Proposed)]]</f>
        <v>0</v>
      </c>
      <c r="T1186" s="403" t="b">
        <f ca="1">Table66[[#This Row],[Total Specifed in RFO - N/A]]=Table66[[#This Row],[Total Proposed]]</f>
        <v>1</v>
      </c>
      <c r="U1186" s="439"/>
      <c r="V1186" s="441">
        <f ca="1">Table66[[#This Row],[Year 6 (Specified in RFO) - N/A]]-Table66[[#This Row],[Column1]]</f>
        <v>0</v>
      </c>
    </row>
    <row r="1187" spans="1:22" ht="16.5" thickBot="1">
      <c r="A1187" s="227"/>
      <c r="B1187" s="319"/>
      <c r="C1187" s="319"/>
      <c r="D1187" s="320"/>
      <c r="E1187" s="320"/>
      <c r="F1187" s="190"/>
      <c r="G11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7" s="190"/>
      <c r="I11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7" s="190"/>
      <c r="K11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7" s="190"/>
      <c r="M11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7" s="190"/>
      <c r="O11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7" s="190"/>
      <c r="Q11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7" s="192">
        <f ca="1">Table66[[#This Row],[Year 1 (Specified in RFO) - N/A]]+Table66[[#This Row],[Year 2 (Specified in RFO) - N/A]]+Table66[[#This Row],[Year 3 (Specified in RFO) - N/A]]+Table66[[#This Row],[Year 4 (Specified in RFO) - N/A]]+Table66[[#This Row],[Year 5 (Specified in RFO) - N/A]]+Table66[[#This Row],[Year 6 (Specified in RFO) - N/A]]</f>
        <v>0</v>
      </c>
      <c r="S1187" s="402">
        <f ca="1">Table66[[#This Row],[Year 1  (Proposed)]]+Table66[[#This Row],[Year 2 (Proposed)]]+Table66[[#This Row],[Year 3 (Proposed)]]+Table66[[#This Row],[Year 4 (Proposed)]]+Table66[[#This Row],[Year 5 (Proposed)]]+Table66[[#This Row],[Year 6 (Proposed)]]</f>
        <v>0</v>
      </c>
      <c r="T1187" s="403" t="b">
        <f ca="1">Table66[[#This Row],[Total Specifed in RFO - N/A]]=Table66[[#This Row],[Total Proposed]]</f>
        <v>1</v>
      </c>
      <c r="U1187" s="439"/>
      <c r="V1187" s="441">
        <f ca="1">Table66[[#This Row],[Year 6 (Specified in RFO) - N/A]]-Table66[[#This Row],[Column1]]</f>
        <v>0</v>
      </c>
    </row>
    <row r="1188" spans="1:22" ht="16.5" thickBot="1">
      <c r="A1188" s="227"/>
      <c r="B1188" s="319"/>
      <c r="C1188" s="319"/>
      <c r="D1188" s="320"/>
      <c r="E1188" s="320"/>
      <c r="F1188" s="190"/>
      <c r="G11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8" s="190"/>
      <c r="I11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8" s="190"/>
      <c r="K11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8" s="190"/>
      <c r="M11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8" s="190"/>
      <c r="O11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8" s="190"/>
      <c r="Q11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8" s="192">
        <f ca="1">Table66[[#This Row],[Year 1 (Specified in RFO) - N/A]]+Table66[[#This Row],[Year 2 (Specified in RFO) - N/A]]+Table66[[#This Row],[Year 3 (Specified in RFO) - N/A]]+Table66[[#This Row],[Year 4 (Specified in RFO) - N/A]]+Table66[[#This Row],[Year 5 (Specified in RFO) - N/A]]+Table66[[#This Row],[Year 6 (Specified in RFO) - N/A]]</f>
        <v>0</v>
      </c>
      <c r="S1188" s="402">
        <f ca="1">Table66[[#This Row],[Year 1  (Proposed)]]+Table66[[#This Row],[Year 2 (Proposed)]]+Table66[[#This Row],[Year 3 (Proposed)]]+Table66[[#This Row],[Year 4 (Proposed)]]+Table66[[#This Row],[Year 5 (Proposed)]]+Table66[[#This Row],[Year 6 (Proposed)]]</f>
        <v>0</v>
      </c>
      <c r="T1188" s="403" t="b">
        <f ca="1">Table66[[#This Row],[Total Specifed in RFO - N/A]]=Table66[[#This Row],[Total Proposed]]</f>
        <v>1</v>
      </c>
      <c r="U1188" s="439"/>
      <c r="V1188" s="441">
        <f ca="1">Table66[[#This Row],[Year 6 (Specified in RFO) - N/A]]-Table66[[#This Row],[Column1]]</f>
        <v>0</v>
      </c>
    </row>
    <row r="1189" spans="1:22" ht="16.5" thickBot="1">
      <c r="A1189" s="227"/>
      <c r="B1189" s="319"/>
      <c r="C1189" s="319"/>
      <c r="D1189" s="320"/>
      <c r="E1189" s="320"/>
      <c r="F1189" s="190"/>
      <c r="G11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9" s="190"/>
      <c r="I11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9" s="190"/>
      <c r="K11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9" s="190"/>
      <c r="M11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9" s="190"/>
      <c r="O11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9" s="190"/>
      <c r="Q11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9" s="192">
        <f ca="1">Table66[[#This Row],[Year 1 (Specified in RFO) - N/A]]+Table66[[#This Row],[Year 2 (Specified in RFO) - N/A]]+Table66[[#This Row],[Year 3 (Specified in RFO) - N/A]]+Table66[[#This Row],[Year 4 (Specified in RFO) - N/A]]+Table66[[#This Row],[Year 5 (Specified in RFO) - N/A]]+Table66[[#This Row],[Year 6 (Specified in RFO) - N/A]]</f>
        <v>0</v>
      </c>
      <c r="S1189" s="402">
        <f ca="1">Table66[[#This Row],[Year 1  (Proposed)]]+Table66[[#This Row],[Year 2 (Proposed)]]+Table66[[#This Row],[Year 3 (Proposed)]]+Table66[[#This Row],[Year 4 (Proposed)]]+Table66[[#This Row],[Year 5 (Proposed)]]+Table66[[#This Row],[Year 6 (Proposed)]]</f>
        <v>0</v>
      </c>
      <c r="T1189" s="403" t="b">
        <f ca="1">Table66[[#This Row],[Total Specifed in RFO - N/A]]=Table66[[#This Row],[Total Proposed]]</f>
        <v>1</v>
      </c>
      <c r="U1189" s="439"/>
      <c r="V1189" s="441">
        <f ca="1">Table66[[#This Row],[Year 6 (Specified in RFO) - N/A]]-Table66[[#This Row],[Column1]]</f>
        <v>0</v>
      </c>
    </row>
    <row r="1190" spans="1:22" ht="16.5" thickBot="1">
      <c r="A1190" s="227"/>
      <c r="B1190" s="319"/>
      <c r="C1190" s="319"/>
      <c r="D1190" s="320"/>
      <c r="E1190" s="320"/>
      <c r="F1190" s="190"/>
      <c r="G11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0" s="190"/>
      <c r="I11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0" s="190"/>
      <c r="K11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0" s="190"/>
      <c r="M11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0" s="190"/>
      <c r="O11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0" s="190"/>
      <c r="Q11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0" s="192">
        <f ca="1">Table66[[#This Row],[Year 1 (Specified in RFO) - N/A]]+Table66[[#This Row],[Year 2 (Specified in RFO) - N/A]]+Table66[[#This Row],[Year 3 (Specified in RFO) - N/A]]+Table66[[#This Row],[Year 4 (Specified in RFO) - N/A]]+Table66[[#This Row],[Year 5 (Specified in RFO) - N/A]]+Table66[[#This Row],[Year 6 (Specified in RFO) - N/A]]</f>
        <v>0</v>
      </c>
      <c r="S1190" s="402">
        <f ca="1">Table66[[#This Row],[Year 1  (Proposed)]]+Table66[[#This Row],[Year 2 (Proposed)]]+Table66[[#This Row],[Year 3 (Proposed)]]+Table66[[#This Row],[Year 4 (Proposed)]]+Table66[[#This Row],[Year 5 (Proposed)]]+Table66[[#This Row],[Year 6 (Proposed)]]</f>
        <v>0</v>
      </c>
      <c r="T1190" s="403" t="b">
        <f ca="1">Table66[[#This Row],[Total Specifed in RFO - N/A]]=Table66[[#This Row],[Total Proposed]]</f>
        <v>1</v>
      </c>
      <c r="U1190" s="439"/>
      <c r="V1190" s="441">
        <f ca="1">Table66[[#This Row],[Year 6 (Specified in RFO) - N/A]]-Table66[[#This Row],[Column1]]</f>
        <v>0</v>
      </c>
    </row>
    <row r="1191" spans="1:22" ht="16.5" thickBot="1">
      <c r="A1191" s="227"/>
      <c r="B1191" s="319"/>
      <c r="C1191" s="319"/>
      <c r="D1191" s="320"/>
      <c r="E1191" s="320"/>
      <c r="F1191" s="190"/>
      <c r="G11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1" s="190"/>
      <c r="I11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1" s="190"/>
      <c r="K11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1" s="190"/>
      <c r="M11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1" s="190"/>
      <c r="O11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1" s="190"/>
      <c r="Q11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1" s="192">
        <f ca="1">Table66[[#This Row],[Year 1 (Specified in RFO) - N/A]]+Table66[[#This Row],[Year 2 (Specified in RFO) - N/A]]+Table66[[#This Row],[Year 3 (Specified in RFO) - N/A]]+Table66[[#This Row],[Year 4 (Specified in RFO) - N/A]]+Table66[[#This Row],[Year 5 (Specified in RFO) - N/A]]+Table66[[#This Row],[Year 6 (Specified in RFO) - N/A]]</f>
        <v>0</v>
      </c>
      <c r="S1191" s="402">
        <f ca="1">Table66[[#This Row],[Year 1  (Proposed)]]+Table66[[#This Row],[Year 2 (Proposed)]]+Table66[[#This Row],[Year 3 (Proposed)]]+Table66[[#This Row],[Year 4 (Proposed)]]+Table66[[#This Row],[Year 5 (Proposed)]]+Table66[[#This Row],[Year 6 (Proposed)]]</f>
        <v>0</v>
      </c>
      <c r="T1191" s="403" t="b">
        <f ca="1">Table66[[#This Row],[Total Specifed in RFO - N/A]]=Table66[[#This Row],[Total Proposed]]</f>
        <v>1</v>
      </c>
      <c r="U1191" s="439"/>
      <c r="V1191" s="441">
        <f ca="1">Table66[[#This Row],[Year 6 (Specified in RFO) - N/A]]-Table66[[#This Row],[Column1]]</f>
        <v>0</v>
      </c>
    </row>
    <row r="1192" spans="1:22" ht="16.5" thickBot="1">
      <c r="A1192" s="227"/>
      <c r="B1192" s="319"/>
      <c r="C1192" s="319"/>
      <c r="D1192" s="320"/>
      <c r="E1192" s="320"/>
      <c r="F1192" s="190"/>
      <c r="G11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2" s="190"/>
      <c r="I11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2" s="190"/>
      <c r="K11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2" s="190"/>
      <c r="M11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2" s="190"/>
      <c r="O11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2" s="190"/>
      <c r="Q11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2" s="192">
        <f ca="1">Table66[[#This Row],[Year 1 (Specified in RFO) - N/A]]+Table66[[#This Row],[Year 2 (Specified in RFO) - N/A]]+Table66[[#This Row],[Year 3 (Specified in RFO) - N/A]]+Table66[[#This Row],[Year 4 (Specified in RFO) - N/A]]+Table66[[#This Row],[Year 5 (Specified in RFO) - N/A]]+Table66[[#This Row],[Year 6 (Specified in RFO) - N/A]]</f>
        <v>0</v>
      </c>
      <c r="S1192" s="402">
        <f ca="1">Table66[[#This Row],[Year 1  (Proposed)]]+Table66[[#This Row],[Year 2 (Proposed)]]+Table66[[#This Row],[Year 3 (Proposed)]]+Table66[[#This Row],[Year 4 (Proposed)]]+Table66[[#This Row],[Year 5 (Proposed)]]+Table66[[#This Row],[Year 6 (Proposed)]]</f>
        <v>0</v>
      </c>
      <c r="T1192" s="403" t="b">
        <f ca="1">Table66[[#This Row],[Total Specifed in RFO - N/A]]=Table66[[#This Row],[Total Proposed]]</f>
        <v>1</v>
      </c>
      <c r="U1192" s="439"/>
      <c r="V1192" s="441">
        <f ca="1">Table66[[#This Row],[Year 6 (Specified in RFO) - N/A]]-Table66[[#This Row],[Column1]]</f>
        <v>0</v>
      </c>
    </row>
    <row r="1193" spans="1:22" ht="16.5" thickBot="1">
      <c r="A1193" s="227"/>
      <c r="B1193" s="319"/>
      <c r="C1193" s="319"/>
      <c r="D1193" s="320"/>
      <c r="E1193" s="320"/>
      <c r="F1193" s="190"/>
      <c r="G11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3" s="190"/>
      <c r="I11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3" s="190"/>
      <c r="K11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3" s="190"/>
      <c r="M11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3" s="190"/>
      <c r="O11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3" s="190"/>
      <c r="Q11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3" s="192">
        <f ca="1">Table66[[#This Row],[Year 1 (Specified in RFO) - N/A]]+Table66[[#This Row],[Year 2 (Specified in RFO) - N/A]]+Table66[[#This Row],[Year 3 (Specified in RFO) - N/A]]+Table66[[#This Row],[Year 4 (Specified in RFO) - N/A]]+Table66[[#This Row],[Year 5 (Specified in RFO) - N/A]]+Table66[[#This Row],[Year 6 (Specified in RFO) - N/A]]</f>
        <v>0</v>
      </c>
      <c r="S1193" s="402">
        <f ca="1">Table66[[#This Row],[Year 1  (Proposed)]]+Table66[[#This Row],[Year 2 (Proposed)]]+Table66[[#This Row],[Year 3 (Proposed)]]+Table66[[#This Row],[Year 4 (Proposed)]]+Table66[[#This Row],[Year 5 (Proposed)]]+Table66[[#This Row],[Year 6 (Proposed)]]</f>
        <v>0</v>
      </c>
      <c r="T1193" s="403" t="b">
        <f ca="1">Table66[[#This Row],[Total Specifed in RFO - N/A]]=Table66[[#This Row],[Total Proposed]]</f>
        <v>1</v>
      </c>
      <c r="U1193" s="439"/>
      <c r="V1193" s="441">
        <f ca="1">Table66[[#This Row],[Year 6 (Specified in RFO) - N/A]]-Table66[[#This Row],[Column1]]</f>
        <v>0</v>
      </c>
    </row>
    <row r="1194" spans="1:22" ht="16.5" thickBot="1">
      <c r="A1194" s="227"/>
      <c r="B1194" s="319"/>
      <c r="C1194" s="319"/>
      <c r="D1194" s="320"/>
      <c r="E1194" s="320"/>
      <c r="F1194" s="190"/>
      <c r="G11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4" s="190"/>
      <c r="I11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4" s="190"/>
      <c r="K11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4" s="190"/>
      <c r="M11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4" s="190"/>
      <c r="O11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4" s="190"/>
      <c r="Q11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4" s="192">
        <f ca="1">Table66[[#This Row],[Year 1 (Specified in RFO) - N/A]]+Table66[[#This Row],[Year 2 (Specified in RFO) - N/A]]+Table66[[#This Row],[Year 3 (Specified in RFO) - N/A]]+Table66[[#This Row],[Year 4 (Specified in RFO) - N/A]]+Table66[[#This Row],[Year 5 (Specified in RFO) - N/A]]+Table66[[#This Row],[Year 6 (Specified in RFO) - N/A]]</f>
        <v>0</v>
      </c>
      <c r="S1194" s="402">
        <f ca="1">Table66[[#This Row],[Year 1  (Proposed)]]+Table66[[#This Row],[Year 2 (Proposed)]]+Table66[[#This Row],[Year 3 (Proposed)]]+Table66[[#This Row],[Year 4 (Proposed)]]+Table66[[#This Row],[Year 5 (Proposed)]]+Table66[[#This Row],[Year 6 (Proposed)]]</f>
        <v>0</v>
      </c>
      <c r="T1194" s="403" t="b">
        <f ca="1">Table66[[#This Row],[Total Specifed in RFO - N/A]]=Table66[[#This Row],[Total Proposed]]</f>
        <v>1</v>
      </c>
      <c r="U1194" s="439"/>
      <c r="V1194" s="441">
        <f ca="1">Table66[[#This Row],[Year 6 (Specified in RFO) - N/A]]-Table66[[#This Row],[Column1]]</f>
        <v>0</v>
      </c>
    </row>
    <row r="1195" spans="1:22" ht="16.5" thickBot="1">
      <c r="A1195" s="227"/>
      <c r="B1195" s="319"/>
      <c r="C1195" s="319"/>
      <c r="D1195" s="320"/>
      <c r="E1195" s="320"/>
      <c r="F1195" s="190"/>
      <c r="G11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5" s="190"/>
      <c r="I11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5" s="190"/>
      <c r="K11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5" s="190"/>
      <c r="M11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5" s="190"/>
      <c r="O11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5" s="190"/>
      <c r="Q11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5" s="192">
        <f ca="1">Table66[[#This Row],[Year 1 (Specified in RFO) - N/A]]+Table66[[#This Row],[Year 2 (Specified in RFO) - N/A]]+Table66[[#This Row],[Year 3 (Specified in RFO) - N/A]]+Table66[[#This Row],[Year 4 (Specified in RFO) - N/A]]+Table66[[#This Row],[Year 5 (Specified in RFO) - N/A]]+Table66[[#This Row],[Year 6 (Specified in RFO) - N/A]]</f>
        <v>0</v>
      </c>
      <c r="S1195" s="402">
        <f ca="1">Table66[[#This Row],[Year 1  (Proposed)]]+Table66[[#This Row],[Year 2 (Proposed)]]+Table66[[#This Row],[Year 3 (Proposed)]]+Table66[[#This Row],[Year 4 (Proposed)]]+Table66[[#This Row],[Year 5 (Proposed)]]+Table66[[#This Row],[Year 6 (Proposed)]]</f>
        <v>0</v>
      </c>
      <c r="T1195" s="403" t="b">
        <f ca="1">Table66[[#This Row],[Total Specifed in RFO - N/A]]=Table66[[#This Row],[Total Proposed]]</f>
        <v>1</v>
      </c>
      <c r="U1195" s="439"/>
      <c r="V1195" s="441">
        <f ca="1">Table66[[#This Row],[Year 6 (Specified in RFO) - N/A]]-Table66[[#This Row],[Column1]]</f>
        <v>0</v>
      </c>
    </row>
    <row r="1196" spans="1:22" ht="16.5" thickBot="1">
      <c r="A1196" s="227"/>
      <c r="B1196" s="319"/>
      <c r="C1196" s="319"/>
      <c r="D1196" s="320"/>
      <c r="E1196" s="320"/>
      <c r="F1196" s="190"/>
      <c r="G11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6" s="190"/>
      <c r="I11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6" s="190"/>
      <c r="K11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6" s="190"/>
      <c r="M11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6" s="190"/>
      <c r="O11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6" s="190"/>
      <c r="Q11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6" s="192">
        <f ca="1">Table66[[#This Row],[Year 1 (Specified in RFO) - N/A]]+Table66[[#This Row],[Year 2 (Specified in RFO) - N/A]]+Table66[[#This Row],[Year 3 (Specified in RFO) - N/A]]+Table66[[#This Row],[Year 4 (Specified in RFO) - N/A]]+Table66[[#This Row],[Year 5 (Specified in RFO) - N/A]]+Table66[[#This Row],[Year 6 (Specified in RFO) - N/A]]</f>
        <v>0</v>
      </c>
      <c r="S1196" s="402">
        <f ca="1">Table66[[#This Row],[Year 1  (Proposed)]]+Table66[[#This Row],[Year 2 (Proposed)]]+Table66[[#This Row],[Year 3 (Proposed)]]+Table66[[#This Row],[Year 4 (Proposed)]]+Table66[[#This Row],[Year 5 (Proposed)]]+Table66[[#This Row],[Year 6 (Proposed)]]</f>
        <v>0</v>
      </c>
      <c r="T1196" s="403" t="b">
        <f ca="1">Table66[[#This Row],[Total Specifed in RFO - N/A]]=Table66[[#This Row],[Total Proposed]]</f>
        <v>1</v>
      </c>
      <c r="U1196" s="439"/>
      <c r="V1196" s="441">
        <f ca="1">Table66[[#This Row],[Year 6 (Specified in RFO) - N/A]]-Table66[[#This Row],[Column1]]</f>
        <v>0</v>
      </c>
    </row>
    <row r="1197" spans="1:22" ht="16.5" thickBot="1">
      <c r="A1197" s="227"/>
      <c r="B1197" s="319"/>
      <c r="C1197" s="319"/>
      <c r="D1197" s="320"/>
      <c r="E1197" s="320"/>
      <c r="F1197" s="190"/>
      <c r="G11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7" s="190"/>
      <c r="I11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7" s="190"/>
      <c r="K11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7" s="190"/>
      <c r="M11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7" s="190"/>
      <c r="O11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7" s="190"/>
      <c r="Q11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7" s="192">
        <f ca="1">Table66[[#This Row],[Year 1 (Specified in RFO) - N/A]]+Table66[[#This Row],[Year 2 (Specified in RFO) - N/A]]+Table66[[#This Row],[Year 3 (Specified in RFO) - N/A]]+Table66[[#This Row],[Year 4 (Specified in RFO) - N/A]]+Table66[[#This Row],[Year 5 (Specified in RFO) - N/A]]+Table66[[#This Row],[Year 6 (Specified in RFO) - N/A]]</f>
        <v>0</v>
      </c>
      <c r="S1197" s="402">
        <f ca="1">Table66[[#This Row],[Year 1  (Proposed)]]+Table66[[#This Row],[Year 2 (Proposed)]]+Table66[[#This Row],[Year 3 (Proposed)]]+Table66[[#This Row],[Year 4 (Proposed)]]+Table66[[#This Row],[Year 5 (Proposed)]]+Table66[[#This Row],[Year 6 (Proposed)]]</f>
        <v>0</v>
      </c>
      <c r="T1197" s="403" t="b">
        <f ca="1">Table66[[#This Row],[Total Specifed in RFO - N/A]]=Table66[[#This Row],[Total Proposed]]</f>
        <v>1</v>
      </c>
      <c r="U1197" s="439"/>
      <c r="V1197" s="441">
        <f ca="1">Table66[[#This Row],[Year 6 (Specified in RFO) - N/A]]-Table66[[#This Row],[Column1]]</f>
        <v>0</v>
      </c>
    </row>
    <row r="1198" spans="1:22" ht="16.5" thickBot="1">
      <c r="A1198" s="227"/>
      <c r="B1198" s="319"/>
      <c r="C1198" s="319"/>
      <c r="D1198" s="320"/>
      <c r="E1198" s="320"/>
      <c r="F1198" s="190"/>
      <c r="G11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8" s="190"/>
      <c r="I11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8" s="190"/>
      <c r="K11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8" s="190"/>
      <c r="M11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8" s="190"/>
      <c r="O11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8" s="190"/>
      <c r="Q11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8" s="192">
        <f ca="1">Table66[[#This Row],[Year 1 (Specified in RFO) - N/A]]+Table66[[#This Row],[Year 2 (Specified in RFO) - N/A]]+Table66[[#This Row],[Year 3 (Specified in RFO) - N/A]]+Table66[[#This Row],[Year 4 (Specified in RFO) - N/A]]+Table66[[#This Row],[Year 5 (Specified in RFO) - N/A]]+Table66[[#This Row],[Year 6 (Specified in RFO) - N/A]]</f>
        <v>0</v>
      </c>
      <c r="S1198" s="402">
        <f ca="1">Table66[[#This Row],[Year 1  (Proposed)]]+Table66[[#This Row],[Year 2 (Proposed)]]+Table66[[#This Row],[Year 3 (Proposed)]]+Table66[[#This Row],[Year 4 (Proposed)]]+Table66[[#This Row],[Year 5 (Proposed)]]+Table66[[#This Row],[Year 6 (Proposed)]]</f>
        <v>0</v>
      </c>
      <c r="T1198" s="403" t="b">
        <f ca="1">Table66[[#This Row],[Total Specifed in RFO - N/A]]=Table66[[#This Row],[Total Proposed]]</f>
        <v>1</v>
      </c>
      <c r="U1198" s="439"/>
      <c r="V1198" s="441">
        <f ca="1">Table66[[#This Row],[Year 6 (Specified in RFO) - N/A]]-Table66[[#This Row],[Column1]]</f>
        <v>0</v>
      </c>
    </row>
    <row r="1199" spans="1:22" ht="16.5" thickBot="1">
      <c r="A1199" s="227"/>
      <c r="B1199" s="319"/>
      <c r="C1199" s="319"/>
      <c r="D1199" s="320"/>
      <c r="E1199" s="320"/>
      <c r="F1199" s="190"/>
      <c r="G11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9" s="190"/>
      <c r="I11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9" s="190"/>
      <c r="K11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9" s="190"/>
      <c r="M11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9" s="190"/>
      <c r="O11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9" s="190"/>
      <c r="Q11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9" s="192">
        <f ca="1">Table66[[#This Row],[Year 1 (Specified in RFO) - N/A]]+Table66[[#This Row],[Year 2 (Specified in RFO) - N/A]]+Table66[[#This Row],[Year 3 (Specified in RFO) - N/A]]+Table66[[#This Row],[Year 4 (Specified in RFO) - N/A]]+Table66[[#This Row],[Year 5 (Specified in RFO) - N/A]]+Table66[[#This Row],[Year 6 (Specified in RFO) - N/A]]</f>
        <v>0</v>
      </c>
      <c r="S1199" s="402">
        <f ca="1">Table66[[#This Row],[Year 1  (Proposed)]]+Table66[[#This Row],[Year 2 (Proposed)]]+Table66[[#This Row],[Year 3 (Proposed)]]+Table66[[#This Row],[Year 4 (Proposed)]]+Table66[[#This Row],[Year 5 (Proposed)]]+Table66[[#This Row],[Year 6 (Proposed)]]</f>
        <v>0</v>
      </c>
      <c r="T1199" s="403" t="b">
        <f ca="1">Table66[[#This Row],[Total Specifed in RFO - N/A]]=Table66[[#This Row],[Total Proposed]]</f>
        <v>1</v>
      </c>
      <c r="U1199" s="439"/>
      <c r="V1199" s="441">
        <f ca="1">Table66[[#This Row],[Year 6 (Specified in RFO) - N/A]]-Table66[[#This Row],[Column1]]</f>
        <v>0</v>
      </c>
    </row>
    <row r="1200" spans="1:22" ht="16.5" thickBot="1">
      <c r="A1200" s="227"/>
      <c r="B1200" s="319"/>
      <c r="C1200" s="319"/>
      <c r="D1200" s="320"/>
      <c r="E1200" s="320"/>
      <c r="F1200" s="190"/>
      <c r="G12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0" s="190"/>
      <c r="I12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0" s="190"/>
      <c r="K12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0" s="190"/>
      <c r="M12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0" s="190"/>
      <c r="O12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0" s="190"/>
      <c r="Q12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0" s="192">
        <f ca="1">Table66[[#This Row],[Year 1 (Specified in RFO) - N/A]]+Table66[[#This Row],[Year 2 (Specified in RFO) - N/A]]+Table66[[#This Row],[Year 3 (Specified in RFO) - N/A]]+Table66[[#This Row],[Year 4 (Specified in RFO) - N/A]]+Table66[[#This Row],[Year 5 (Specified in RFO) - N/A]]+Table66[[#This Row],[Year 6 (Specified in RFO) - N/A]]</f>
        <v>0</v>
      </c>
      <c r="S1200" s="402">
        <f ca="1">Table66[[#This Row],[Year 1  (Proposed)]]+Table66[[#This Row],[Year 2 (Proposed)]]+Table66[[#This Row],[Year 3 (Proposed)]]+Table66[[#This Row],[Year 4 (Proposed)]]+Table66[[#This Row],[Year 5 (Proposed)]]+Table66[[#This Row],[Year 6 (Proposed)]]</f>
        <v>0</v>
      </c>
      <c r="T1200" s="403" t="b">
        <f ca="1">Table66[[#This Row],[Total Specifed in RFO - N/A]]=Table66[[#This Row],[Total Proposed]]</f>
        <v>1</v>
      </c>
      <c r="U1200" s="439"/>
      <c r="V1200" s="441">
        <f ca="1">Table66[[#This Row],[Year 6 (Specified in RFO) - N/A]]-Table66[[#This Row],[Column1]]</f>
        <v>0</v>
      </c>
    </row>
    <row r="1201" spans="1:22" ht="16.5" thickBot="1">
      <c r="A1201" s="227"/>
      <c r="B1201" s="319"/>
      <c r="C1201" s="319"/>
      <c r="D1201" s="320"/>
      <c r="E1201" s="320"/>
      <c r="F1201" s="190"/>
      <c r="G12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1" s="190"/>
      <c r="I12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1" s="190"/>
      <c r="K12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1" s="190"/>
      <c r="M12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1" s="190"/>
      <c r="O12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1" s="190"/>
      <c r="Q12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1" s="192">
        <f ca="1">Table66[[#This Row],[Year 1 (Specified in RFO) - N/A]]+Table66[[#This Row],[Year 2 (Specified in RFO) - N/A]]+Table66[[#This Row],[Year 3 (Specified in RFO) - N/A]]+Table66[[#This Row],[Year 4 (Specified in RFO) - N/A]]+Table66[[#This Row],[Year 5 (Specified in RFO) - N/A]]+Table66[[#This Row],[Year 6 (Specified in RFO) - N/A]]</f>
        <v>0</v>
      </c>
      <c r="S1201" s="402">
        <f ca="1">Table66[[#This Row],[Year 1  (Proposed)]]+Table66[[#This Row],[Year 2 (Proposed)]]+Table66[[#This Row],[Year 3 (Proposed)]]+Table66[[#This Row],[Year 4 (Proposed)]]+Table66[[#This Row],[Year 5 (Proposed)]]+Table66[[#This Row],[Year 6 (Proposed)]]</f>
        <v>0</v>
      </c>
      <c r="T1201" s="403" t="b">
        <f ca="1">Table66[[#This Row],[Total Specifed in RFO - N/A]]=Table66[[#This Row],[Total Proposed]]</f>
        <v>1</v>
      </c>
      <c r="U1201" s="439"/>
      <c r="V1201" s="441">
        <f ca="1">Table66[[#This Row],[Year 6 (Specified in RFO) - N/A]]-Table66[[#This Row],[Column1]]</f>
        <v>0</v>
      </c>
    </row>
    <row r="1202" spans="1:22" ht="16.5" thickBot="1">
      <c r="A1202" s="227"/>
      <c r="B1202" s="319"/>
      <c r="C1202" s="319"/>
      <c r="D1202" s="320"/>
      <c r="E1202" s="320"/>
      <c r="F1202" s="190"/>
      <c r="G12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2" s="190"/>
      <c r="I12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2" s="190"/>
      <c r="K12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2" s="190"/>
      <c r="M12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2" s="190"/>
      <c r="O12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2" s="190"/>
      <c r="Q12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2" s="192">
        <f ca="1">Table66[[#This Row],[Year 1 (Specified in RFO) - N/A]]+Table66[[#This Row],[Year 2 (Specified in RFO) - N/A]]+Table66[[#This Row],[Year 3 (Specified in RFO) - N/A]]+Table66[[#This Row],[Year 4 (Specified in RFO) - N/A]]+Table66[[#This Row],[Year 5 (Specified in RFO) - N/A]]+Table66[[#This Row],[Year 6 (Specified in RFO) - N/A]]</f>
        <v>0</v>
      </c>
      <c r="S1202" s="402">
        <f ca="1">Table66[[#This Row],[Year 1  (Proposed)]]+Table66[[#This Row],[Year 2 (Proposed)]]+Table66[[#This Row],[Year 3 (Proposed)]]+Table66[[#This Row],[Year 4 (Proposed)]]+Table66[[#This Row],[Year 5 (Proposed)]]+Table66[[#This Row],[Year 6 (Proposed)]]</f>
        <v>0</v>
      </c>
      <c r="T1202" s="403" t="b">
        <f ca="1">Table66[[#This Row],[Total Specifed in RFO - N/A]]=Table66[[#This Row],[Total Proposed]]</f>
        <v>1</v>
      </c>
      <c r="U1202" s="439"/>
      <c r="V1202" s="441">
        <f ca="1">Table66[[#This Row],[Year 6 (Specified in RFO) - N/A]]-Table66[[#This Row],[Column1]]</f>
        <v>0</v>
      </c>
    </row>
    <row r="1203" spans="1:22" ht="16.5" thickBot="1">
      <c r="A1203" s="227"/>
      <c r="B1203" s="319"/>
      <c r="C1203" s="319"/>
      <c r="D1203" s="320"/>
      <c r="E1203" s="320"/>
      <c r="F1203" s="190"/>
      <c r="G12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3" s="190"/>
      <c r="I12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3" s="190"/>
      <c r="K12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3" s="190"/>
      <c r="M12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3" s="190"/>
      <c r="O12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3" s="190"/>
      <c r="Q12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3" s="192">
        <f ca="1">Table66[[#This Row],[Year 1 (Specified in RFO) - N/A]]+Table66[[#This Row],[Year 2 (Specified in RFO) - N/A]]+Table66[[#This Row],[Year 3 (Specified in RFO) - N/A]]+Table66[[#This Row],[Year 4 (Specified in RFO) - N/A]]+Table66[[#This Row],[Year 5 (Specified in RFO) - N/A]]+Table66[[#This Row],[Year 6 (Specified in RFO) - N/A]]</f>
        <v>0</v>
      </c>
      <c r="S1203" s="402">
        <f ca="1">Table66[[#This Row],[Year 1  (Proposed)]]+Table66[[#This Row],[Year 2 (Proposed)]]+Table66[[#This Row],[Year 3 (Proposed)]]+Table66[[#This Row],[Year 4 (Proposed)]]+Table66[[#This Row],[Year 5 (Proposed)]]+Table66[[#This Row],[Year 6 (Proposed)]]</f>
        <v>0</v>
      </c>
      <c r="T1203" s="403" t="b">
        <f ca="1">Table66[[#This Row],[Total Specifed in RFO - N/A]]=Table66[[#This Row],[Total Proposed]]</f>
        <v>1</v>
      </c>
      <c r="U1203" s="439"/>
      <c r="V1203" s="441">
        <f ca="1">Table66[[#This Row],[Year 6 (Specified in RFO) - N/A]]-Table66[[#This Row],[Column1]]</f>
        <v>0</v>
      </c>
    </row>
    <row r="1204" spans="1:22" ht="16.5" thickBot="1">
      <c r="A1204" s="227"/>
      <c r="B1204" s="319"/>
      <c r="C1204" s="319"/>
      <c r="D1204" s="320"/>
      <c r="E1204" s="320"/>
      <c r="F1204" s="190"/>
      <c r="G12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4" s="190"/>
      <c r="I12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4" s="190"/>
      <c r="K12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4" s="190"/>
      <c r="M12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4" s="190"/>
      <c r="O12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4" s="190"/>
      <c r="Q12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4" s="192">
        <f ca="1">Table66[[#This Row],[Year 1 (Specified in RFO) - N/A]]+Table66[[#This Row],[Year 2 (Specified in RFO) - N/A]]+Table66[[#This Row],[Year 3 (Specified in RFO) - N/A]]+Table66[[#This Row],[Year 4 (Specified in RFO) - N/A]]+Table66[[#This Row],[Year 5 (Specified in RFO) - N/A]]+Table66[[#This Row],[Year 6 (Specified in RFO) - N/A]]</f>
        <v>0</v>
      </c>
      <c r="S1204" s="402">
        <f ca="1">Table66[[#This Row],[Year 1  (Proposed)]]+Table66[[#This Row],[Year 2 (Proposed)]]+Table66[[#This Row],[Year 3 (Proposed)]]+Table66[[#This Row],[Year 4 (Proposed)]]+Table66[[#This Row],[Year 5 (Proposed)]]+Table66[[#This Row],[Year 6 (Proposed)]]</f>
        <v>0</v>
      </c>
      <c r="T1204" s="403" t="b">
        <f ca="1">Table66[[#This Row],[Total Specifed in RFO - N/A]]=Table66[[#This Row],[Total Proposed]]</f>
        <v>1</v>
      </c>
      <c r="U1204" s="439"/>
      <c r="V1204" s="441">
        <f ca="1">Table66[[#This Row],[Year 6 (Specified in RFO) - N/A]]-Table66[[#This Row],[Column1]]</f>
        <v>0</v>
      </c>
    </row>
    <row r="1205" spans="1:22" ht="16.5" thickBot="1">
      <c r="A1205" s="227"/>
      <c r="B1205" s="319"/>
      <c r="C1205" s="319"/>
      <c r="D1205" s="320"/>
      <c r="E1205" s="320"/>
      <c r="F1205" s="190"/>
      <c r="G12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5" s="190"/>
      <c r="I12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5" s="190"/>
      <c r="K12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5" s="190"/>
      <c r="M12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5" s="190"/>
      <c r="O12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5" s="190"/>
      <c r="Q12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5" s="192">
        <f ca="1">Table66[[#This Row],[Year 1 (Specified in RFO) - N/A]]+Table66[[#This Row],[Year 2 (Specified in RFO) - N/A]]+Table66[[#This Row],[Year 3 (Specified in RFO) - N/A]]+Table66[[#This Row],[Year 4 (Specified in RFO) - N/A]]+Table66[[#This Row],[Year 5 (Specified in RFO) - N/A]]+Table66[[#This Row],[Year 6 (Specified in RFO) - N/A]]</f>
        <v>0</v>
      </c>
      <c r="S1205" s="402">
        <f ca="1">Table66[[#This Row],[Year 1  (Proposed)]]+Table66[[#This Row],[Year 2 (Proposed)]]+Table66[[#This Row],[Year 3 (Proposed)]]+Table66[[#This Row],[Year 4 (Proposed)]]+Table66[[#This Row],[Year 5 (Proposed)]]+Table66[[#This Row],[Year 6 (Proposed)]]</f>
        <v>0</v>
      </c>
      <c r="T1205" s="403" t="b">
        <f ca="1">Table66[[#This Row],[Total Specifed in RFO - N/A]]=Table66[[#This Row],[Total Proposed]]</f>
        <v>1</v>
      </c>
      <c r="U1205" s="439"/>
      <c r="V1205" s="441">
        <f ca="1">Table66[[#This Row],[Year 6 (Specified in RFO) - N/A]]-Table66[[#This Row],[Column1]]</f>
        <v>0</v>
      </c>
    </row>
    <row r="1206" spans="1:22" ht="16.5" thickBot="1">
      <c r="A1206" s="227"/>
      <c r="B1206" s="319"/>
      <c r="C1206" s="319"/>
      <c r="D1206" s="320"/>
      <c r="E1206" s="320"/>
      <c r="F1206" s="190"/>
      <c r="G12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6" s="190"/>
      <c r="I12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6" s="190"/>
      <c r="K12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6" s="190"/>
      <c r="M12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6" s="190"/>
      <c r="O12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6" s="190"/>
      <c r="Q12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6" s="192">
        <f ca="1">Table66[[#This Row],[Year 1 (Specified in RFO) - N/A]]+Table66[[#This Row],[Year 2 (Specified in RFO) - N/A]]+Table66[[#This Row],[Year 3 (Specified in RFO) - N/A]]+Table66[[#This Row],[Year 4 (Specified in RFO) - N/A]]+Table66[[#This Row],[Year 5 (Specified in RFO) - N/A]]+Table66[[#This Row],[Year 6 (Specified in RFO) - N/A]]</f>
        <v>0</v>
      </c>
      <c r="S1206" s="402">
        <f ca="1">Table66[[#This Row],[Year 1  (Proposed)]]+Table66[[#This Row],[Year 2 (Proposed)]]+Table66[[#This Row],[Year 3 (Proposed)]]+Table66[[#This Row],[Year 4 (Proposed)]]+Table66[[#This Row],[Year 5 (Proposed)]]+Table66[[#This Row],[Year 6 (Proposed)]]</f>
        <v>0</v>
      </c>
      <c r="T1206" s="403" t="b">
        <f ca="1">Table66[[#This Row],[Total Specifed in RFO - N/A]]=Table66[[#This Row],[Total Proposed]]</f>
        <v>1</v>
      </c>
      <c r="U1206" s="439"/>
      <c r="V1206" s="441">
        <f ca="1">Table66[[#This Row],[Year 6 (Specified in RFO) - N/A]]-Table66[[#This Row],[Column1]]</f>
        <v>0</v>
      </c>
    </row>
    <row r="1207" spans="1:22" ht="16.5" thickBot="1">
      <c r="A1207" s="227"/>
      <c r="B1207" s="319"/>
      <c r="C1207" s="319"/>
      <c r="D1207" s="320"/>
      <c r="E1207" s="320"/>
      <c r="F1207" s="190"/>
      <c r="G12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7" s="190"/>
      <c r="I12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7" s="190"/>
      <c r="K12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7" s="190"/>
      <c r="M12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7" s="190"/>
      <c r="O12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7" s="190"/>
      <c r="Q12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7" s="192">
        <f ca="1">Table66[[#This Row],[Year 1 (Specified in RFO) - N/A]]+Table66[[#This Row],[Year 2 (Specified in RFO) - N/A]]+Table66[[#This Row],[Year 3 (Specified in RFO) - N/A]]+Table66[[#This Row],[Year 4 (Specified in RFO) - N/A]]+Table66[[#This Row],[Year 5 (Specified in RFO) - N/A]]+Table66[[#This Row],[Year 6 (Specified in RFO) - N/A]]</f>
        <v>0</v>
      </c>
      <c r="S1207" s="402">
        <f ca="1">Table66[[#This Row],[Year 1  (Proposed)]]+Table66[[#This Row],[Year 2 (Proposed)]]+Table66[[#This Row],[Year 3 (Proposed)]]+Table66[[#This Row],[Year 4 (Proposed)]]+Table66[[#This Row],[Year 5 (Proposed)]]+Table66[[#This Row],[Year 6 (Proposed)]]</f>
        <v>0</v>
      </c>
      <c r="T1207" s="403" t="b">
        <f ca="1">Table66[[#This Row],[Total Specifed in RFO - N/A]]=Table66[[#This Row],[Total Proposed]]</f>
        <v>1</v>
      </c>
      <c r="U1207" s="439"/>
      <c r="V1207" s="441">
        <f ca="1">Table66[[#This Row],[Year 6 (Specified in RFO) - N/A]]-Table66[[#This Row],[Column1]]</f>
        <v>0</v>
      </c>
    </row>
    <row r="1208" spans="1:22" ht="16.5" thickBot="1">
      <c r="A1208" s="227"/>
      <c r="B1208" s="319"/>
      <c r="C1208" s="319"/>
      <c r="D1208" s="320"/>
      <c r="E1208" s="320"/>
      <c r="F1208" s="190"/>
      <c r="G12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8" s="190"/>
      <c r="I12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8" s="190"/>
      <c r="K12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8" s="190"/>
      <c r="M12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8" s="190"/>
      <c r="O12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8" s="190"/>
      <c r="Q12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8" s="192">
        <f ca="1">Table66[[#This Row],[Year 1 (Specified in RFO) - N/A]]+Table66[[#This Row],[Year 2 (Specified in RFO) - N/A]]+Table66[[#This Row],[Year 3 (Specified in RFO) - N/A]]+Table66[[#This Row],[Year 4 (Specified in RFO) - N/A]]+Table66[[#This Row],[Year 5 (Specified in RFO) - N/A]]+Table66[[#This Row],[Year 6 (Specified in RFO) - N/A]]</f>
        <v>0</v>
      </c>
      <c r="S1208" s="402">
        <f ca="1">Table66[[#This Row],[Year 1  (Proposed)]]+Table66[[#This Row],[Year 2 (Proposed)]]+Table66[[#This Row],[Year 3 (Proposed)]]+Table66[[#This Row],[Year 4 (Proposed)]]+Table66[[#This Row],[Year 5 (Proposed)]]+Table66[[#This Row],[Year 6 (Proposed)]]</f>
        <v>0</v>
      </c>
      <c r="T1208" s="403" t="b">
        <f ca="1">Table66[[#This Row],[Total Specifed in RFO - N/A]]=Table66[[#This Row],[Total Proposed]]</f>
        <v>1</v>
      </c>
      <c r="U1208" s="439"/>
      <c r="V1208" s="441">
        <f ca="1">Table66[[#This Row],[Year 6 (Specified in RFO) - N/A]]-Table66[[#This Row],[Column1]]</f>
        <v>0</v>
      </c>
    </row>
    <row r="1209" spans="1:22" ht="16.5" thickBot="1">
      <c r="A1209" s="227"/>
      <c r="B1209" s="319"/>
      <c r="C1209" s="319"/>
      <c r="D1209" s="320"/>
      <c r="E1209" s="320"/>
      <c r="F1209" s="190"/>
      <c r="G12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9" s="190"/>
      <c r="I12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9" s="190"/>
      <c r="K12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9" s="190"/>
      <c r="M12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9" s="190"/>
      <c r="O12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9" s="190"/>
      <c r="Q12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9" s="192">
        <f ca="1">Table66[[#This Row],[Year 1 (Specified in RFO) - N/A]]+Table66[[#This Row],[Year 2 (Specified in RFO) - N/A]]+Table66[[#This Row],[Year 3 (Specified in RFO) - N/A]]+Table66[[#This Row],[Year 4 (Specified in RFO) - N/A]]+Table66[[#This Row],[Year 5 (Specified in RFO) - N/A]]+Table66[[#This Row],[Year 6 (Specified in RFO) - N/A]]</f>
        <v>0</v>
      </c>
      <c r="S1209" s="402">
        <f ca="1">Table66[[#This Row],[Year 1  (Proposed)]]+Table66[[#This Row],[Year 2 (Proposed)]]+Table66[[#This Row],[Year 3 (Proposed)]]+Table66[[#This Row],[Year 4 (Proposed)]]+Table66[[#This Row],[Year 5 (Proposed)]]+Table66[[#This Row],[Year 6 (Proposed)]]</f>
        <v>0</v>
      </c>
      <c r="T1209" s="403" t="b">
        <f ca="1">Table66[[#This Row],[Total Specifed in RFO - N/A]]=Table66[[#This Row],[Total Proposed]]</f>
        <v>1</v>
      </c>
      <c r="U1209" s="439"/>
      <c r="V1209" s="441">
        <f ca="1">Table66[[#This Row],[Year 6 (Specified in RFO) - N/A]]-Table66[[#This Row],[Column1]]</f>
        <v>0</v>
      </c>
    </row>
    <row r="1210" spans="1:22" ht="16.5" thickBot="1">
      <c r="A1210" s="227"/>
      <c r="B1210" s="319"/>
      <c r="C1210" s="319"/>
      <c r="D1210" s="320"/>
      <c r="E1210" s="320"/>
      <c r="F1210" s="190"/>
      <c r="G12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0" s="190"/>
      <c r="I12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0" s="190"/>
      <c r="K12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0" s="190"/>
      <c r="M12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0" s="190"/>
      <c r="O12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0" s="190"/>
      <c r="Q12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0" s="192">
        <f ca="1">Table66[[#This Row],[Year 1 (Specified in RFO) - N/A]]+Table66[[#This Row],[Year 2 (Specified in RFO) - N/A]]+Table66[[#This Row],[Year 3 (Specified in RFO) - N/A]]+Table66[[#This Row],[Year 4 (Specified in RFO) - N/A]]+Table66[[#This Row],[Year 5 (Specified in RFO) - N/A]]+Table66[[#This Row],[Year 6 (Specified in RFO) - N/A]]</f>
        <v>0</v>
      </c>
      <c r="S1210" s="402">
        <f ca="1">Table66[[#This Row],[Year 1  (Proposed)]]+Table66[[#This Row],[Year 2 (Proposed)]]+Table66[[#This Row],[Year 3 (Proposed)]]+Table66[[#This Row],[Year 4 (Proposed)]]+Table66[[#This Row],[Year 5 (Proposed)]]+Table66[[#This Row],[Year 6 (Proposed)]]</f>
        <v>0</v>
      </c>
      <c r="T1210" s="403" t="b">
        <f ca="1">Table66[[#This Row],[Total Specifed in RFO - N/A]]=Table66[[#This Row],[Total Proposed]]</f>
        <v>1</v>
      </c>
      <c r="U1210" s="439"/>
      <c r="V1210" s="441">
        <f ca="1">Table66[[#This Row],[Year 6 (Specified in RFO) - N/A]]-Table66[[#This Row],[Column1]]</f>
        <v>0</v>
      </c>
    </row>
    <row r="1211" spans="1:22" ht="16.5" thickBot="1">
      <c r="A1211" s="227"/>
      <c r="B1211" s="319"/>
      <c r="C1211" s="319"/>
      <c r="D1211" s="320"/>
      <c r="E1211" s="320"/>
      <c r="F1211" s="190"/>
      <c r="G12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1" s="190"/>
      <c r="I12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1" s="190"/>
      <c r="K12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1" s="190"/>
      <c r="M12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1" s="190"/>
      <c r="O12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1" s="190"/>
      <c r="Q12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1" s="192">
        <f ca="1">Table66[[#This Row],[Year 1 (Specified in RFO) - N/A]]+Table66[[#This Row],[Year 2 (Specified in RFO) - N/A]]+Table66[[#This Row],[Year 3 (Specified in RFO) - N/A]]+Table66[[#This Row],[Year 4 (Specified in RFO) - N/A]]+Table66[[#This Row],[Year 5 (Specified in RFO) - N/A]]+Table66[[#This Row],[Year 6 (Specified in RFO) - N/A]]</f>
        <v>0</v>
      </c>
      <c r="S1211" s="402">
        <f ca="1">Table66[[#This Row],[Year 1  (Proposed)]]+Table66[[#This Row],[Year 2 (Proposed)]]+Table66[[#This Row],[Year 3 (Proposed)]]+Table66[[#This Row],[Year 4 (Proposed)]]+Table66[[#This Row],[Year 5 (Proposed)]]+Table66[[#This Row],[Year 6 (Proposed)]]</f>
        <v>0</v>
      </c>
      <c r="T1211" s="403" t="b">
        <f ca="1">Table66[[#This Row],[Total Specifed in RFO - N/A]]=Table66[[#This Row],[Total Proposed]]</f>
        <v>1</v>
      </c>
      <c r="U1211" s="439"/>
      <c r="V1211" s="441">
        <f ca="1">Table66[[#This Row],[Year 6 (Specified in RFO) - N/A]]-Table66[[#This Row],[Column1]]</f>
        <v>0</v>
      </c>
    </row>
    <row r="1212" spans="1:22" ht="16.5" thickBot="1">
      <c r="A1212" s="227"/>
      <c r="B1212" s="319"/>
      <c r="C1212" s="319"/>
      <c r="D1212" s="320"/>
      <c r="E1212" s="320"/>
      <c r="F1212" s="190"/>
      <c r="G12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2" s="190"/>
      <c r="I12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2" s="190"/>
      <c r="K12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2" s="190"/>
      <c r="M12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2" s="190"/>
      <c r="O12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2" s="190"/>
      <c r="Q12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2" s="192">
        <f ca="1">Table66[[#This Row],[Year 1 (Specified in RFO) - N/A]]+Table66[[#This Row],[Year 2 (Specified in RFO) - N/A]]+Table66[[#This Row],[Year 3 (Specified in RFO) - N/A]]+Table66[[#This Row],[Year 4 (Specified in RFO) - N/A]]+Table66[[#This Row],[Year 5 (Specified in RFO) - N/A]]+Table66[[#This Row],[Year 6 (Specified in RFO) - N/A]]</f>
        <v>0</v>
      </c>
      <c r="S1212" s="402">
        <f ca="1">Table66[[#This Row],[Year 1  (Proposed)]]+Table66[[#This Row],[Year 2 (Proposed)]]+Table66[[#This Row],[Year 3 (Proposed)]]+Table66[[#This Row],[Year 4 (Proposed)]]+Table66[[#This Row],[Year 5 (Proposed)]]+Table66[[#This Row],[Year 6 (Proposed)]]</f>
        <v>0</v>
      </c>
      <c r="T1212" s="403" t="b">
        <f ca="1">Table66[[#This Row],[Total Specifed in RFO - N/A]]=Table66[[#This Row],[Total Proposed]]</f>
        <v>1</v>
      </c>
      <c r="U1212" s="439"/>
      <c r="V1212" s="441">
        <f ca="1">Table66[[#This Row],[Year 6 (Specified in RFO) - N/A]]-Table66[[#This Row],[Column1]]</f>
        <v>0</v>
      </c>
    </row>
    <row r="1213" spans="1:22" ht="16.5" thickBot="1">
      <c r="A1213" s="227"/>
      <c r="B1213" s="319"/>
      <c r="C1213" s="319"/>
      <c r="D1213" s="320"/>
      <c r="E1213" s="320"/>
      <c r="F1213" s="190"/>
      <c r="G12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3" s="190"/>
      <c r="I12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3" s="190"/>
      <c r="K12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3" s="190"/>
      <c r="M12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3" s="190"/>
      <c r="O12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3" s="190"/>
      <c r="Q12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3" s="192">
        <f ca="1">Table66[[#This Row],[Year 1 (Specified in RFO) - N/A]]+Table66[[#This Row],[Year 2 (Specified in RFO) - N/A]]+Table66[[#This Row],[Year 3 (Specified in RFO) - N/A]]+Table66[[#This Row],[Year 4 (Specified in RFO) - N/A]]+Table66[[#This Row],[Year 5 (Specified in RFO) - N/A]]+Table66[[#This Row],[Year 6 (Specified in RFO) - N/A]]</f>
        <v>0</v>
      </c>
      <c r="S1213" s="402">
        <f ca="1">Table66[[#This Row],[Year 1  (Proposed)]]+Table66[[#This Row],[Year 2 (Proposed)]]+Table66[[#This Row],[Year 3 (Proposed)]]+Table66[[#This Row],[Year 4 (Proposed)]]+Table66[[#This Row],[Year 5 (Proposed)]]+Table66[[#This Row],[Year 6 (Proposed)]]</f>
        <v>0</v>
      </c>
      <c r="T1213" s="403" t="b">
        <f ca="1">Table66[[#This Row],[Total Specifed in RFO - N/A]]=Table66[[#This Row],[Total Proposed]]</f>
        <v>1</v>
      </c>
      <c r="U1213" s="439"/>
      <c r="V1213" s="441">
        <f ca="1">Table66[[#This Row],[Year 6 (Specified in RFO) - N/A]]-Table66[[#This Row],[Column1]]</f>
        <v>0</v>
      </c>
    </row>
    <row r="1214" spans="1:22" ht="16.5" thickBot="1">
      <c r="A1214" s="227"/>
      <c r="B1214" s="319"/>
      <c r="C1214" s="319"/>
      <c r="D1214" s="320"/>
      <c r="E1214" s="320"/>
      <c r="F1214" s="190"/>
      <c r="G12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4" s="190"/>
      <c r="I12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4" s="190"/>
      <c r="K12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4" s="190"/>
      <c r="M12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4" s="190"/>
      <c r="O12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4" s="190"/>
      <c r="Q12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4" s="192">
        <f ca="1">Table66[[#This Row],[Year 1 (Specified in RFO) - N/A]]+Table66[[#This Row],[Year 2 (Specified in RFO) - N/A]]+Table66[[#This Row],[Year 3 (Specified in RFO) - N/A]]+Table66[[#This Row],[Year 4 (Specified in RFO) - N/A]]+Table66[[#This Row],[Year 5 (Specified in RFO) - N/A]]+Table66[[#This Row],[Year 6 (Specified in RFO) - N/A]]</f>
        <v>0</v>
      </c>
      <c r="S1214" s="402">
        <f ca="1">Table66[[#This Row],[Year 1  (Proposed)]]+Table66[[#This Row],[Year 2 (Proposed)]]+Table66[[#This Row],[Year 3 (Proposed)]]+Table66[[#This Row],[Year 4 (Proposed)]]+Table66[[#This Row],[Year 5 (Proposed)]]+Table66[[#This Row],[Year 6 (Proposed)]]</f>
        <v>0</v>
      </c>
      <c r="T1214" s="403" t="b">
        <f ca="1">Table66[[#This Row],[Total Specifed in RFO - N/A]]=Table66[[#This Row],[Total Proposed]]</f>
        <v>1</v>
      </c>
      <c r="U1214" s="439"/>
      <c r="V1214" s="441">
        <f ca="1">Table66[[#This Row],[Year 6 (Specified in RFO) - N/A]]-Table66[[#This Row],[Column1]]</f>
        <v>0</v>
      </c>
    </row>
    <row r="1215" spans="1:22" ht="16.5" thickBot="1">
      <c r="A1215" s="227"/>
      <c r="B1215" s="319"/>
      <c r="C1215" s="319"/>
      <c r="D1215" s="320"/>
      <c r="E1215" s="320"/>
      <c r="F1215" s="190"/>
      <c r="G12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5" s="190"/>
      <c r="I12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5" s="190"/>
      <c r="K12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5" s="190"/>
      <c r="M12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5" s="190"/>
      <c r="O12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5" s="190"/>
      <c r="Q12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5" s="192">
        <f ca="1">Table66[[#This Row],[Year 1 (Specified in RFO) - N/A]]+Table66[[#This Row],[Year 2 (Specified in RFO) - N/A]]+Table66[[#This Row],[Year 3 (Specified in RFO) - N/A]]+Table66[[#This Row],[Year 4 (Specified in RFO) - N/A]]+Table66[[#This Row],[Year 5 (Specified in RFO) - N/A]]+Table66[[#This Row],[Year 6 (Specified in RFO) - N/A]]</f>
        <v>0</v>
      </c>
      <c r="S1215" s="402">
        <f ca="1">Table66[[#This Row],[Year 1  (Proposed)]]+Table66[[#This Row],[Year 2 (Proposed)]]+Table66[[#This Row],[Year 3 (Proposed)]]+Table66[[#This Row],[Year 4 (Proposed)]]+Table66[[#This Row],[Year 5 (Proposed)]]+Table66[[#This Row],[Year 6 (Proposed)]]</f>
        <v>0</v>
      </c>
      <c r="T1215" s="403" t="b">
        <f ca="1">Table66[[#This Row],[Total Specifed in RFO - N/A]]=Table66[[#This Row],[Total Proposed]]</f>
        <v>1</v>
      </c>
      <c r="U1215" s="439"/>
      <c r="V1215" s="441">
        <f ca="1">Table66[[#This Row],[Year 6 (Specified in RFO) - N/A]]-Table66[[#This Row],[Column1]]</f>
        <v>0</v>
      </c>
    </row>
    <row r="1216" spans="1:22" ht="16.5" thickBot="1">
      <c r="A1216" s="227"/>
      <c r="B1216" s="319"/>
      <c r="C1216" s="319"/>
      <c r="D1216" s="320"/>
      <c r="E1216" s="320"/>
      <c r="F1216" s="190"/>
      <c r="G12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6" s="190"/>
      <c r="I12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6" s="190"/>
      <c r="K12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6" s="190"/>
      <c r="M12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6" s="190"/>
      <c r="O12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6" s="190"/>
      <c r="Q12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6" s="192">
        <f ca="1">Table66[[#This Row],[Year 1 (Specified in RFO) - N/A]]+Table66[[#This Row],[Year 2 (Specified in RFO) - N/A]]+Table66[[#This Row],[Year 3 (Specified in RFO) - N/A]]+Table66[[#This Row],[Year 4 (Specified in RFO) - N/A]]+Table66[[#This Row],[Year 5 (Specified in RFO) - N/A]]+Table66[[#This Row],[Year 6 (Specified in RFO) - N/A]]</f>
        <v>0</v>
      </c>
      <c r="S1216" s="402">
        <f ca="1">Table66[[#This Row],[Year 1  (Proposed)]]+Table66[[#This Row],[Year 2 (Proposed)]]+Table66[[#This Row],[Year 3 (Proposed)]]+Table66[[#This Row],[Year 4 (Proposed)]]+Table66[[#This Row],[Year 5 (Proposed)]]+Table66[[#This Row],[Year 6 (Proposed)]]</f>
        <v>0</v>
      </c>
      <c r="T1216" s="403" t="b">
        <f ca="1">Table66[[#This Row],[Total Specifed in RFO - N/A]]=Table66[[#This Row],[Total Proposed]]</f>
        <v>1</v>
      </c>
      <c r="U1216" s="439"/>
      <c r="V1216" s="441">
        <f ca="1">Table66[[#This Row],[Year 6 (Specified in RFO) - N/A]]-Table66[[#This Row],[Column1]]</f>
        <v>0</v>
      </c>
    </row>
    <row r="1217" spans="1:22" ht="16.5" thickBot="1">
      <c r="A1217" s="227"/>
      <c r="B1217" s="319"/>
      <c r="C1217" s="319"/>
      <c r="D1217" s="320"/>
      <c r="E1217" s="320"/>
      <c r="F1217" s="190"/>
      <c r="G12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7" s="190"/>
      <c r="I12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7" s="190"/>
      <c r="K12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7" s="190"/>
      <c r="M12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7" s="190"/>
      <c r="O12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7" s="190"/>
      <c r="Q12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7" s="192">
        <f ca="1">Table66[[#This Row],[Year 1 (Specified in RFO) - N/A]]+Table66[[#This Row],[Year 2 (Specified in RFO) - N/A]]+Table66[[#This Row],[Year 3 (Specified in RFO) - N/A]]+Table66[[#This Row],[Year 4 (Specified in RFO) - N/A]]+Table66[[#This Row],[Year 5 (Specified in RFO) - N/A]]+Table66[[#This Row],[Year 6 (Specified in RFO) - N/A]]</f>
        <v>0</v>
      </c>
      <c r="S1217" s="402">
        <f ca="1">Table66[[#This Row],[Year 1  (Proposed)]]+Table66[[#This Row],[Year 2 (Proposed)]]+Table66[[#This Row],[Year 3 (Proposed)]]+Table66[[#This Row],[Year 4 (Proposed)]]+Table66[[#This Row],[Year 5 (Proposed)]]+Table66[[#This Row],[Year 6 (Proposed)]]</f>
        <v>0</v>
      </c>
      <c r="T1217" s="403" t="b">
        <f ca="1">Table66[[#This Row],[Total Specifed in RFO - N/A]]=Table66[[#This Row],[Total Proposed]]</f>
        <v>1</v>
      </c>
      <c r="U1217" s="439"/>
      <c r="V1217" s="441">
        <f ca="1">Table66[[#This Row],[Year 6 (Specified in RFO) - N/A]]-Table66[[#This Row],[Column1]]</f>
        <v>0</v>
      </c>
    </row>
    <row r="1218" spans="1:22" ht="16.5" thickBot="1">
      <c r="A1218" s="227"/>
      <c r="B1218" s="319"/>
      <c r="C1218" s="319"/>
      <c r="D1218" s="320"/>
      <c r="E1218" s="320"/>
      <c r="F1218" s="190"/>
      <c r="G12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8" s="190"/>
      <c r="I12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8" s="190"/>
      <c r="K12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8" s="190"/>
      <c r="M12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8" s="190"/>
      <c r="O12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8" s="190"/>
      <c r="Q12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8" s="192">
        <f ca="1">Table66[[#This Row],[Year 1 (Specified in RFO) - N/A]]+Table66[[#This Row],[Year 2 (Specified in RFO) - N/A]]+Table66[[#This Row],[Year 3 (Specified in RFO) - N/A]]+Table66[[#This Row],[Year 4 (Specified in RFO) - N/A]]+Table66[[#This Row],[Year 5 (Specified in RFO) - N/A]]+Table66[[#This Row],[Year 6 (Specified in RFO) - N/A]]</f>
        <v>0</v>
      </c>
      <c r="S1218" s="402">
        <f ca="1">Table66[[#This Row],[Year 1  (Proposed)]]+Table66[[#This Row],[Year 2 (Proposed)]]+Table66[[#This Row],[Year 3 (Proposed)]]+Table66[[#This Row],[Year 4 (Proposed)]]+Table66[[#This Row],[Year 5 (Proposed)]]+Table66[[#This Row],[Year 6 (Proposed)]]</f>
        <v>0</v>
      </c>
      <c r="T1218" s="403" t="b">
        <f ca="1">Table66[[#This Row],[Total Specifed in RFO - N/A]]=Table66[[#This Row],[Total Proposed]]</f>
        <v>1</v>
      </c>
      <c r="U1218" s="439"/>
      <c r="V1218" s="441">
        <f ca="1">Table66[[#This Row],[Year 6 (Specified in RFO) - N/A]]-Table66[[#This Row],[Column1]]</f>
        <v>0</v>
      </c>
    </row>
    <row r="1219" spans="1:22" ht="16.5" thickBot="1">
      <c r="A1219" s="227"/>
      <c r="B1219" s="319"/>
      <c r="C1219" s="319"/>
      <c r="D1219" s="320"/>
      <c r="E1219" s="320"/>
      <c r="F1219" s="190"/>
      <c r="G12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9" s="190"/>
      <c r="I12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9" s="190"/>
      <c r="K12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9" s="190"/>
      <c r="M12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9" s="190"/>
      <c r="O12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9" s="190"/>
      <c r="Q12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9" s="192">
        <f ca="1">Table66[[#This Row],[Year 1 (Specified in RFO) - N/A]]+Table66[[#This Row],[Year 2 (Specified in RFO) - N/A]]+Table66[[#This Row],[Year 3 (Specified in RFO) - N/A]]+Table66[[#This Row],[Year 4 (Specified in RFO) - N/A]]+Table66[[#This Row],[Year 5 (Specified in RFO) - N/A]]+Table66[[#This Row],[Year 6 (Specified in RFO) - N/A]]</f>
        <v>0</v>
      </c>
      <c r="S1219" s="402">
        <f ca="1">Table66[[#This Row],[Year 1  (Proposed)]]+Table66[[#This Row],[Year 2 (Proposed)]]+Table66[[#This Row],[Year 3 (Proposed)]]+Table66[[#This Row],[Year 4 (Proposed)]]+Table66[[#This Row],[Year 5 (Proposed)]]+Table66[[#This Row],[Year 6 (Proposed)]]</f>
        <v>0</v>
      </c>
      <c r="T1219" s="403" t="b">
        <f ca="1">Table66[[#This Row],[Total Specifed in RFO - N/A]]=Table66[[#This Row],[Total Proposed]]</f>
        <v>1</v>
      </c>
      <c r="U1219" s="439"/>
      <c r="V1219" s="441">
        <f ca="1">Table66[[#This Row],[Year 6 (Specified in RFO) - N/A]]-Table66[[#This Row],[Column1]]</f>
        <v>0</v>
      </c>
    </row>
    <row r="1220" spans="1:22" ht="16.5" thickBot="1">
      <c r="A1220" s="227"/>
      <c r="B1220" s="319"/>
      <c r="C1220" s="319"/>
      <c r="D1220" s="320"/>
      <c r="E1220" s="320"/>
      <c r="F1220" s="190"/>
      <c r="G12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0" s="190"/>
      <c r="I12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0" s="190"/>
      <c r="K12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0" s="190"/>
      <c r="M12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0" s="190"/>
      <c r="O12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0" s="190"/>
      <c r="Q12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0" s="192">
        <f ca="1">Table66[[#This Row],[Year 1 (Specified in RFO) - N/A]]+Table66[[#This Row],[Year 2 (Specified in RFO) - N/A]]+Table66[[#This Row],[Year 3 (Specified in RFO) - N/A]]+Table66[[#This Row],[Year 4 (Specified in RFO) - N/A]]+Table66[[#This Row],[Year 5 (Specified in RFO) - N/A]]+Table66[[#This Row],[Year 6 (Specified in RFO) - N/A]]</f>
        <v>0</v>
      </c>
      <c r="S1220" s="402">
        <f ca="1">Table66[[#This Row],[Year 1  (Proposed)]]+Table66[[#This Row],[Year 2 (Proposed)]]+Table66[[#This Row],[Year 3 (Proposed)]]+Table66[[#This Row],[Year 4 (Proposed)]]+Table66[[#This Row],[Year 5 (Proposed)]]+Table66[[#This Row],[Year 6 (Proposed)]]</f>
        <v>0</v>
      </c>
      <c r="T1220" s="403" t="b">
        <f ca="1">Table66[[#This Row],[Total Specifed in RFO - N/A]]=Table66[[#This Row],[Total Proposed]]</f>
        <v>1</v>
      </c>
      <c r="U1220" s="439"/>
      <c r="V1220" s="441">
        <f ca="1">Table66[[#This Row],[Year 6 (Specified in RFO) - N/A]]-Table66[[#This Row],[Column1]]</f>
        <v>0</v>
      </c>
    </row>
    <row r="1221" spans="1:22" ht="16.5" thickBot="1">
      <c r="A1221" s="227"/>
      <c r="B1221" s="319"/>
      <c r="C1221" s="319"/>
      <c r="D1221" s="320"/>
      <c r="E1221" s="320"/>
      <c r="F1221" s="190"/>
      <c r="G12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1" s="190"/>
      <c r="I12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1" s="190"/>
      <c r="K12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1" s="190"/>
      <c r="M12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1" s="190"/>
      <c r="O12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1" s="190"/>
      <c r="Q12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1" s="192">
        <f ca="1">Table66[[#This Row],[Year 1 (Specified in RFO) - N/A]]+Table66[[#This Row],[Year 2 (Specified in RFO) - N/A]]+Table66[[#This Row],[Year 3 (Specified in RFO) - N/A]]+Table66[[#This Row],[Year 4 (Specified in RFO) - N/A]]+Table66[[#This Row],[Year 5 (Specified in RFO) - N/A]]+Table66[[#This Row],[Year 6 (Specified in RFO) - N/A]]</f>
        <v>0</v>
      </c>
      <c r="S1221" s="402">
        <f ca="1">Table66[[#This Row],[Year 1  (Proposed)]]+Table66[[#This Row],[Year 2 (Proposed)]]+Table66[[#This Row],[Year 3 (Proposed)]]+Table66[[#This Row],[Year 4 (Proposed)]]+Table66[[#This Row],[Year 5 (Proposed)]]+Table66[[#This Row],[Year 6 (Proposed)]]</f>
        <v>0</v>
      </c>
      <c r="T1221" s="403" t="b">
        <f ca="1">Table66[[#This Row],[Total Specifed in RFO - N/A]]=Table66[[#This Row],[Total Proposed]]</f>
        <v>1</v>
      </c>
      <c r="U1221" s="439"/>
      <c r="V1221" s="441">
        <f ca="1">Table66[[#This Row],[Year 6 (Specified in RFO) - N/A]]-Table66[[#This Row],[Column1]]</f>
        <v>0</v>
      </c>
    </row>
    <row r="1222" spans="1:22" ht="16.5" thickBot="1">
      <c r="A1222" s="227"/>
      <c r="B1222" s="319"/>
      <c r="C1222" s="319"/>
      <c r="D1222" s="320"/>
      <c r="E1222" s="320"/>
      <c r="F1222" s="190"/>
      <c r="G12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2" s="190"/>
      <c r="I12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2" s="190"/>
      <c r="K12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2" s="190"/>
      <c r="M12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2" s="190"/>
      <c r="O12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2" s="190"/>
      <c r="Q12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2" s="192">
        <f ca="1">Table66[[#This Row],[Year 1 (Specified in RFO) - N/A]]+Table66[[#This Row],[Year 2 (Specified in RFO) - N/A]]+Table66[[#This Row],[Year 3 (Specified in RFO) - N/A]]+Table66[[#This Row],[Year 4 (Specified in RFO) - N/A]]+Table66[[#This Row],[Year 5 (Specified in RFO) - N/A]]+Table66[[#This Row],[Year 6 (Specified in RFO) - N/A]]</f>
        <v>0</v>
      </c>
      <c r="S1222" s="402">
        <f ca="1">Table66[[#This Row],[Year 1  (Proposed)]]+Table66[[#This Row],[Year 2 (Proposed)]]+Table66[[#This Row],[Year 3 (Proposed)]]+Table66[[#This Row],[Year 4 (Proposed)]]+Table66[[#This Row],[Year 5 (Proposed)]]+Table66[[#This Row],[Year 6 (Proposed)]]</f>
        <v>0</v>
      </c>
      <c r="T1222" s="403" t="b">
        <f ca="1">Table66[[#This Row],[Total Specifed in RFO - N/A]]=Table66[[#This Row],[Total Proposed]]</f>
        <v>1</v>
      </c>
      <c r="U1222" s="439"/>
      <c r="V1222" s="441">
        <f ca="1">Table66[[#This Row],[Year 6 (Specified in RFO) - N/A]]-Table66[[#This Row],[Column1]]</f>
        <v>0</v>
      </c>
    </row>
    <row r="1223" spans="1:22" ht="16.5" thickBot="1">
      <c r="A1223" s="227"/>
      <c r="B1223" s="319"/>
      <c r="C1223" s="319"/>
      <c r="D1223" s="320"/>
      <c r="E1223" s="320"/>
      <c r="F1223" s="190"/>
      <c r="G12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3" s="190"/>
      <c r="I12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3" s="190"/>
      <c r="K12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3" s="190"/>
      <c r="M12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3" s="190"/>
      <c r="O12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3" s="190"/>
      <c r="Q12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3" s="192">
        <f ca="1">Table66[[#This Row],[Year 1 (Specified in RFO) - N/A]]+Table66[[#This Row],[Year 2 (Specified in RFO) - N/A]]+Table66[[#This Row],[Year 3 (Specified in RFO) - N/A]]+Table66[[#This Row],[Year 4 (Specified in RFO) - N/A]]+Table66[[#This Row],[Year 5 (Specified in RFO) - N/A]]+Table66[[#This Row],[Year 6 (Specified in RFO) - N/A]]</f>
        <v>0</v>
      </c>
      <c r="S1223" s="402">
        <f ca="1">Table66[[#This Row],[Year 1  (Proposed)]]+Table66[[#This Row],[Year 2 (Proposed)]]+Table66[[#This Row],[Year 3 (Proposed)]]+Table66[[#This Row],[Year 4 (Proposed)]]+Table66[[#This Row],[Year 5 (Proposed)]]+Table66[[#This Row],[Year 6 (Proposed)]]</f>
        <v>0</v>
      </c>
      <c r="T1223" s="403" t="b">
        <f ca="1">Table66[[#This Row],[Total Specifed in RFO - N/A]]=Table66[[#This Row],[Total Proposed]]</f>
        <v>1</v>
      </c>
      <c r="U1223" s="439"/>
      <c r="V1223" s="441">
        <f ca="1">Table66[[#This Row],[Year 6 (Specified in RFO) - N/A]]-Table66[[#This Row],[Column1]]</f>
        <v>0</v>
      </c>
    </row>
    <row r="1224" spans="1:22" ht="16.5" thickBot="1">
      <c r="A1224" s="227"/>
      <c r="B1224" s="319"/>
      <c r="C1224" s="319"/>
      <c r="D1224" s="320"/>
      <c r="E1224" s="320"/>
      <c r="F1224" s="190"/>
      <c r="G12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4" s="190"/>
      <c r="I12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4" s="190"/>
      <c r="K12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4" s="190"/>
      <c r="M12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4" s="190"/>
      <c r="O12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4" s="190"/>
      <c r="Q12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4" s="192">
        <f ca="1">Table66[[#This Row],[Year 1 (Specified in RFO) - N/A]]+Table66[[#This Row],[Year 2 (Specified in RFO) - N/A]]+Table66[[#This Row],[Year 3 (Specified in RFO) - N/A]]+Table66[[#This Row],[Year 4 (Specified in RFO) - N/A]]+Table66[[#This Row],[Year 5 (Specified in RFO) - N/A]]+Table66[[#This Row],[Year 6 (Specified in RFO) - N/A]]</f>
        <v>0</v>
      </c>
      <c r="S1224" s="402">
        <f ca="1">Table66[[#This Row],[Year 1  (Proposed)]]+Table66[[#This Row],[Year 2 (Proposed)]]+Table66[[#This Row],[Year 3 (Proposed)]]+Table66[[#This Row],[Year 4 (Proposed)]]+Table66[[#This Row],[Year 5 (Proposed)]]+Table66[[#This Row],[Year 6 (Proposed)]]</f>
        <v>0</v>
      </c>
      <c r="T1224" s="403" t="b">
        <f ca="1">Table66[[#This Row],[Total Specifed in RFO - N/A]]=Table66[[#This Row],[Total Proposed]]</f>
        <v>1</v>
      </c>
      <c r="U1224" s="439"/>
      <c r="V1224" s="441">
        <f ca="1">Table66[[#This Row],[Year 6 (Specified in RFO) - N/A]]-Table66[[#This Row],[Column1]]</f>
        <v>0</v>
      </c>
    </row>
    <row r="1225" spans="1:22" ht="16.5" thickBot="1">
      <c r="A1225" s="227"/>
      <c r="B1225" s="319"/>
      <c r="C1225" s="319"/>
      <c r="D1225" s="320"/>
      <c r="E1225" s="320"/>
      <c r="F1225" s="190"/>
      <c r="G12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5" s="190"/>
      <c r="I12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5" s="190"/>
      <c r="K12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5" s="190"/>
      <c r="M12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5" s="190"/>
      <c r="O12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5" s="190"/>
      <c r="Q12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5" s="192">
        <f ca="1">Table66[[#This Row],[Year 1 (Specified in RFO) - N/A]]+Table66[[#This Row],[Year 2 (Specified in RFO) - N/A]]+Table66[[#This Row],[Year 3 (Specified in RFO) - N/A]]+Table66[[#This Row],[Year 4 (Specified in RFO) - N/A]]+Table66[[#This Row],[Year 5 (Specified in RFO) - N/A]]+Table66[[#This Row],[Year 6 (Specified in RFO) - N/A]]</f>
        <v>0</v>
      </c>
      <c r="S1225" s="402">
        <f ca="1">Table66[[#This Row],[Year 1  (Proposed)]]+Table66[[#This Row],[Year 2 (Proposed)]]+Table66[[#This Row],[Year 3 (Proposed)]]+Table66[[#This Row],[Year 4 (Proposed)]]+Table66[[#This Row],[Year 5 (Proposed)]]+Table66[[#This Row],[Year 6 (Proposed)]]</f>
        <v>0</v>
      </c>
      <c r="T1225" s="403" t="b">
        <f ca="1">Table66[[#This Row],[Total Specifed in RFO - N/A]]=Table66[[#This Row],[Total Proposed]]</f>
        <v>1</v>
      </c>
      <c r="U1225" s="439"/>
      <c r="V1225" s="441">
        <f ca="1">Table66[[#This Row],[Year 6 (Specified in RFO) - N/A]]-Table66[[#This Row],[Column1]]</f>
        <v>0</v>
      </c>
    </row>
    <row r="1226" spans="1:22" ht="16.5" thickBot="1">
      <c r="A1226" s="227"/>
      <c r="B1226" s="319"/>
      <c r="C1226" s="319"/>
      <c r="D1226" s="320"/>
      <c r="E1226" s="320"/>
      <c r="F1226" s="190"/>
      <c r="G12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6" s="190"/>
      <c r="I12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6" s="190"/>
      <c r="K12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6" s="190"/>
      <c r="M12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6" s="190"/>
      <c r="O12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6" s="190"/>
      <c r="Q12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6" s="192">
        <f ca="1">Table66[[#This Row],[Year 1 (Specified in RFO) - N/A]]+Table66[[#This Row],[Year 2 (Specified in RFO) - N/A]]+Table66[[#This Row],[Year 3 (Specified in RFO) - N/A]]+Table66[[#This Row],[Year 4 (Specified in RFO) - N/A]]+Table66[[#This Row],[Year 5 (Specified in RFO) - N/A]]+Table66[[#This Row],[Year 6 (Specified in RFO) - N/A]]</f>
        <v>0</v>
      </c>
      <c r="S1226" s="402">
        <f ca="1">Table66[[#This Row],[Year 1  (Proposed)]]+Table66[[#This Row],[Year 2 (Proposed)]]+Table66[[#This Row],[Year 3 (Proposed)]]+Table66[[#This Row],[Year 4 (Proposed)]]+Table66[[#This Row],[Year 5 (Proposed)]]+Table66[[#This Row],[Year 6 (Proposed)]]</f>
        <v>0</v>
      </c>
      <c r="T1226" s="403" t="b">
        <f ca="1">Table66[[#This Row],[Total Specifed in RFO - N/A]]=Table66[[#This Row],[Total Proposed]]</f>
        <v>1</v>
      </c>
      <c r="U1226" s="439"/>
      <c r="V1226" s="441">
        <f ca="1">Table66[[#This Row],[Year 6 (Specified in RFO) - N/A]]-Table66[[#This Row],[Column1]]</f>
        <v>0</v>
      </c>
    </row>
    <row r="1227" spans="1:22" ht="16.5" thickBot="1">
      <c r="A1227" s="227"/>
      <c r="B1227" s="319"/>
      <c r="C1227" s="319"/>
      <c r="D1227" s="320"/>
      <c r="E1227" s="320"/>
      <c r="F1227" s="190"/>
      <c r="G12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7" s="190"/>
      <c r="I12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7" s="190"/>
      <c r="K12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7" s="190"/>
      <c r="M12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7" s="190"/>
      <c r="O12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7" s="190"/>
      <c r="Q12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7" s="192">
        <f ca="1">Table66[[#This Row],[Year 1 (Specified in RFO) - N/A]]+Table66[[#This Row],[Year 2 (Specified in RFO) - N/A]]+Table66[[#This Row],[Year 3 (Specified in RFO) - N/A]]+Table66[[#This Row],[Year 4 (Specified in RFO) - N/A]]+Table66[[#This Row],[Year 5 (Specified in RFO) - N/A]]+Table66[[#This Row],[Year 6 (Specified in RFO) - N/A]]</f>
        <v>0</v>
      </c>
      <c r="S1227" s="402">
        <f ca="1">Table66[[#This Row],[Year 1  (Proposed)]]+Table66[[#This Row],[Year 2 (Proposed)]]+Table66[[#This Row],[Year 3 (Proposed)]]+Table66[[#This Row],[Year 4 (Proposed)]]+Table66[[#This Row],[Year 5 (Proposed)]]+Table66[[#This Row],[Year 6 (Proposed)]]</f>
        <v>0</v>
      </c>
      <c r="T1227" s="403" t="b">
        <f ca="1">Table66[[#This Row],[Total Specifed in RFO - N/A]]=Table66[[#This Row],[Total Proposed]]</f>
        <v>1</v>
      </c>
      <c r="U1227" s="439"/>
      <c r="V1227" s="441">
        <f ca="1">Table66[[#This Row],[Year 6 (Specified in RFO) - N/A]]-Table66[[#This Row],[Column1]]</f>
        <v>0</v>
      </c>
    </row>
    <row r="1228" spans="1:22" ht="16.5" thickBot="1">
      <c r="A1228" s="227"/>
      <c r="B1228" s="319"/>
      <c r="C1228" s="319"/>
      <c r="D1228" s="320"/>
      <c r="E1228" s="320"/>
      <c r="F1228" s="190"/>
      <c r="G12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8" s="190"/>
      <c r="I12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8" s="190"/>
      <c r="K12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8" s="190"/>
      <c r="M12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8" s="190"/>
      <c r="O12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8" s="190"/>
      <c r="Q12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8" s="192">
        <f ca="1">Table66[[#This Row],[Year 1 (Specified in RFO) - N/A]]+Table66[[#This Row],[Year 2 (Specified in RFO) - N/A]]+Table66[[#This Row],[Year 3 (Specified in RFO) - N/A]]+Table66[[#This Row],[Year 4 (Specified in RFO) - N/A]]+Table66[[#This Row],[Year 5 (Specified in RFO) - N/A]]+Table66[[#This Row],[Year 6 (Specified in RFO) - N/A]]</f>
        <v>0</v>
      </c>
      <c r="S1228" s="402">
        <f ca="1">Table66[[#This Row],[Year 1  (Proposed)]]+Table66[[#This Row],[Year 2 (Proposed)]]+Table66[[#This Row],[Year 3 (Proposed)]]+Table66[[#This Row],[Year 4 (Proposed)]]+Table66[[#This Row],[Year 5 (Proposed)]]+Table66[[#This Row],[Year 6 (Proposed)]]</f>
        <v>0</v>
      </c>
      <c r="T1228" s="403" t="b">
        <f ca="1">Table66[[#This Row],[Total Specifed in RFO - N/A]]=Table66[[#This Row],[Total Proposed]]</f>
        <v>1</v>
      </c>
      <c r="U1228" s="439"/>
      <c r="V1228" s="441">
        <f ca="1">Table66[[#This Row],[Year 6 (Specified in RFO) - N/A]]-Table66[[#This Row],[Column1]]</f>
        <v>0</v>
      </c>
    </row>
    <row r="1229" spans="1:22" ht="16.5" thickBot="1">
      <c r="A1229" s="227"/>
      <c r="B1229" s="319"/>
      <c r="C1229" s="319"/>
      <c r="D1229" s="320"/>
      <c r="E1229" s="320"/>
      <c r="F1229" s="190"/>
      <c r="G12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9" s="190"/>
      <c r="I12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9" s="190"/>
      <c r="K12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9" s="190"/>
      <c r="M12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9" s="190"/>
      <c r="O12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9" s="190"/>
      <c r="Q12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9" s="192">
        <f ca="1">Table66[[#This Row],[Year 1 (Specified in RFO) - N/A]]+Table66[[#This Row],[Year 2 (Specified in RFO) - N/A]]+Table66[[#This Row],[Year 3 (Specified in RFO) - N/A]]+Table66[[#This Row],[Year 4 (Specified in RFO) - N/A]]+Table66[[#This Row],[Year 5 (Specified in RFO) - N/A]]+Table66[[#This Row],[Year 6 (Specified in RFO) - N/A]]</f>
        <v>0</v>
      </c>
      <c r="S1229" s="402">
        <f ca="1">Table66[[#This Row],[Year 1  (Proposed)]]+Table66[[#This Row],[Year 2 (Proposed)]]+Table66[[#This Row],[Year 3 (Proposed)]]+Table66[[#This Row],[Year 4 (Proposed)]]+Table66[[#This Row],[Year 5 (Proposed)]]+Table66[[#This Row],[Year 6 (Proposed)]]</f>
        <v>0</v>
      </c>
      <c r="T1229" s="403" t="b">
        <f ca="1">Table66[[#This Row],[Total Specifed in RFO - N/A]]=Table66[[#This Row],[Total Proposed]]</f>
        <v>1</v>
      </c>
      <c r="U1229" s="439"/>
      <c r="V1229" s="441">
        <f ca="1">Table66[[#This Row],[Year 6 (Specified in RFO) - N/A]]-Table66[[#This Row],[Column1]]</f>
        <v>0</v>
      </c>
    </row>
    <row r="1230" spans="1:22" ht="16.5" thickBot="1">
      <c r="A1230" s="227"/>
      <c r="B1230" s="319"/>
      <c r="C1230" s="319"/>
      <c r="D1230" s="320"/>
      <c r="E1230" s="320"/>
      <c r="F1230" s="190"/>
      <c r="G12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0" s="190"/>
      <c r="I12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0" s="190"/>
      <c r="K12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0" s="190"/>
      <c r="M12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0" s="190"/>
      <c r="O12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0" s="190"/>
      <c r="Q12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0" s="192">
        <f ca="1">Table66[[#This Row],[Year 1 (Specified in RFO) - N/A]]+Table66[[#This Row],[Year 2 (Specified in RFO) - N/A]]+Table66[[#This Row],[Year 3 (Specified in RFO) - N/A]]+Table66[[#This Row],[Year 4 (Specified in RFO) - N/A]]+Table66[[#This Row],[Year 5 (Specified in RFO) - N/A]]+Table66[[#This Row],[Year 6 (Specified in RFO) - N/A]]</f>
        <v>0</v>
      </c>
      <c r="S1230" s="402">
        <f ca="1">Table66[[#This Row],[Year 1  (Proposed)]]+Table66[[#This Row],[Year 2 (Proposed)]]+Table66[[#This Row],[Year 3 (Proposed)]]+Table66[[#This Row],[Year 4 (Proposed)]]+Table66[[#This Row],[Year 5 (Proposed)]]+Table66[[#This Row],[Year 6 (Proposed)]]</f>
        <v>0</v>
      </c>
      <c r="T1230" s="403" t="b">
        <f ca="1">Table66[[#This Row],[Total Specifed in RFO - N/A]]=Table66[[#This Row],[Total Proposed]]</f>
        <v>1</v>
      </c>
      <c r="U1230" s="439"/>
      <c r="V1230" s="441">
        <f ca="1">Table66[[#This Row],[Year 6 (Specified in RFO) - N/A]]-Table66[[#This Row],[Column1]]</f>
        <v>0</v>
      </c>
    </row>
    <row r="1231" spans="1:22" ht="16.5" thickBot="1">
      <c r="A1231" s="227"/>
      <c r="B1231" s="319"/>
      <c r="C1231" s="319"/>
      <c r="D1231" s="320"/>
      <c r="E1231" s="320"/>
      <c r="F1231" s="190"/>
      <c r="G12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1" s="190"/>
      <c r="I12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1" s="190"/>
      <c r="K12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1" s="190"/>
      <c r="M12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1" s="190"/>
      <c r="O12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1" s="190"/>
      <c r="Q12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1" s="192">
        <f ca="1">Table66[[#This Row],[Year 1 (Specified in RFO) - N/A]]+Table66[[#This Row],[Year 2 (Specified in RFO) - N/A]]+Table66[[#This Row],[Year 3 (Specified in RFO) - N/A]]+Table66[[#This Row],[Year 4 (Specified in RFO) - N/A]]+Table66[[#This Row],[Year 5 (Specified in RFO) - N/A]]+Table66[[#This Row],[Year 6 (Specified in RFO) - N/A]]</f>
        <v>0</v>
      </c>
      <c r="S1231" s="402">
        <f ca="1">Table66[[#This Row],[Year 1  (Proposed)]]+Table66[[#This Row],[Year 2 (Proposed)]]+Table66[[#This Row],[Year 3 (Proposed)]]+Table66[[#This Row],[Year 4 (Proposed)]]+Table66[[#This Row],[Year 5 (Proposed)]]+Table66[[#This Row],[Year 6 (Proposed)]]</f>
        <v>0</v>
      </c>
      <c r="T1231" s="403" t="b">
        <f ca="1">Table66[[#This Row],[Total Specifed in RFO - N/A]]=Table66[[#This Row],[Total Proposed]]</f>
        <v>1</v>
      </c>
      <c r="U1231" s="439"/>
      <c r="V1231" s="441">
        <f ca="1">Table66[[#This Row],[Year 6 (Specified in RFO) - N/A]]-Table66[[#This Row],[Column1]]</f>
        <v>0</v>
      </c>
    </row>
    <row r="1232" spans="1:22" ht="16.5" thickBot="1">
      <c r="A1232" s="227"/>
      <c r="B1232" s="319"/>
      <c r="C1232" s="319"/>
      <c r="D1232" s="320"/>
      <c r="E1232" s="320"/>
      <c r="F1232" s="190"/>
      <c r="G12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2" s="190"/>
      <c r="I12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2" s="190"/>
      <c r="K12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2" s="190"/>
      <c r="M12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2" s="190"/>
      <c r="O12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2" s="190"/>
      <c r="Q12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2" s="192">
        <f ca="1">Table66[[#This Row],[Year 1 (Specified in RFO) - N/A]]+Table66[[#This Row],[Year 2 (Specified in RFO) - N/A]]+Table66[[#This Row],[Year 3 (Specified in RFO) - N/A]]+Table66[[#This Row],[Year 4 (Specified in RFO) - N/A]]+Table66[[#This Row],[Year 5 (Specified in RFO) - N/A]]+Table66[[#This Row],[Year 6 (Specified in RFO) - N/A]]</f>
        <v>0</v>
      </c>
      <c r="S1232" s="402">
        <f ca="1">Table66[[#This Row],[Year 1  (Proposed)]]+Table66[[#This Row],[Year 2 (Proposed)]]+Table66[[#This Row],[Year 3 (Proposed)]]+Table66[[#This Row],[Year 4 (Proposed)]]+Table66[[#This Row],[Year 5 (Proposed)]]+Table66[[#This Row],[Year 6 (Proposed)]]</f>
        <v>0</v>
      </c>
      <c r="T1232" s="403" t="b">
        <f ca="1">Table66[[#This Row],[Total Specifed in RFO - N/A]]=Table66[[#This Row],[Total Proposed]]</f>
        <v>1</v>
      </c>
      <c r="U1232" s="439"/>
      <c r="V1232" s="441">
        <f ca="1">Table66[[#This Row],[Year 6 (Specified in RFO) - N/A]]-Table66[[#This Row],[Column1]]</f>
        <v>0</v>
      </c>
    </row>
    <row r="1233" spans="1:22" ht="16.5" thickBot="1">
      <c r="A1233" s="227"/>
      <c r="B1233" s="319"/>
      <c r="C1233" s="319"/>
      <c r="D1233" s="320"/>
      <c r="E1233" s="320"/>
      <c r="F1233" s="190"/>
      <c r="G12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3" s="190"/>
      <c r="I12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3" s="190"/>
      <c r="K12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3" s="190"/>
      <c r="M12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3" s="190"/>
      <c r="O12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3" s="190"/>
      <c r="Q12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3" s="192">
        <f ca="1">Table66[[#This Row],[Year 1 (Specified in RFO) - N/A]]+Table66[[#This Row],[Year 2 (Specified in RFO) - N/A]]+Table66[[#This Row],[Year 3 (Specified in RFO) - N/A]]+Table66[[#This Row],[Year 4 (Specified in RFO) - N/A]]+Table66[[#This Row],[Year 5 (Specified in RFO) - N/A]]+Table66[[#This Row],[Year 6 (Specified in RFO) - N/A]]</f>
        <v>0</v>
      </c>
      <c r="S1233" s="402">
        <f ca="1">Table66[[#This Row],[Year 1  (Proposed)]]+Table66[[#This Row],[Year 2 (Proposed)]]+Table66[[#This Row],[Year 3 (Proposed)]]+Table66[[#This Row],[Year 4 (Proposed)]]+Table66[[#This Row],[Year 5 (Proposed)]]+Table66[[#This Row],[Year 6 (Proposed)]]</f>
        <v>0</v>
      </c>
      <c r="T1233" s="403" t="b">
        <f ca="1">Table66[[#This Row],[Total Specifed in RFO - N/A]]=Table66[[#This Row],[Total Proposed]]</f>
        <v>1</v>
      </c>
      <c r="U1233" s="439"/>
      <c r="V1233" s="441">
        <f ca="1">Table66[[#This Row],[Year 6 (Specified in RFO) - N/A]]-Table66[[#This Row],[Column1]]</f>
        <v>0</v>
      </c>
    </row>
    <row r="1234" spans="1:22" ht="16.5" thickBot="1">
      <c r="A1234" s="227"/>
      <c r="B1234" s="319"/>
      <c r="C1234" s="319"/>
      <c r="D1234" s="320"/>
      <c r="E1234" s="320"/>
      <c r="F1234" s="190"/>
      <c r="G12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4" s="190"/>
      <c r="I12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4" s="190"/>
      <c r="K12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4" s="190"/>
      <c r="M12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4" s="190"/>
      <c r="O12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4" s="190"/>
      <c r="Q12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4" s="192">
        <f ca="1">Table66[[#This Row],[Year 1 (Specified in RFO) - N/A]]+Table66[[#This Row],[Year 2 (Specified in RFO) - N/A]]+Table66[[#This Row],[Year 3 (Specified in RFO) - N/A]]+Table66[[#This Row],[Year 4 (Specified in RFO) - N/A]]+Table66[[#This Row],[Year 5 (Specified in RFO) - N/A]]+Table66[[#This Row],[Year 6 (Specified in RFO) - N/A]]</f>
        <v>0</v>
      </c>
      <c r="S1234" s="402">
        <f ca="1">Table66[[#This Row],[Year 1  (Proposed)]]+Table66[[#This Row],[Year 2 (Proposed)]]+Table66[[#This Row],[Year 3 (Proposed)]]+Table66[[#This Row],[Year 4 (Proposed)]]+Table66[[#This Row],[Year 5 (Proposed)]]+Table66[[#This Row],[Year 6 (Proposed)]]</f>
        <v>0</v>
      </c>
      <c r="T1234" s="403" t="b">
        <f ca="1">Table66[[#This Row],[Total Specifed in RFO - N/A]]=Table66[[#This Row],[Total Proposed]]</f>
        <v>1</v>
      </c>
      <c r="U1234" s="439"/>
      <c r="V1234" s="441">
        <f ca="1">Table66[[#This Row],[Year 6 (Specified in RFO) - N/A]]-Table66[[#This Row],[Column1]]</f>
        <v>0</v>
      </c>
    </row>
    <row r="1235" spans="1:22" ht="16.5" thickBot="1">
      <c r="A1235" s="227"/>
      <c r="B1235" s="319"/>
      <c r="C1235" s="319"/>
      <c r="D1235" s="320"/>
      <c r="E1235" s="320"/>
      <c r="F1235" s="190"/>
      <c r="G12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5" s="190"/>
      <c r="I12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5" s="190"/>
      <c r="K12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5" s="190"/>
      <c r="M12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5" s="190"/>
      <c r="O12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5" s="190"/>
      <c r="Q12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5" s="192">
        <f ca="1">Table66[[#This Row],[Year 1 (Specified in RFO) - N/A]]+Table66[[#This Row],[Year 2 (Specified in RFO) - N/A]]+Table66[[#This Row],[Year 3 (Specified in RFO) - N/A]]+Table66[[#This Row],[Year 4 (Specified in RFO) - N/A]]+Table66[[#This Row],[Year 5 (Specified in RFO) - N/A]]+Table66[[#This Row],[Year 6 (Specified in RFO) - N/A]]</f>
        <v>0</v>
      </c>
      <c r="S1235" s="402">
        <f ca="1">Table66[[#This Row],[Year 1  (Proposed)]]+Table66[[#This Row],[Year 2 (Proposed)]]+Table66[[#This Row],[Year 3 (Proposed)]]+Table66[[#This Row],[Year 4 (Proposed)]]+Table66[[#This Row],[Year 5 (Proposed)]]+Table66[[#This Row],[Year 6 (Proposed)]]</f>
        <v>0</v>
      </c>
      <c r="T1235" s="403" t="b">
        <f ca="1">Table66[[#This Row],[Total Specifed in RFO - N/A]]=Table66[[#This Row],[Total Proposed]]</f>
        <v>1</v>
      </c>
      <c r="U1235" s="439"/>
      <c r="V1235" s="441">
        <f ca="1">Table66[[#This Row],[Year 6 (Specified in RFO) - N/A]]-Table66[[#This Row],[Column1]]</f>
        <v>0</v>
      </c>
    </row>
    <row r="1236" spans="1:22" ht="16.5" thickBot="1">
      <c r="A1236" s="227"/>
      <c r="B1236" s="319"/>
      <c r="C1236" s="319"/>
      <c r="D1236" s="320"/>
      <c r="E1236" s="320"/>
      <c r="F1236" s="190"/>
      <c r="G12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6" s="190"/>
      <c r="I12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6" s="190"/>
      <c r="K12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6" s="190"/>
      <c r="M12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6" s="190"/>
      <c r="O12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6" s="190"/>
      <c r="Q12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6" s="192">
        <f ca="1">Table66[[#This Row],[Year 1 (Specified in RFO) - N/A]]+Table66[[#This Row],[Year 2 (Specified in RFO) - N/A]]+Table66[[#This Row],[Year 3 (Specified in RFO) - N/A]]+Table66[[#This Row],[Year 4 (Specified in RFO) - N/A]]+Table66[[#This Row],[Year 5 (Specified in RFO) - N/A]]+Table66[[#This Row],[Year 6 (Specified in RFO) - N/A]]</f>
        <v>0</v>
      </c>
      <c r="S1236" s="402">
        <f ca="1">Table66[[#This Row],[Year 1  (Proposed)]]+Table66[[#This Row],[Year 2 (Proposed)]]+Table66[[#This Row],[Year 3 (Proposed)]]+Table66[[#This Row],[Year 4 (Proposed)]]+Table66[[#This Row],[Year 5 (Proposed)]]+Table66[[#This Row],[Year 6 (Proposed)]]</f>
        <v>0</v>
      </c>
      <c r="T1236" s="403" t="b">
        <f ca="1">Table66[[#This Row],[Total Specifed in RFO - N/A]]=Table66[[#This Row],[Total Proposed]]</f>
        <v>1</v>
      </c>
      <c r="U1236" s="439"/>
      <c r="V1236" s="441">
        <f ca="1">Table66[[#This Row],[Year 6 (Specified in RFO) - N/A]]-Table66[[#This Row],[Column1]]</f>
        <v>0</v>
      </c>
    </row>
    <row r="1237" spans="1:22" ht="16.5" thickBot="1">
      <c r="A1237" s="227"/>
      <c r="B1237" s="319"/>
      <c r="C1237" s="319"/>
      <c r="D1237" s="320"/>
      <c r="E1237" s="320"/>
      <c r="F1237" s="190"/>
      <c r="G12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7" s="190"/>
      <c r="I12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7" s="190"/>
      <c r="K12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7" s="190"/>
      <c r="M12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7" s="190"/>
      <c r="O12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7" s="190"/>
      <c r="Q12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7" s="192">
        <f ca="1">Table66[[#This Row],[Year 1 (Specified in RFO) - N/A]]+Table66[[#This Row],[Year 2 (Specified in RFO) - N/A]]+Table66[[#This Row],[Year 3 (Specified in RFO) - N/A]]+Table66[[#This Row],[Year 4 (Specified in RFO) - N/A]]+Table66[[#This Row],[Year 5 (Specified in RFO) - N/A]]+Table66[[#This Row],[Year 6 (Specified in RFO) - N/A]]</f>
        <v>0</v>
      </c>
      <c r="S1237" s="402">
        <f ca="1">Table66[[#This Row],[Year 1  (Proposed)]]+Table66[[#This Row],[Year 2 (Proposed)]]+Table66[[#This Row],[Year 3 (Proposed)]]+Table66[[#This Row],[Year 4 (Proposed)]]+Table66[[#This Row],[Year 5 (Proposed)]]+Table66[[#This Row],[Year 6 (Proposed)]]</f>
        <v>0</v>
      </c>
      <c r="T1237" s="403" t="b">
        <f ca="1">Table66[[#This Row],[Total Specifed in RFO - N/A]]=Table66[[#This Row],[Total Proposed]]</f>
        <v>1</v>
      </c>
      <c r="U1237" s="439"/>
      <c r="V1237" s="441">
        <f ca="1">Table66[[#This Row],[Year 6 (Specified in RFO) - N/A]]-Table66[[#This Row],[Column1]]</f>
        <v>0</v>
      </c>
    </row>
    <row r="1238" spans="1:22" ht="16.5" thickBot="1">
      <c r="A1238" s="227"/>
      <c r="B1238" s="319"/>
      <c r="C1238" s="319"/>
      <c r="D1238" s="320"/>
      <c r="E1238" s="320"/>
      <c r="F1238" s="190"/>
      <c r="G12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8" s="190"/>
      <c r="I12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8" s="190"/>
      <c r="K12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8" s="190"/>
      <c r="M12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8" s="190"/>
      <c r="O12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8" s="190"/>
      <c r="Q12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8" s="192">
        <f ca="1">Table66[[#This Row],[Year 1 (Specified in RFO) - N/A]]+Table66[[#This Row],[Year 2 (Specified in RFO) - N/A]]+Table66[[#This Row],[Year 3 (Specified in RFO) - N/A]]+Table66[[#This Row],[Year 4 (Specified in RFO) - N/A]]+Table66[[#This Row],[Year 5 (Specified in RFO) - N/A]]+Table66[[#This Row],[Year 6 (Specified in RFO) - N/A]]</f>
        <v>0</v>
      </c>
      <c r="S1238" s="402">
        <f ca="1">Table66[[#This Row],[Year 1  (Proposed)]]+Table66[[#This Row],[Year 2 (Proposed)]]+Table66[[#This Row],[Year 3 (Proposed)]]+Table66[[#This Row],[Year 4 (Proposed)]]+Table66[[#This Row],[Year 5 (Proposed)]]+Table66[[#This Row],[Year 6 (Proposed)]]</f>
        <v>0</v>
      </c>
      <c r="T1238" s="403" t="b">
        <f ca="1">Table66[[#This Row],[Total Specifed in RFO - N/A]]=Table66[[#This Row],[Total Proposed]]</f>
        <v>1</v>
      </c>
      <c r="U1238" s="439"/>
      <c r="V1238" s="441">
        <f ca="1">Table66[[#This Row],[Year 6 (Specified in RFO) - N/A]]-Table66[[#This Row],[Column1]]</f>
        <v>0</v>
      </c>
    </row>
    <row r="1239" spans="1:22" ht="16.5" thickBot="1">
      <c r="A1239" s="227"/>
      <c r="B1239" s="319"/>
      <c r="C1239" s="319"/>
      <c r="D1239" s="320"/>
      <c r="E1239" s="320"/>
      <c r="F1239" s="190"/>
      <c r="G12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9" s="190"/>
      <c r="I12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9" s="190"/>
      <c r="K12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9" s="190"/>
      <c r="M12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9" s="190"/>
      <c r="O12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9" s="190"/>
      <c r="Q12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9" s="192">
        <f ca="1">Table66[[#This Row],[Year 1 (Specified in RFO) - N/A]]+Table66[[#This Row],[Year 2 (Specified in RFO) - N/A]]+Table66[[#This Row],[Year 3 (Specified in RFO) - N/A]]+Table66[[#This Row],[Year 4 (Specified in RFO) - N/A]]+Table66[[#This Row],[Year 5 (Specified in RFO) - N/A]]+Table66[[#This Row],[Year 6 (Specified in RFO) - N/A]]</f>
        <v>0</v>
      </c>
      <c r="S1239" s="402">
        <f ca="1">Table66[[#This Row],[Year 1  (Proposed)]]+Table66[[#This Row],[Year 2 (Proposed)]]+Table66[[#This Row],[Year 3 (Proposed)]]+Table66[[#This Row],[Year 4 (Proposed)]]+Table66[[#This Row],[Year 5 (Proposed)]]+Table66[[#This Row],[Year 6 (Proposed)]]</f>
        <v>0</v>
      </c>
      <c r="T1239" s="403" t="b">
        <f ca="1">Table66[[#This Row],[Total Specifed in RFO - N/A]]=Table66[[#This Row],[Total Proposed]]</f>
        <v>1</v>
      </c>
      <c r="U1239" s="439"/>
      <c r="V1239" s="441">
        <f ca="1">Table66[[#This Row],[Year 6 (Specified in RFO) - N/A]]-Table66[[#This Row],[Column1]]</f>
        <v>0</v>
      </c>
    </row>
    <row r="1240" spans="1:22" ht="16.5" thickBot="1">
      <c r="A1240" s="227"/>
      <c r="B1240" s="319"/>
      <c r="C1240" s="319"/>
      <c r="D1240" s="320"/>
      <c r="E1240" s="320"/>
      <c r="F1240" s="190"/>
      <c r="G12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0" s="190"/>
      <c r="I12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0" s="190"/>
      <c r="K12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0" s="190"/>
      <c r="M12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0" s="190"/>
      <c r="O12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0" s="190"/>
      <c r="Q12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0" s="192">
        <f ca="1">Table66[[#This Row],[Year 1 (Specified in RFO) - N/A]]+Table66[[#This Row],[Year 2 (Specified in RFO) - N/A]]+Table66[[#This Row],[Year 3 (Specified in RFO) - N/A]]+Table66[[#This Row],[Year 4 (Specified in RFO) - N/A]]+Table66[[#This Row],[Year 5 (Specified in RFO) - N/A]]+Table66[[#This Row],[Year 6 (Specified in RFO) - N/A]]</f>
        <v>0</v>
      </c>
      <c r="S1240" s="402">
        <f ca="1">Table66[[#This Row],[Year 1  (Proposed)]]+Table66[[#This Row],[Year 2 (Proposed)]]+Table66[[#This Row],[Year 3 (Proposed)]]+Table66[[#This Row],[Year 4 (Proposed)]]+Table66[[#This Row],[Year 5 (Proposed)]]+Table66[[#This Row],[Year 6 (Proposed)]]</f>
        <v>0</v>
      </c>
      <c r="T1240" s="403" t="b">
        <f ca="1">Table66[[#This Row],[Total Specifed in RFO - N/A]]=Table66[[#This Row],[Total Proposed]]</f>
        <v>1</v>
      </c>
      <c r="U1240" s="439"/>
      <c r="V1240" s="441">
        <f ca="1">Table66[[#This Row],[Year 6 (Specified in RFO) - N/A]]-Table66[[#This Row],[Column1]]</f>
        <v>0</v>
      </c>
    </row>
    <row r="1241" spans="1:22" ht="16.5" thickBot="1">
      <c r="A1241" s="227"/>
      <c r="B1241" s="319"/>
      <c r="C1241" s="319"/>
      <c r="D1241" s="320"/>
      <c r="E1241" s="320"/>
      <c r="F1241" s="190"/>
      <c r="G12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1" s="190"/>
      <c r="I12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1" s="190"/>
      <c r="K12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1" s="190"/>
      <c r="M12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1" s="190"/>
      <c r="O12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1" s="190"/>
      <c r="Q12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1" s="192">
        <f ca="1">Table66[[#This Row],[Year 1 (Specified in RFO) - N/A]]+Table66[[#This Row],[Year 2 (Specified in RFO) - N/A]]+Table66[[#This Row],[Year 3 (Specified in RFO) - N/A]]+Table66[[#This Row],[Year 4 (Specified in RFO) - N/A]]+Table66[[#This Row],[Year 5 (Specified in RFO) - N/A]]+Table66[[#This Row],[Year 6 (Specified in RFO) - N/A]]</f>
        <v>0</v>
      </c>
      <c r="S1241" s="402">
        <f ca="1">Table66[[#This Row],[Year 1  (Proposed)]]+Table66[[#This Row],[Year 2 (Proposed)]]+Table66[[#This Row],[Year 3 (Proposed)]]+Table66[[#This Row],[Year 4 (Proposed)]]+Table66[[#This Row],[Year 5 (Proposed)]]+Table66[[#This Row],[Year 6 (Proposed)]]</f>
        <v>0</v>
      </c>
      <c r="T1241" s="403" t="b">
        <f ca="1">Table66[[#This Row],[Total Specifed in RFO - N/A]]=Table66[[#This Row],[Total Proposed]]</f>
        <v>1</v>
      </c>
      <c r="U1241" s="439"/>
      <c r="V1241" s="441">
        <f ca="1">Table66[[#This Row],[Year 6 (Specified in RFO) - N/A]]-Table66[[#This Row],[Column1]]</f>
        <v>0</v>
      </c>
    </row>
    <row r="1242" spans="1:22" ht="16.5" thickBot="1">
      <c r="A1242" s="227"/>
      <c r="B1242" s="319"/>
      <c r="C1242" s="319"/>
      <c r="D1242" s="320"/>
      <c r="E1242" s="320"/>
      <c r="F1242" s="190"/>
      <c r="G12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2" s="190"/>
      <c r="I12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2" s="190"/>
      <c r="K12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2" s="190"/>
      <c r="M12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2" s="190"/>
      <c r="O12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2" s="190"/>
      <c r="Q12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2" s="192">
        <f ca="1">Table66[[#This Row],[Year 1 (Specified in RFO) - N/A]]+Table66[[#This Row],[Year 2 (Specified in RFO) - N/A]]+Table66[[#This Row],[Year 3 (Specified in RFO) - N/A]]+Table66[[#This Row],[Year 4 (Specified in RFO) - N/A]]+Table66[[#This Row],[Year 5 (Specified in RFO) - N/A]]+Table66[[#This Row],[Year 6 (Specified in RFO) - N/A]]</f>
        <v>0</v>
      </c>
      <c r="S1242" s="402">
        <f ca="1">Table66[[#This Row],[Year 1  (Proposed)]]+Table66[[#This Row],[Year 2 (Proposed)]]+Table66[[#This Row],[Year 3 (Proposed)]]+Table66[[#This Row],[Year 4 (Proposed)]]+Table66[[#This Row],[Year 5 (Proposed)]]+Table66[[#This Row],[Year 6 (Proposed)]]</f>
        <v>0</v>
      </c>
      <c r="T1242" s="403" t="b">
        <f ca="1">Table66[[#This Row],[Total Specifed in RFO - N/A]]=Table66[[#This Row],[Total Proposed]]</f>
        <v>1</v>
      </c>
      <c r="U1242" s="439"/>
      <c r="V1242" s="441">
        <f ca="1">Table66[[#This Row],[Year 6 (Specified in RFO) - N/A]]-Table66[[#This Row],[Column1]]</f>
        <v>0</v>
      </c>
    </row>
    <row r="1243" spans="1:22" ht="16.5" thickBot="1">
      <c r="A1243" s="227"/>
      <c r="B1243" s="319"/>
      <c r="C1243" s="319"/>
      <c r="D1243" s="320"/>
      <c r="E1243" s="320"/>
      <c r="F1243" s="190"/>
      <c r="G12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3" s="190"/>
      <c r="I12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3" s="190"/>
      <c r="K12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3" s="190"/>
      <c r="M12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3" s="190"/>
      <c r="O12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3" s="190"/>
      <c r="Q12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3" s="192">
        <f ca="1">Table66[[#This Row],[Year 1 (Specified in RFO) - N/A]]+Table66[[#This Row],[Year 2 (Specified in RFO) - N/A]]+Table66[[#This Row],[Year 3 (Specified in RFO) - N/A]]+Table66[[#This Row],[Year 4 (Specified in RFO) - N/A]]+Table66[[#This Row],[Year 5 (Specified in RFO) - N/A]]+Table66[[#This Row],[Year 6 (Specified in RFO) - N/A]]</f>
        <v>0</v>
      </c>
      <c r="S1243" s="402">
        <f ca="1">Table66[[#This Row],[Year 1  (Proposed)]]+Table66[[#This Row],[Year 2 (Proposed)]]+Table66[[#This Row],[Year 3 (Proposed)]]+Table66[[#This Row],[Year 4 (Proposed)]]+Table66[[#This Row],[Year 5 (Proposed)]]+Table66[[#This Row],[Year 6 (Proposed)]]</f>
        <v>0</v>
      </c>
      <c r="T1243" s="403" t="b">
        <f ca="1">Table66[[#This Row],[Total Specifed in RFO - N/A]]=Table66[[#This Row],[Total Proposed]]</f>
        <v>1</v>
      </c>
      <c r="U1243" s="439"/>
      <c r="V1243" s="441">
        <f ca="1">Table66[[#This Row],[Year 6 (Specified in RFO) - N/A]]-Table66[[#This Row],[Column1]]</f>
        <v>0</v>
      </c>
    </row>
    <row r="1244" spans="1:22" ht="16.5" thickBot="1">
      <c r="A1244" s="227"/>
      <c r="B1244" s="319"/>
      <c r="C1244" s="319"/>
      <c r="D1244" s="320"/>
      <c r="E1244" s="320"/>
      <c r="F1244" s="190"/>
      <c r="G12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4" s="190"/>
      <c r="I12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4" s="190"/>
      <c r="K12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4" s="190"/>
      <c r="M12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4" s="190"/>
      <c r="O12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4" s="190"/>
      <c r="Q12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4" s="192">
        <f ca="1">Table66[[#This Row],[Year 1 (Specified in RFO) - N/A]]+Table66[[#This Row],[Year 2 (Specified in RFO) - N/A]]+Table66[[#This Row],[Year 3 (Specified in RFO) - N/A]]+Table66[[#This Row],[Year 4 (Specified in RFO) - N/A]]+Table66[[#This Row],[Year 5 (Specified in RFO) - N/A]]+Table66[[#This Row],[Year 6 (Specified in RFO) - N/A]]</f>
        <v>0</v>
      </c>
      <c r="S1244" s="402">
        <f ca="1">Table66[[#This Row],[Year 1  (Proposed)]]+Table66[[#This Row],[Year 2 (Proposed)]]+Table66[[#This Row],[Year 3 (Proposed)]]+Table66[[#This Row],[Year 4 (Proposed)]]+Table66[[#This Row],[Year 5 (Proposed)]]+Table66[[#This Row],[Year 6 (Proposed)]]</f>
        <v>0</v>
      </c>
      <c r="T1244" s="403" t="b">
        <f ca="1">Table66[[#This Row],[Total Specifed in RFO - N/A]]=Table66[[#This Row],[Total Proposed]]</f>
        <v>1</v>
      </c>
      <c r="U1244" s="439"/>
      <c r="V1244" s="441">
        <f ca="1">Table66[[#This Row],[Year 6 (Specified in RFO) - N/A]]-Table66[[#This Row],[Column1]]</f>
        <v>0</v>
      </c>
    </row>
    <row r="1245" spans="1:22" ht="16.5" thickBot="1">
      <c r="A1245" s="227"/>
      <c r="B1245" s="319"/>
      <c r="C1245" s="319"/>
      <c r="D1245" s="320"/>
      <c r="E1245" s="320"/>
      <c r="F1245" s="190"/>
      <c r="G12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5" s="190"/>
      <c r="I12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5" s="190"/>
      <c r="K12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5" s="190"/>
      <c r="M12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5" s="190"/>
      <c r="O12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5" s="190"/>
      <c r="Q12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5" s="192">
        <f ca="1">Table66[[#This Row],[Year 1 (Specified in RFO) - N/A]]+Table66[[#This Row],[Year 2 (Specified in RFO) - N/A]]+Table66[[#This Row],[Year 3 (Specified in RFO) - N/A]]+Table66[[#This Row],[Year 4 (Specified in RFO) - N/A]]+Table66[[#This Row],[Year 5 (Specified in RFO) - N/A]]+Table66[[#This Row],[Year 6 (Specified in RFO) - N/A]]</f>
        <v>0</v>
      </c>
      <c r="S1245" s="402">
        <f ca="1">Table66[[#This Row],[Year 1  (Proposed)]]+Table66[[#This Row],[Year 2 (Proposed)]]+Table66[[#This Row],[Year 3 (Proposed)]]+Table66[[#This Row],[Year 4 (Proposed)]]+Table66[[#This Row],[Year 5 (Proposed)]]+Table66[[#This Row],[Year 6 (Proposed)]]</f>
        <v>0</v>
      </c>
      <c r="T1245" s="403" t="b">
        <f ca="1">Table66[[#This Row],[Total Specifed in RFO - N/A]]=Table66[[#This Row],[Total Proposed]]</f>
        <v>1</v>
      </c>
      <c r="U1245" s="439"/>
      <c r="V1245" s="441">
        <f ca="1">Table66[[#This Row],[Year 6 (Specified in RFO) - N/A]]-Table66[[#This Row],[Column1]]</f>
        <v>0</v>
      </c>
    </row>
    <row r="1246" spans="1:22" ht="16.5" thickBot="1">
      <c r="A1246" s="227"/>
      <c r="B1246" s="319"/>
      <c r="C1246" s="319"/>
      <c r="D1246" s="320"/>
      <c r="E1246" s="320"/>
      <c r="F1246" s="190"/>
      <c r="G12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6" s="190"/>
      <c r="I12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6" s="190"/>
      <c r="K12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6" s="190"/>
      <c r="M12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6" s="190"/>
      <c r="O12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6" s="190"/>
      <c r="Q12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6" s="192">
        <f ca="1">Table66[[#This Row],[Year 1 (Specified in RFO) - N/A]]+Table66[[#This Row],[Year 2 (Specified in RFO) - N/A]]+Table66[[#This Row],[Year 3 (Specified in RFO) - N/A]]+Table66[[#This Row],[Year 4 (Specified in RFO) - N/A]]+Table66[[#This Row],[Year 5 (Specified in RFO) - N/A]]+Table66[[#This Row],[Year 6 (Specified in RFO) - N/A]]</f>
        <v>0</v>
      </c>
      <c r="S1246" s="402">
        <f ca="1">Table66[[#This Row],[Year 1  (Proposed)]]+Table66[[#This Row],[Year 2 (Proposed)]]+Table66[[#This Row],[Year 3 (Proposed)]]+Table66[[#This Row],[Year 4 (Proposed)]]+Table66[[#This Row],[Year 5 (Proposed)]]+Table66[[#This Row],[Year 6 (Proposed)]]</f>
        <v>0</v>
      </c>
      <c r="T1246" s="403" t="b">
        <f ca="1">Table66[[#This Row],[Total Specifed in RFO - N/A]]=Table66[[#This Row],[Total Proposed]]</f>
        <v>1</v>
      </c>
      <c r="U1246" s="439"/>
      <c r="V1246" s="441">
        <f ca="1">Table66[[#This Row],[Year 6 (Specified in RFO) - N/A]]-Table66[[#This Row],[Column1]]</f>
        <v>0</v>
      </c>
    </row>
    <row r="1247" spans="1:22" ht="16.5" thickBot="1">
      <c r="A1247" s="227"/>
      <c r="B1247" s="319"/>
      <c r="C1247" s="319"/>
      <c r="D1247" s="320"/>
      <c r="E1247" s="320"/>
      <c r="F1247" s="190"/>
      <c r="G12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7" s="190"/>
      <c r="I12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7" s="190"/>
      <c r="K12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7" s="190"/>
      <c r="M12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7" s="190"/>
      <c r="O12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7" s="190"/>
      <c r="Q12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7" s="192">
        <f ca="1">Table66[[#This Row],[Year 1 (Specified in RFO) - N/A]]+Table66[[#This Row],[Year 2 (Specified in RFO) - N/A]]+Table66[[#This Row],[Year 3 (Specified in RFO) - N/A]]+Table66[[#This Row],[Year 4 (Specified in RFO) - N/A]]+Table66[[#This Row],[Year 5 (Specified in RFO) - N/A]]+Table66[[#This Row],[Year 6 (Specified in RFO) - N/A]]</f>
        <v>0</v>
      </c>
      <c r="S1247" s="402">
        <f ca="1">Table66[[#This Row],[Year 1  (Proposed)]]+Table66[[#This Row],[Year 2 (Proposed)]]+Table66[[#This Row],[Year 3 (Proposed)]]+Table66[[#This Row],[Year 4 (Proposed)]]+Table66[[#This Row],[Year 5 (Proposed)]]+Table66[[#This Row],[Year 6 (Proposed)]]</f>
        <v>0</v>
      </c>
      <c r="T1247" s="403" t="b">
        <f ca="1">Table66[[#This Row],[Total Specifed in RFO - N/A]]=Table66[[#This Row],[Total Proposed]]</f>
        <v>1</v>
      </c>
      <c r="U1247" s="439"/>
      <c r="V1247" s="441">
        <f ca="1">Table66[[#This Row],[Year 6 (Specified in RFO) - N/A]]-Table66[[#This Row],[Column1]]</f>
        <v>0</v>
      </c>
    </row>
    <row r="1248" spans="1:22" ht="16.5" thickBot="1">
      <c r="A1248" s="227"/>
      <c r="B1248" s="319"/>
      <c r="C1248" s="319"/>
      <c r="D1248" s="320"/>
      <c r="E1248" s="320"/>
      <c r="F1248" s="190"/>
      <c r="G12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8" s="190"/>
      <c r="I12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8" s="190"/>
      <c r="K12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8" s="190"/>
      <c r="M12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8" s="190"/>
      <c r="O12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8" s="190"/>
      <c r="Q12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8" s="192">
        <f ca="1">Table66[[#This Row],[Year 1 (Specified in RFO) - N/A]]+Table66[[#This Row],[Year 2 (Specified in RFO) - N/A]]+Table66[[#This Row],[Year 3 (Specified in RFO) - N/A]]+Table66[[#This Row],[Year 4 (Specified in RFO) - N/A]]+Table66[[#This Row],[Year 5 (Specified in RFO) - N/A]]+Table66[[#This Row],[Year 6 (Specified in RFO) - N/A]]</f>
        <v>0</v>
      </c>
      <c r="S1248" s="402">
        <f ca="1">Table66[[#This Row],[Year 1  (Proposed)]]+Table66[[#This Row],[Year 2 (Proposed)]]+Table66[[#This Row],[Year 3 (Proposed)]]+Table66[[#This Row],[Year 4 (Proposed)]]+Table66[[#This Row],[Year 5 (Proposed)]]+Table66[[#This Row],[Year 6 (Proposed)]]</f>
        <v>0</v>
      </c>
      <c r="T1248" s="403" t="b">
        <f ca="1">Table66[[#This Row],[Total Specifed in RFO - N/A]]=Table66[[#This Row],[Total Proposed]]</f>
        <v>1</v>
      </c>
      <c r="U1248" s="439"/>
      <c r="V1248" s="441">
        <f ca="1">Table66[[#This Row],[Year 6 (Specified in RFO) - N/A]]-Table66[[#This Row],[Column1]]</f>
        <v>0</v>
      </c>
    </row>
    <row r="1249" spans="1:22" ht="16.5" thickBot="1">
      <c r="A1249" s="227"/>
      <c r="B1249" s="319"/>
      <c r="C1249" s="319"/>
      <c r="D1249" s="320"/>
      <c r="E1249" s="320"/>
      <c r="F1249" s="190"/>
      <c r="G12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9" s="190"/>
      <c r="I12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9" s="190"/>
      <c r="K12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9" s="190"/>
      <c r="M12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9" s="190"/>
      <c r="O12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9" s="190"/>
      <c r="Q12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9" s="192">
        <f ca="1">Table66[[#This Row],[Year 1 (Specified in RFO) - N/A]]+Table66[[#This Row],[Year 2 (Specified in RFO) - N/A]]+Table66[[#This Row],[Year 3 (Specified in RFO) - N/A]]+Table66[[#This Row],[Year 4 (Specified in RFO) - N/A]]+Table66[[#This Row],[Year 5 (Specified in RFO) - N/A]]+Table66[[#This Row],[Year 6 (Specified in RFO) - N/A]]</f>
        <v>0</v>
      </c>
      <c r="S1249" s="402">
        <f ca="1">Table66[[#This Row],[Year 1  (Proposed)]]+Table66[[#This Row],[Year 2 (Proposed)]]+Table66[[#This Row],[Year 3 (Proposed)]]+Table66[[#This Row],[Year 4 (Proposed)]]+Table66[[#This Row],[Year 5 (Proposed)]]+Table66[[#This Row],[Year 6 (Proposed)]]</f>
        <v>0</v>
      </c>
      <c r="T1249" s="403" t="b">
        <f ca="1">Table66[[#This Row],[Total Specifed in RFO - N/A]]=Table66[[#This Row],[Total Proposed]]</f>
        <v>1</v>
      </c>
      <c r="U1249" s="439"/>
      <c r="V1249" s="441">
        <f ca="1">Table66[[#This Row],[Year 6 (Specified in RFO) - N/A]]-Table66[[#This Row],[Column1]]</f>
        <v>0</v>
      </c>
    </row>
    <row r="1250" spans="1:22" ht="16.5" thickBot="1">
      <c r="A1250" s="227"/>
      <c r="B1250" s="319"/>
      <c r="C1250" s="319"/>
      <c r="D1250" s="320"/>
      <c r="E1250" s="320"/>
      <c r="F1250" s="190"/>
      <c r="G12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0" s="190"/>
      <c r="I12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0" s="190"/>
      <c r="K12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0" s="190"/>
      <c r="M12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0" s="190"/>
      <c r="O12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0" s="190"/>
      <c r="Q12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0" s="192">
        <f ca="1">Table66[[#This Row],[Year 1 (Specified in RFO) - N/A]]+Table66[[#This Row],[Year 2 (Specified in RFO) - N/A]]+Table66[[#This Row],[Year 3 (Specified in RFO) - N/A]]+Table66[[#This Row],[Year 4 (Specified in RFO) - N/A]]+Table66[[#This Row],[Year 5 (Specified in RFO) - N/A]]+Table66[[#This Row],[Year 6 (Specified in RFO) - N/A]]</f>
        <v>0</v>
      </c>
      <c r="S1250" s="402">
        <f ca="1">Table66[[#This Row],[Year 1  (Proposed)]]+Table66[[#This Row],[Year 2 (Proposed)]]+Table66[[#This Row],[Year 3 (Proposed)]]+Table66[[#This Row],[Year 4 (Proposed)]]+Table66[[#This Row],[Year 5 (Proposed)]]+Table66[[#This Row],[Year 6 (Proposed)]]</f>
        <v>0</v>
      </c>
      <c r="T1250" s="403" t="b">
        <f ca="1">Table66[[#This Row],[Total Specifed in RFO - N/A]]=Table66[[#This Row],[Total Proposed]]</f>
        <v>1</v>
      </c>
      <c r="U1250" s="439"/>
      <c r="V1250" s="441">
        <f ca="1">Table66[[#This Row],[Year 6 (Specified in RFO) - N/A]]-Table66[[#This Row],[Column1]]</f>
        <v>0</v>
      </c>
    </row>
    <row r="1251" spans="1:22" ht="16.5" thickBot="1">
      <c r="A1251" s="227"/>
      <c r="B1251" s="319"/>
      <c r="C1251" s="319"/>
      <c r="D1251" s="320"/>
      <c r="E1251" s="320"/>
      <c r="F1251" s="190"/>
      <c r="G12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1" s="190"/>
      <c r="I12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1" s="190"/>
      <c r="K12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1" s="190"/>
      <c r="M12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1" s="190"/>
      <c r="O12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1" s="190"/>
      <c r="Q12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1" s="192">
        <f ca="1">Table66[[#This Row],[Year 1 (Specified in RFO) - N/A]]+Table66[[#This Row],[Year 2 (Specified in RFO) - N/A]]+Table66[[#This Row],[Year 3 (Specified in RFO) - N/A]]+Table66[[#This Row],[Year 4 (Specified in RFO) - N/A]]+Table66[[#This Row],[Year 5 (Specified in RFO) - N/A]]+Table66[[#This Row],[Year 6 (Specified in RFO) - N/A]]</f>
        <v>0</v>
      </c>
      <c r="S1251" s="402">
        <f ca="1">Table66[[#This Row],[Year 1  (Proposed)]]+Table66[[#This Row],[Year 2 (Proposed)]]+Table66[[#This Row],[Year 3 (Proposed)]]+Table66[[#This Row],[Year 4 (Proposed)]]+Table66[[#This Row],[Year 5 (Proposed)]]+Table66[[#This Row],[Year 6 (Proposed)]]</f>
        <v>0</v>
      </c>
      <c r="T1251" s="403" t="b">
        <f ca="1">Table66[[#This Row],[Total Specifed in RFO - N/A]]=Table66[[#This Row],[Total Proposed]]</f>
        <v>1</v>
      </c>
      <c r="U1251" s="439"/>
      <c r="V1251" s="441">
        <f ca="1">Table66[[#This Row],[Year 6 (Specified in RFO) - N/A]]-Table66[[#This Row],[Column1]]</f>
        <v>0</v>
      </c>
    </row>
    <row r="1252" spans="1:22" ht="16.5" thickBot="1">
      <c r="A1252" s="227"/>
      <c r="B1252" s="319"/>
      <c r="C1252" s="319"/>
      <c r="D1252" s="320"/>
      <c r="E1252" s="320"/>
      <c r="F1252" s="190"/>
      <c r="G12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2" s="190"/>
      <c r="I12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2" s="190"/>
      <c r="K12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2" s="190"/>
      <c r="M12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2" s="190"/>
      <c r="O12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2" s="190"/>
      <c r="Q12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2" s="192">
        <f ca="1">Table66[[#This Row],[Year 1 (Specified in RFO) - N/A]]+Table66[[#This Row],[Year 2 (Specified in RFO) - N/A]]+Table66[[#This Row],[Year 3 (Specified in RFO) - N/A]]+Table66[[#This Row],[Year 4 (Specified in RFO) - N/A]]+Table66[[#This Row],[Year 5 (Specified in RFO) - N/A]]+Table66[[#This Row],[Year 6 (Specified in RFO) - N/A]]</f>
        <v>0</v>
      </c>
      <c r="S1252" s="402">
        <f ca="1">Table66[[#This Row],[Year 1  (Proposed)]]+Table66[[#This Row],[Year 2 (Proposed)]]+Table66[[#This Row],[Year 3 (Proposed)]]+Table66[[#This Row],[Year 4 (Proposed)]]+Table66[[#This Row],[Year 5 (Proposed)]]+Table66[[#This Row],[Year 6 (Proposed)]]</f>
        <v>0</v>
      </c>
      <c r="T1252" s="403" t="b">
        <f ca="1">Table66[[#This Row],[Total Specifed in RFO - N/A]]=Table66[[#This Row],[Total Proposed]]</f>
        <v>1</v>
      </c>
      <c r="U1252" s="439"/>
      <c r="V1252" s="441">
        <f ca="1">Table66[[#This Row],[Year 6 (Specified in RFO) - N/A]]-Table66[[#This Row],[Column1]]</f>
        <v>0</v>
      </c>
    </row>
    <row r="1253" spans="1:22" ht="16.5" thickBot="1">
      <c r="A1253" s="227"/>
      <c r="B1253" s="319"/>
      <c r="C1253" s="319"/>
      <c r="D1253" s="320"/>
      <c r="E1253" s="320"/>
      <c r="F1253" s="190"/>
      <c r="G12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3" s="190"/>
      <c r="I12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3" s="190"/>
      <c r="K12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3" s="190"/>
      <c r="M12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3" s="190"/>
      <c r="O12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3" s="190"/>
      <c r="Q12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3" s="192">
        <f ca="1">Table66[[#This Row],[Year 1 (Specified in RFO) - N/A]]+Table66[[#This Row],[Year 2 (Specified in RFO) - N/A]]+Table66[[#This Row],[Year 3 (Specified in RFO) - N/A]]+Table66[[#This Row],[Year 4 (Specified in RFO) - N/A]]+Table66[[#This Row],[Year 5 (Specified in RFO) - N/A]]+Table66[[#This Row],[Year 6 (Specified in RFO) - N/A]]</f>
        <v>0</v>
      </c>
      <c r="S1253" s="402">
        <f ca="1">Table66[[#This Row],[Year 1  (Proposed)]]+Table66[[#This Row],[Year 2 (Proposed)]]+Table66[[#This Row],[Year 3 (Proposed)]]+Table66[[#This Row],[Year 4 (Proposed)]]+Table66[[#This Row],[Year 5 (Proposed)]]+Table66[[#This Row],[Year 6 (Proposed)]]</f>
        <v>0</v>
      </c>
      <c r="T1253" s="403" t="b">
        <f ca="1">Table66[[#This Row],[Total Specifed in RFO - N/A]]=Table66[[#This Row],[Total Proposed]]</f>
        <v>1</v>
      </c>
      <c r="U1253" s="439"/>
      <c r="V1253" s="441">
        <f ca="1">Table66[[#This Row],[Year 6 (Specified in RFO) - N/A]]-Table66[[#This Row],[Column1]]</f>
        <v>0</v>
      </c>
    </row>
    <row r="1254" spans="1:22" ht="16.5" thickBot="1">
      <c r="A1254" s="227"/>
      <c r="B1254" s="319"/>
      <c r="C1254" s="319"/>
      <c r="D1254" s="320"/>
      <c r="E1254" s="320"/>
      <c r="F1254" s="190"/>
      <c r="G12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4" s="190"/>
      <c r="I12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4" s="190"/>
      <c r="K12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4" s="190"/>
      <c r="M12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4" s="190"/>
      <c r="O12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4" s="190"/>
      <c r="Q12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4" s="192">
        <f ca="1">Table66[[#This Row],[Year 1 (Specified in RFO) - N/A]]+Table66[[#This Row],[Year 2 (Specified in RFO) - N/A]]+Table66[[#This Row],[Year 3 (Specified in RFO) - N/A]]+Table66[[#This Row],[Year 4 (Specified in RFO) - N/A]]+Table66[[#This Row],[Year 5 (Specified in RFO) - N/A]]+Table66[[#This Row],[Year 6 (Specified in RFO) - N/A]]</f>
        <v>0</v>
      </c>
      <c r="S1254" s="402">
        <f ca="1">Table66[[#This Row],[Year 1  (Proposed)]]+Table66[[#This Row],[Year 2 (Proposed)]]+Table66[[#This Row],[Year 3 (Proposed)]]+Table66[[#This Row],[Year 4 (Proposed)]]+Table66[[#This Row],[Year 5 (Proposed)]]+Table66[[#This Row],[Year 6 (Proposed)]]</f>
        <v>0</v>
      </c>
      <c r="T1254" s="403" t="b">
        <f ca="1">Table66[[#This Row],[Total Specifed in RFO - N/A]]=Table66[[#This Row],[Total Proposed]]</f>
        <v>1</v>
      </c>
      <c r="U1254" s="439"/>
      <c r="V1254" s="441">
        <f ca="1">Table66[[#This Row],[Year 6 (Specified in RFO) - N/A]]-Table66[[#This Row],[Column1]]</f>
        <v>0</v>
      </c>
    </row>
    <row r="1255" spans="1:22" ht="16.5" thickBot="1">
      <c r="A1255" s="227"/>
      <c r="B1255" s="319"/>
      <c r="C1255" s="319"/>
      <c r="D1255" s="320"/>
      <c r="E1255" s="320"/>
      <c r="F1255" s="190"/>
      <c r="G12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5" s="190"/>
      <c r="I12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5" s="190"/>
      <c r="K12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5" s="190"/>
      <c r="M12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5" s="190"/>
      <c r="O12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5" s="190"/>
      <c r="Q12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5" s="192">
        <f ca="1">Table66[[#This Row],[Year 1 (Specified in RFO) - N/A]]+Table66[[#This Row],[Year 2 (Specified in RFO) - N/A]]+Table66[[#This Row],[Year 3 (Specified in RFO) - N/A]]+Table66[[#This Row],[Year 4 (Specified in RFO) - N/A]]+Table66[[#This Row],[Year 5 (Specified in RFO) - N/A]]+Table66[[#This Row],[Year 6 (Specified in RFO) - N/A]]</f>
        <v>0</v>
      </c>
      <c r="S1255" s="402">
        <f ca="1">Table66[[#This Row],[Year 1  (Proposed)]]+Table66[[#This Row],[Year 2 (Proposed)]]+Table66[[#This Row],[Year 3 (Proposed)]]+Table66[[#This Row],[Year 4 (Proposed)]]+Table66[[#This Row],[Year 5 (Proposed)]]+Table66[[#This Row],[Year 6 (Proposed)]]</f>
        <v>0</v>
      </c>
      <c r="T1255" s="403" t="b">
        <f ca="1">Table66[[#This Row],[Total Specifed in RFO - N/A]]=Table66[[#This Row],[Total Proposed]]</f>
        <v>1</v>
      </c>
      <c r="U1255" s="439"/>
      <c r="V1255" s="441">
        <f ca="1">Table66[[#This Row],[Year 6 (Specified in RFO) - N/A]]-Table66[[#This Row],[Column1]]</f>
        <v>0</v>
      </c>
    </row>
    <row r="1256" spans="1:22" ht="16.5" thickBot="1">
      <c r="A1256" s="227"/>
      <c r="B1256" s="319"/>
      <c r="C1256" s="319"/>
      <c r="D1256" s="320"/>
      <c r="E1256" s="320"/>
      <c r="F1256" s="190"/>
      <c r="G12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6" s="190"/>
      <c r="I12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6" s="190"/>
      <c r="K12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6" s="190"/>
      <c r="M12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6" s="190"/>
      <c r="O12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6" s="190"/>
      <c r="Q12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6" s="192">
        <f ca="1">Table66[[#This Row],[Year 1 (Specified in RFO) - N/A]]+Table66[[#This Row],[Year 2 (Specified in RFO) - N/A]]+Table66[[#This Row],[Year 3 (Specified in RFO) - N/A]]+Table66[[#This Row],[Year 4 (Specified in RFO) - N/A]]+Table66[[#This Row],[Year 5 (Specified in RFO) - N/A]]+Table66[[#This Row],[Year 6 (Specified in RFO) - N/A]]</f>
        <v>0</v>
      </c>
      <c r="S1256" s="402">
        <f ca="1">Table66[[#This Row],[Year 1  (Proposed)]]+Table66[[#This Row],[Year 2 (Proposed)]]+Table66[[#This Row],[Year 3 (Proposed)]]+Table66[[#This Row],[Year 4 (Proposed)]]+Table66[[#This Row],[Year 5 (Proposed)]]+Table66[[#This Row],[Year 6 (Proposed)]]</f>
        <v>0</v>
      </c>
      <c r="T1256" s="403" t="b">
        <f ca="1">Table66[[#This Row],[Total Specifed in RFO - N/A]]=Table66[[#This Row],[Total Proposed]]</f>
        <v>1</v>
      </c>
      <c r="U1256" s="439"/>
      <c r="V1256" s="441">
        <f ca="1">Table66[[#This Row],[Year 6 (Specified in RFO) - N/A]]-Table66[[#This Row],[Column1]]</f>
        <v>0</v>
      </c>
    </row>
    <row r="1257" spans="1:22" ht="16.5" thickBot="1">
      <c r="A1257" s="227"/>
      <c r="B1257" s="319"/>
      <c r="C1257" s="319"/>
      <c r="D1257" s="320"/>
      <c r="E1257" s="320"/>
      <c r="F1257" s="190"/>
      <c r="G12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7" s="190"/>
      <c r="I12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7" s="190"/>
      <c r="K12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7" s="190"/>
      <c r="M12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7" s="190"/>
      <c r="O12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7" s="190"/>
      <c r="Q12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7" s="192">
        <f ca="1">Table66[[#This Row],[Year 1 (Specified in RFO) - N/A]]+Table66[[#This Row],[Year 2 (Specified in RFO) - N/A]]+Table66[[#This Row],[Year 3 (Specified in RFO) - N/A]]+Table66[[#This Row],[Year 4 (Specified in RFO) - N/A]]+Table66[[#This Row],[Year 5 (Specified in RFO) - N/A]]+Table66[[#This Row],[Year 6 (Specified in RFO) - N/A]]</f>
        <v>0</v>
      </c>
      <c r="S1257" s="402">
        <f ca="1">Table66[[#This Row],[Year 1  (Proposed)]]+Table66[[#This Row],[Year 2 (Proposed)]]+Table66[[#This Row],[Year 3 (Proposed)]]+Table66[[#This Row],[Year 4 (Proposed)]]+Table66[[#This Row],[Year 5 (Proposed)]]+Table66[[#This Row],[Year 6 (Proposed)]]</f>
        <v>0</v>
      </c>
      <c r="T1257" s="403" t="b">
        <f ca="1">Table66[[#This Row],[Total Specifed in RFO - N/A]]=Table66[[#This Row],[Total Proposed]]</f>
        <v>1</v>
      </c>
      <c r="U1257" s="439"/>
      <c r="V1257" s="441">
        <f ca="1">Table66[[#This Row],[Year 6 (Specified in RFO) - N/A]]-Table66[[#This Row],[Column1]]</f>
        <v>0</v>
      </c>
    </row>
    <row r="1258" spans="1:22" ht="16.5" thickBot="1">
      <c r="A1258" s="227"/>
      <c r="B1258" s="319"/>
      <c r="C1258" s="319"/>
      <c r="D1258" s="320"/>
      <c r="E1258" s="320"/>
      <c r="F1258" s="190"/>
      <c r="G12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8" s="190"/>
      <c r="I12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8" s="190"/>
      <c r="K12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8" s="190"/>
      <c r="M12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8" s="190"/>
      <c r="O12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8" s="190"/>
      <c r="Q12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8" s="192">
        <f ca="1">Table66[[#This Row],[Year 1 (Specified in RFO) - N/A]]+Table66[[#This Row],[Year 2 (Specified in RFO) - N/A]]+Table66[[#This Row],[Year 3 (Specified in RFO) - N/A]]+Table66[[#This Row],[Year 4 (Specified in RFO) - N/A]]+Table66[[#This Row],[Year 5 (Specified in RFO) - N/A]]+Table66[[#This Row],[Year 6 (Specified in RFO) - N/A]]</f>
        <v>0</v>
      </c>
      <c r="S1258" s="402">
        <f ca="1">Table66[[#This Row],[Year 1  (Proposed)]]+Table66[[#This Row],[Year 2 (Proposed)]]+Table66[[#This Row],[Year 3 (Proposed)]]+Table66[[#This Row],[Year 4 (Proposed)]]+Table66[[#This Row],[Year 5 (Proposed)]]+Table66[[#This Row],[Year 6 (Proposed)]]</f>
        <v>0</v>
      </c>
      <c r="T1258" s="403" t="b">
        <f ca="1">Table66[[#This Row],[Total Specifed in RFO - N/A]]=Table66[[#This Row],[Total Proposed]]</f>
        <v>1</v>
      </c>
      <c r="U1258" s="439"/>
      <c r="V1258" s="441">
        <f ca="1">Table66[[#This Row],[Year 6 (Specified in RFO) - N/A]]-Table66[[#This Row],[Column1]]</f>
        <v>0</v>
      </c>
    </row>
    <row r="1259" spans="1:22" ht="16.5" thickBot="1">
      <c r="A1259" s="227"/>
      <c r="B1259" s="319"/>
      <c r="C1259" s="319"/>
      <c r="D1259" s="320"/>
      <c r="E1259" s="320"/>
      <c r="F1259" s="190"/>
      <c r="G12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9" s="190"/>
      <c r="I12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9" s="190"/>
      <c r="K12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9" s="190"/>
      <c r="M12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9" s="190"/>
      <c r="O12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9" s="190"/>
      <c r="Q12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9" s="192">
        <f ca="1">Table66[[#This Row],[Year 1 (Specified in RFO) - N/A]]+Table66[[#This Row],[Year 2 (Specified in RFO) - N/A]]+Table66[[#This Row],[Year 3 (Specified in RFO) - N/A]]+Table66[[#This Row],[Year 4 (Specified in RFO) - N/A]]+Table66[[#This Row],[Year 5 (Specified in RFO) - N/A]]+Table66[[#This Row],[Year 6 (Specified in RFO) - N/A]]</f>
        <v>0</v>
      </c>
      <c r="S1259" s="402">
        <f ca="1">Table66[[#This Row],[Year 1  (Proposed)]]+Table66[[#This Row],[Year 2 (Proposed)]]+Table66[[#This Row],[Year 3 (Proposed)]]+Table66[[#This Row],[Year 4 (Proposed)]]+Table66[[#This Row],[Year 5 (Proposed)]]+Table66[[#This Row],[Year 6 (Proposed)]]</f>
        <v>0</v>
      </c>
      <c r="T1259" s="403" t="b">
        <f ca="1">Table66[[#This Row],[Total Specifed in RFO - N/A]]=Table66[[#This Row],[Total Proposed]]</f>
        <v>1</v>
      </c>
      <c r="U1259" s="439"/>
      <c r="V1259" s="441">
        <f ca="1">Table66[[#This Row],[Year 6 (Specified in RFO) - N/A]]-Table66[[#This Row],[Column1]]</f>
        <v>0</v>
      </c>
    </row>
    <row r="1260" spans="1:22" ht="16.5" thickBot="1">
      <c r="A1260" s="227"/>
      <c r="B1260" s="319"/>
      <c r="C1260" s="319"/>
      <c r="D1260" s="320"/>
      <c r="E1260" s="320"/>
      <c r="F1260" s="190"/>
      <c r="G12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0" s="190"/>
      <c r="I12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0" s="190"/>
      <c r="K12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0" s="190"/>
      <c r="M12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0" s="190"/>
      <c r="O12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0" s="190"/>
      <c r="Q12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0" s="192">
        <f ca="1">Table66[[#This Row],[Year 1 (Specified in RFO) - N/A]]+Table66[[#This Row],[Year 2 (Specified in RFO) - N/A]]+Table66[[#This Row],[Year 3 (Specified in RFO) - N/A]]+Table66[[#This Row],[Year 4 (Specified in RFO) - N/A]]+Table66[[#This Row],[Year 5 (Specified in RFO) - N/A]]+Table66[[#This Row],[Year 6 (Specified in RFO) - N/A]]</f>
        <v>0</v>
      </c>
      <c r="S1260" s="402">
        <f ca="1">Table66[[#This Row],[Year 1  (Proposed)]]+Table66[[#This Row],[Year 2 (Proposed)]]+Table66[[#This Row],[Year 3 (Proposed)]]+Table66[[#This Row],[Year 4 (Proposed)]]+Table66[[#This Row],[Year 5 (Proposed)]]+Table66[[#This Row],[Year 6 (Proposed)]]</f>
        <v>0</v>
      </c>
      <c r="T1260" s="403" t="b">
        <f ca="1">Table66[[#This Row],[Total Specifed in RFO - N/A]]=Table66[[#This Row],[Total Proposed]]</f>
        <v>1</v>
      </c>
      <c r="U1260" s="439"/>
      <c r="V1260" s="441">
        <f ca="1">Table66[[#This Row],[Year 6 (Specified in RFO) - N/A]]-Table66[[#This Row],[Column1]]</f>
        <v>0</v>
      </c>
    </row>
    <row r="1261" spans="1:22" ht="16.5" thickBot="1">
      <c r="A1261" s="227"/>
      <c r="B1261" s="319"/>
      <c r="C1261" s="319"/>
      <c r="D1261" s="320"/>
      <c r="E1261" s="320"/>
      <c r="F1261" s="190"/>
      <c r="G12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1" s="190"/>
      <c r="I12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1" s="190"/>
      <c r="K12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1" s="190"/>
      <c r="M12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1" s="190"/>
      <c r="O12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1" s="190"/>
      <c r="Q12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1" s="192">
        <f ca="1">Table66[[#This Row],[Year 1 (Specified in RFO) - N/A]]+Table66[[#This Row],[Year 2 (Specified in RFO) - N/A]]+Table66[[#This Row],[Year 3 (Specified in RFO) - N/A]]+Table66[[#This Row],[Year 4 (Specified in RFO) - N/A]]+Table66[[#This Row],[Year 5 (Specified in RFO) - N/A]]+Table66[[#This Row],[Year 6 (Specified in RFO) - N/A]]</f>
        <v>0</v>
      </c>
      <c r="S1261" s="402">
        <f ca="1">Table66[[#This Row],[Year 1  (Proposed)]]+Table66[[#This Row],[Year 2 (Proposed)]]+Table66[[#This Row],[Year 3 (Proposed)]]+Table66[[#This Row],[Year 4 (Proposed)]]+Table66[[#This Row],[Year 5 (Proposed)]]+Table66[[#This Row],[Year 6 (Proposed)]]</f>
        <v>0</v>
      </c>
      <c r="T1261" s="403" t="b">
        <f ca="1">Table66[[#This Row],[Total Specifed in RFO - N/A]]=Table66[[#This Row],[Total Proposed]]</f>
        <v>1</v>
      </c>
      <c r="U1261" s="439"/>
      <c r="V1261" s="441">
        <f ca="1">Table66[[#This Row],[Year 6 (Specified in RFO) - N/A]]-Table66[[#This Row],[Column1]]</f>
        <v>0</v>
      </c>
    </row>
    <row r="1262" spans="1:22" ht="16.5" thickBot="1">
      <c r="A1262" s="227"/>
      <c r="B1262" s="319"/>
      <c r="C1262" s="319"/>
      <c r="D1262" s="320"/>
      <c r="E1262" s="320"/>
      <c r="F1262" s="190"/>
      <c r="G12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2" s="190"/>
      <c r="I12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2" s="190"/>
      <c r="K12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2" s="190"/>
      <c r="M12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2" s="190"/>
      <c r="O12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2" s="190"/>
      <c r="Q12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2" s="192">
        <f ca="1">Table66[[#This Row],[Year 1 (Specified in RFO) - N/A]]+Table66[[#This Row],[Year 2 (Specified in RFO) - N/A]]+Table66[[#This Row],[Year 3 (Specified in RFO) - N/A]]+Table66[[#This Row],[Year 4 (Specified in RFO) - N/A]]+Table66[[#This Row],[Year 5 (Specified in RFO) - N/A]]+Table66[[#This Row],[Year 6 (Specified in RFO) - N/A]]</f>
        <v>0</v>
      </c>
      <c r="S1262" s="402">
        <f ca="1">Table66[[#This Row],[Year 1  (Proposed)]]+Table66[[#This Row],[Year 2 (Proposed)]]+Table66[[#This Row],[Year 3 (Proposed)]]+Table66[[#This Row],[Year 4 (Proposed)]]+Table66[[#This Row],[Year 5 (Proposed)]]+Table66[[#This Row],[Year 6 (Proposed)]]</f>
        <v>0</v>
      </c>
      <c r="T1262" s="403" t="b">
        <f ca="1">Table66[[#This Row],[Total Specifed in RFO - N/A]]=Table66[[#This Row],[Total Proposed]]</f>
        <v>1</v>
      </c>
      <c r="U1262" s="439"/>
      <c r="V1262" s="441">
        <f ca="1">Table66[[#This Row],[Year 6 (Specified in RFO) - N/A]]-Table66[[#This Row],[Column1]]</f>
        <v>0</v>
      </c>
    </row>
    <row r="1263" spans="1:22" ht="16.5" thickBot="1">
      <c r="A1263" s="227"/>
      <c r="B1263" s="319"/>
      <c r="C1263" s="319"/>
      <c r="D1263" s="320"/>
      <c r="E1263" s="320"/>
      <c r="F1263" s="190"/>
      <c r="G12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3" s="190"/>
      <c r="I12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3" s="190"/>
      <c r="K12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3" s="190"/>
      <c r="M12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3" s="190"/>
      <c r="O12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3" s="190"/>
      <c r="Q12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3" s="192">
        <f ca="1">Table66[[#This Row],[Year 1 (Specified in RFO) - N/A]]+Table66[[#This Row],[Year 2 (Specified in RFO) - N/A]]+Table66[[#This Row],[Year 3 (Specified in RFO) - N/A]]+Table66[[#This Row],[Year 4 (Specified in RFO) - N/A]]+Table66[[#This Row],[Year 5 (Specified in RFO) - N/A]]+Table66[[#This Row],[Year 6 (Specified in RFO) - N/A]]</f>
        <v>0</v>
      </c>
      <c r="S1263" s="402">
        <f ca="1">Table66[[#This Row],[Year 1  (Proposed)]]+Table66[[#This Row],[Year 2 (Proposed)]]+Table66[[#This Row],[Year 3 (Proposed)]]+Table66[[#This Row],[Year 4 (Proposed)]]+Table66[[#This Row],[Year 5 (Proposed)]]+Table66[[#This Row],[Year 6 (Proposed)]]</f>
        <v>0</v>
      </c>
      <c r="T1263" s="403" t="b">
        <f ca="1">Table66[[#This Row],[Total Specifed in RFO - N/A]]=Table66[[#This Row],[Total Proposed]]</f>
        <v>1</v>
      </c>
      <c r="U1263" s="439"/>
      <c r="V1263" s="441">
        <f ca="1">Table66[[#This Row],[Year 6 (Specified in RFO) - N/A]]-Table66[[#This Row],[Column1]]</f>
        <v>0</v>
      </c>
    </row>
    <row r="1264" spans="1:22" ht="16.5" thickBot="1">
      <c r="A1264" s="227"/>
      <c r="B1264" s="319"/>
      <c r="C1264" s="319"/>
      <c r="D1264" s="320"/>
      <c r="E1264" s="320"/>
      <c r="F1264" s="190"/>
      <c r="G12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4" s="190"/>
      <c r="I12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4" s="190"/>
      <c r="K12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4" s="190"/>
      <c r="M12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4" s="190"/>
      <c r="O12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4" s="190"/>
      <c r="Q12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4" s="192">
        <f ca="1">Table66[[#This Row],[Year 1 (Specified in RFO) - N/A]]+Table66[[#This Row],[Year 2 (Specified in RFO) - N/A]]+Table66[[#This Row],[Year 3 (Specified in RFO) - N/A]]+Table66[[#This Row],[Year 4 (Specified in RFO) - N/A]]+Table66[[#This Row],[Year 5 (Specified in RFO) - N/A]]+Table66[[#This Row],[Year 6 (Specified in RFO) - N/A]]</f>
        <v>0</v>
      </c>
      <c r="S1264" s="402">
        <f ca="1">Table66[[#This Row],[Year 1  (Proposed)]]+Table66[[#This Row],[Year 2 (Proposed)]]+Table66[[#This Row],[Year 3 (Proposed)]]+Table66[[#This Row],[Year 4 (Proposed)]]+Table66[[#This Row],[Year 5 (Proposed)]]+Table66[[#This Row],[Year 6 (Proposed)]]</f>
        <v>0</v>
      </c>
      <c r="T1264" s="403" t="b">
        <f ca="1">Table66[[#This Row],[Total Specifed in RFO - N/A]]=Table66[[#This Row],[Total Proposed]]</f>
        <v>1</v>
      </c>
      <c r="U1264" s="439"/>
      <c r="V1264" s="441">
        <f ca="1">Table66[[#This Row],[Year 6 (Specified in RFO) - N/A]]-Table66[[#This Row],[Column1]]</f>
        <v>0</v>
      </c>
    </row>
    <row r="1265" spans="1:22" ht="16.5" thickBot="1">
      <c r="A1265" s="227"/>
      <c r="B1265" s="319"/>
      <c r="C1265" s="319"/>
      <c r="D1265" s="320"/>
      <c r="E1265" s="320"/>
      <c r="F1265" s="190"/>
      <c r="G12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5" s="190"/>
      <c r="I12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5" s="190"/>
      <c r="K12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5" s="190"/>
      <c r="M12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5" s="190"/>
      <c r="O12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5" s="190"/>
      <c r="Q12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5" s="192">
        <f ca="1">Table66[[#This Row],[Year 1 (Specified in RFO) - N/A]]+Table66[[#This Row],[Year 2 (Specified in RFO) - N/A]]+Table66[[#This Row],[Year 3 (Specified in RFO) - N/A]]+Table66[[#This Row],[Year 4 (Specified in RFO) - N/A]]+Table66[[#This Row],[Year 5 (Specified in RFO) - N/A]]+Table66[[#This Row],[Year 6 (Specified in RFO) - N/A]]</f>
        <v>0</v>
      </c>
      <c r="S1265" s="402">
        <f ca="1">Table66[[#This Row],[Year 1  (Proposed)]]+Table66[[#This Row],[Year 2 (Proposed)]]+Table66[[#This Row],[Year 3 (Proposed)]]+Table66[[#This Row],[Year 4 (Proposed)]]+Table66[[#This Row],[Year 5 (Proposed)]]+Table66[[#This Row],[Year 6 (Proposed)]]</f>
        <v>0</v>
      </c>
      <c r="T1265" s="403" t="b">
        <f ca="1">Table66[[#This Row],[Total Specifed in RFO - N/A]]=Table66[[#This Row],[Total Proposed]]</f>
        <v>1</v>
      </c>
      <c r="U1265" s="439"/>
      <c r="V1265" s="441">
        <f ca="1">Table66[[#This Row],[Year 6 (Specified in RFO) - N/A]]-Table66[[#This Row],[Column1]]</f>
        <v>0</v>
      </c>
    </row>
    <row r="1266" spans="1:22" ht="16.5" thickBot="1">
      <c r="A1266" s="227"/>
      <c r="B1266" s="319"/>
      <c r="C1266" s="319"/>
      <c r="D1266" s="320"/>
      <c r="E1266" s="320"/>
      <c r="F1266" s="190"/>
      <c r="G12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6" s="190"/>
      <c r="I12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6" s="190"/>
      <c r="K12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6" s="190"/>
      <c r="M12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6" s="190"/>
      <c r="O12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6" s="190"/>
      <c r="Q12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6" s="192">
        <f ca="1">Table66[[#This Row],[Year 1 (Specified in RFO) - N/A]]+Table66[[#This Row],[Year 2 (Specified in RFO) - N/A]]+Table66[[#This Row],[Year 3 (Specified in RFO) - N/A]]+Table66[[#This Row],[Year 4 (Specified in RFO) - N/A]]+Table66[[#This Row],[Year 5 (Specified in RFO) - N/A]]+Table66[[#This Row],[Year 6 (Specified in RFO) - N/A]]</f>
        <v>0</v>
      </c>
      <c r="S1266" s="402">
        <f ca="1">Table66[[#This Row],[Year 1  (Proposed)]]+Table66[[#This Row],[Year 2 (Proposed)]]+Table66[[#This Row],[Year 3 (Proposed)]]+Table66[[#This Row],[Year 4 (Proposed)]]+Table66[[#This Row],[Year 5 (Proposed)]]+Table66[[#This Row],[Year 6 (Proposed)]]</f>
        <v>0</v>
      </c>
      <c r="T1266" s="403" t="b">
        <f ca="1">Table66[[#This Row],[Total Specifed in RFO - N/A]]=Table66[[#This Row],[Total Proposed]]</f>
        <v>1</v>
      </c>
      <c r="U1266" s="439"/>
      <c r="V1266" s="441">
        <f ca="1">Table66[[#This Row],[Year 6 (Specified in RFO) - N/A]]-Table66[[#This Row],[Column1]]</f>
        <v>0</v>
      </c>
    </row>
    <row r="1267" spans="1:22" ht="16.5" thickBot="1">
      <c r="A1267" s="227"/>
      <c r="B1267" s="319"/>
      <c r="C1267" s="319"/>
      <c r="D1267" s="320"/>
      <c r="E1267" s="320"/>
      <c r="F1267" s="190"/>
      <c r="G12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7" s="190"/>
      <c r="I12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7" s="190"/>
      <c r="K12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7" s="190"/>
      <c r="M12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7" s="190"/>
      <c r="O12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7" s="190"/>
      <c r="Q12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7" s="192">
        <f ca="1">Table66[[#This Row],[Year 1 (Specified in RFO) - N/A]]+Table66[[#This Row],[Year 2 (Specified in RFO) - N/A]]+Table66[[#This Row],[Year 3 (Specified in RFO) - N/A]]+Table66[[#This Row],[Year 4 (Specified in RFO) - N/A]]+Table66[[#This Row],[Year 5 (Specified in RFO) - N/A]]+Table66[[#This Row],[Year 6 (Specified in RFO) - N/A]]</f>
        <v>0</v>
      </c>
      <c r="S1267" s="402">
        <f ca="1">Table66[[#This Row],[Year 1  (Proposed)]]+Table66[[#This Row],[Year 2 (Proposed)]]+Table66[[#This Row],[Year 3 (Proposed)]]+Table66[[#This Row],[Year 4 (Proposed)]]+Table66[[#This Row],[Year 5 (Proposed)]]+Table66[[#This Row],[Year 6 (Proposed)]]</f>
        <v>0</v>
      </c>
      <c r="T1267" s="403" t="b">
        <f ca="1">Table66[[#This Row],[Total Specifed in RFO - N/A]]=Table66[[#This Row],[Total Proposed]]</f>
        <v>1</v>
      </c>
      <c r="U1267" s="439"/>
      <c r="V1267" s="441">
        <f ca="1">Table66[[#This Row],[Year 6 (Specified in RFO) - N/A]]-Table66[[#This Row],[Column1]]</f>
        <v>0</v>
      </c>
    </row>
    <row r="1268" spans="1:22" ht="16.5" thickBot="1">
      <c r="A1268" s="227"/>
      <c r="B1268" s="319"/>
      <c r="C1268" s="319"/>
      <c r="D1268" s="320"/>
      <c r="E1268" s="320"/>
      <c r="F1268" s="190"/>
      <c r="G12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8" s="190"/>
      <c r="I12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8" s="190"/>
      <c r="K12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8" s="190"/>
      <c r="M12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8" s="190"/>
      <c r="O12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8" s="190"/>
      <c r="Q12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8" s="192">
        <f ca="1">Table66[[#This Row],[Year 1 (Specified in RFO) - N/A]]+Table66[[#This Row],[Year 2 (Specified in RFO) - N/A]]+Table66[[#This Row],[Year 3 (Specified in RFO) - N/A]]+Table66[[#This Row],[Year 4 (Specified in RFO) - N/A]]+Table66[[#This Row],[Year 5 (Specified in RFO) - N/A]]+Table66[[#This Row],[Year 6 (Specified in RFO) - N/A]]</f>
        <v>0</v>
      </c>
      <c r="S1268" s="402">
        <f ca="1">Table66[[#This Row],[Year 1  (Proposed)]]+Table66[[#This Row],[Year 2 (Proposed)]]+Table66[[#This Row],[Year 3 (Proposed)]]+Table66[[#This Row],[Year 4 (Proposed)]]+Table66[[#This Row],[Year 5 (Proposed)]]+Table66[[#This Row],[Year 6 (Proposed)]]</f>
        <v>0</v>
      </c>
      <c r="T1268" s="403" t="b">
        <f ca="1">Table66[[#This Row],[Total Specifed in RFO - N/A]]=Table66[[#This Row],[Total Proposed]]</f>
        <v>1</v>
      </c>
      <c r="U1268" s="439"/>
      <c r="V1268" s="441">
        <f ca="1">Table66[[#This Row],[Year 6 (Specified in RFO) - N/A]]-Table66[[#This Row],[Column1]]</f>
        <v>0</v>
      </c>
    </row>
    <row r="1269" spans="1:22" ht="16.5" thickBot="1">
      <c r="A1269" s="227"/>
      <c r="B1269" s="319"/>
      <c r="C1269" s="319"/>
      <c r="D1269" s="320"/>
      <c r="E1269" s="320"/>
      <c r="F1269" s="190"/>
      <c r="G12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9" s="190"/>
      <c r="I12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9" s="190"/>
      <c r="K12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9" s="190"/>
      <c r="M12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9" s="190"/>
      <c r="O12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9" s="190"/>
      <c r="Q12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9" s="192">
        <f ca="1">Table66[[#This Row],[Year 1 (Specified in RFO) - N/A]]+Table66[[#This Row],[Year 2 (Specified in RFO) - N/A]]+Table66[[#This Row],[Year 3 (Specified in RFO) - N/A]]+Table66[[#This Row],[Year 4 (Specified in RFO) - N/A]]+Table66[[#This Row],[Year 5 (Specified in RFO) - N/A]]+Table66[[#This Row],[Year 6 (Specified in RFO) - N/A]]</f>
        <v>0</v>
      </c>
      <c r="S1269" s="402">
        <f ca="1">Table66[[#This Row],[Year 1  (Proposed)]]+Table66[[#This Row],[Year 2 (Proposed)]]+Table66[[#This Row],[Year 3 (Proposed)]]+Table66[[#This Row],[Year 4 (Proposed)]]+Table66[[#This Row],[Year 5 (Proposed)]]+Table66[[#This Row],[Year 6 (Proposed)]]</f>
        <v>0</v>
      </c>
      <c r="T1269" s="403" t="b">
        <f ca="1">Table66[[#This Row],[Total Specifed in RFO - N/A]]=Table66[[#This Row],[Total Proposed]]</f>
        <v>1</v>
      </c>
      <c r="U1269" s="439"/>
      <c r="V1269" s="441">
        <f ca="1">Table66[[#This Row],[Year 6 (Specified in RFO) - N/A]]-Table66[[#This Row],[Column1]]</f>
        <v>0</v>
      </c>
    </row>
    <row r="1270" spans="1:22" ht="16.5" thickBot="1">
      <c r="A1270" s="227"/>
      <c r="B1270" s="319"/>
      <c r="C1270" s="319"/>
      <c r="D1270" s="320"/>
      <c r="E1270" s="320"/>
      <c r="F1270" s="190"/>
      <c r="G12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0" s="190"/>
      <c r="I12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0" s="190"/>
      <c r="K12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0" s="190"/>
      <c r="M12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0" s="190"/>
      <c r="O12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0" s="190"/>
      <c r="Q12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0" s="192">
        <f ca="1">Table66[[#This Row],[Year 1 (Specified in RFO) - N/A]]+Table66[[#This Row],[Year 2 (Specified in RFO) - N/A]]+Table66[[#This Row],[Year 3 (Specified in RFO) - N/A]]+Table66[[#This Row],[Year 4 (Specified in RFO) - N/A]]+Table66[[#This Row],[Year 5 (Specified in RFO) - N/A]]+Table66[[#This Row],[Year 6 (Specified in RFO) - N/A]]</f>
        <v>0</v>
      </c>
      <c r="S1270" s="402">
        <f ca="1">Table66[[#This Row],[Year 1  (Proposed)]]+Table66[[#This Row],[Year 2 (Proposed)]]+Table66[[#This Row],[Year 3 (Proposed)]]+Table66[[#This Row],[Year 4 (Proposed)]]+Table66[[#This Row],[Year 5 (Proposed)]]+Table66[[#This Row],[Year 6 (Proposed)]]</f>
        <v>0</v>
      </c>
      <c r="T1270" s="403" t="b">
        <f ca="1">Table66[[#This Row],[Total Specifed in RFO - N/A]]=Table66[[#This Row],[Total Proposed]]</f>
        <v>1</v>
      </c>
      <c r="U1270" s="439"/>
      <c r="V1270" s="441">
        <f ca="1">Table66[[#This Row],[Year 6 (Specified in RFO) - N/A]]-Table66[[#This Row],[Column1]]</f>
        <v>0</v>
      </c>
    </row>
    <row r="1271" spans="1:22" ht="16.5" thickBot="1">
      <c r="A1271" s="227"/>
      <c r="B1271" s="319"/>
      <c r="C1271" s="319"/>
      <c r="D1271" s="320"/>
      <c r="E1271" s="320"/>
      <c r="F1271" s="190"/>
      <c r="G12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1" s="190"/>
      <c r="I12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1" s="190"/>
      <c r="K12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1" s="190"/>
      <c r="M12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1" s="190"/>
      <c r="O12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1" s="190"/>
      <c r="Q12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1" s="192">
        <f ca="1">Table66[[#This Row],[Year 1 (Specified in RFO) - N/A]]+Table66[[#This Row],[Year 2 (Specified in RFO) - N/A]]+Table66[[#This Row],[Year 3 (Specified in RFO) - N/A]]+Table66[[#This Row],[Year 4 (Specified in RFO) - N/A]]+Table66[[#This Row],[Year 5 (Specified in RFO) - N/A]]+Table66[[#This Row],[Year 6 (Specified in RFO) - N/A]]</f>
        <v>0</v>
      </c>
      <c r="S1271" s="402">
        <f ca="1">Table66[[#This Row],[Year 1  (Proposed)]]+Table66[[#This Row],[Year 2 (Proposed)]]+Table66[[#This Row],[Year 3 (Proposed)]]+Table66[[#This Row],[Year 4 (Proposed)]]+Table66[[#This Row],[Year 5 (Proposed)]]+Table66[[#This Row],[Year 6 (Proposed)]]</f>
        <v>0</v>
      </c>
      <c r="T1271" s="403" t="b">
        <f ca="1">Table66[[#This Row],[Total Specifed in RFO - N/A]]=Table66[[#This Row],[Total Proposed]]</f>
        <v>1</v>
      </c>
      <c r="U1271" s="439"/>
      <c r="V1271" s="441">
        <f ca="1">Table66[[#This Row],[Year 6 (Specified in RFO) - N/A]]-Table66[[#This Row],[Column1]]</f>
        <v>0</v>
      </c>
    </row>
    <row r="1272" spans="1:22" ht="16.5" thickBot="1">
      <c r="A1272" s="227"/>
      <c r="B1272" s="319"/>
      <c r="C1272" s="319"/>
      <c r="D1272" s="320"/>
      <c r="E1272" s="320"/>
      <c r="F1272" s="190"/>
      <c r="G12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2" s="190"/>
      <c r="I12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2" s="190"/>
      <c r="K12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2" s="190"/>
      <c r="M12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2" s="190"/>
      <c r="O12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2" s="190"/>
      <c r="Q12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2" s="192">
        <f ca="1">Table66[[#This Row],[Year 1 (Specified in RFO) - N/A]]+Table66[[#This Row],[Year 2 (Specified in RFO) - N/A]]+Table66[[#This Row],[Year 3 (Specified in RFO) - N/A]]+Table66[[#This Row],[Year 4 (Specified in RFO) - N/A]]+Table66[[#This Row],[Year 5 (Specified in RFO) - N/A]]+Table66[[#This Row],[Year 6 (Specified in RFO) - N/A]]</f>
        <v>0</v>
      </c>
      <c r="S1272" s="402">
        <f ca="1">Table66[[#This Row],[Year 1  (Proposed)]]+Table66[[#This Row],[Year 2 (Proposed)]]+Table66[[#This Row],[Year 3 (Proposed)]]+Table66[[#This Row],[Year 4 (Proposed)]]+Table66[[#This Row],[Year 5 (Proposed)]]+Table66[[#This Row],[Year 6 (Proposed)]]</f>
        <v>0</v>
      </c>
      <c r="T1272" s="403" t="b">
        <f ca="1">Table66[[#This Row],[Total Specifed in RFO - N/A]]=Table66[[#This Row],[Total Proposed]]</f>
        <v>1</v>
      </c>
      <c r="U1272" s="439"/>
      <c r="V1272" s="441">
        <f ca="1">Table66[[#This Row],[Year 6 (Specified in RFO) - N/A]]-Table66[[#This Row],[Column1]]</f>
        <v>0</v>
      </c>
    </row>
    <row r="1273" spans="1:22" ht="16.5" thickBot="1">
      <c r="A1273" s="227"/>
      <c r="B1273" s="319"/>
      <c r="C1273" s="319"/>
      <c r="D1273" s="320"/>
      <c r="E1273" s="320"/>
      <c r="F1273" s="190"/>
      <c r="G12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3" s="190"/>
      <c r="I12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3" s="190"/>
      <c r="K12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3" s="190"/>
      <c r="M12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3" s="190"/>
      <c r="O12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3" s="190"/>
      <c r="Q12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3" s="192">
        <f ca="1">Table66[[#This Row],[Year 1 (Specified in RFO) - N/A]]+Table66[[#This Row],[Year 2 (Specified in RFO) - N/A]]+Table66[[#This Row],[Year 3 (Specified in RFO) - N/A]]+Table66[[#This Row],[Year 4 (Specified in RFO) - N/A]]+Table66[[#This Row],[Year 5 (Specified in RFO) - N/A]]+Table66[[#This Row],[Year 6 (Specified in RFO) - N/A]]</f>
        <v>0</v>
      </c>
      <c r="S1273" s="402">
        <f ca="1">Table66[[#This Row],[Year 1  (Proposed)]]+Table66[[#This Row],[Year 2 (Proposed)]]+Table66[[#This Row],[Year 3 (Proposed)]]+Table66[[#This Row],[Year 4 (Proposed)]]+Table66[[#This Row],[Year 5 (Proposed)]]+Table66[[#This Row],[Year 6 (Proposed)]]</f>
        <v>0</v>
      </c>
      <c r="T1273" s="403" t="b">
        <f ca="1">Table66[[#This Row],[Total Specifed in RFO - N/A]]=Table66[[#This Row],[Total Proposed]]</f>
        <v>1</v>
      </c>
      <c r="U1273" s="439"/>
      <c r="V1273" s="441">
        <f ca="1">Table66[[#This Row],[Year 6 (Specified in RFO) - N/A]]-Table66[[#This Row],[Column1]]</f>
        <v>0</v>
      </c>
    </row>
    <row r="1274" spans="1:22" ht="16.5" thickBot="1">
      <c r="A1274" s="227"/>
      <c r="B1274" s="319"/>
      <c r="C1274" s="319"/>
      <c r="D1274" s="320"/>
      <c r="E1274" s="320"/>
      <c r="F1274" s="190"/>
      <c r="G12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4" s="190"/>
      <c r="I12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4" s="190"/>
      <c r="K12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4" s="190"/>
      <c r="M12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4" s="190"/>
      <c r="O12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4" s="190"/>
      <c r="Q12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4" s="192">
        <f ca="1">Table66[[#This Row],[Year 1 (Specified in RFO) - N/A]]+Table66[[#This Row],[Year 2 (Specified in RFO) - N/A]]+Table66[[#This Row],[Year 3 (Specified in RFO) - N/A]]+Table66[[#This Row],[Year 4 (Specified in RFO) - N/A]]+Table66[[#This Row],[Year 5 (Specified in RFO) - N/A]]+Table66[[#This Row],[Year 6 (Specified in RFO) - N/A]]</f>
        <v>0</v>
      </c>
      <c r="S1274" s="402">
        <f ca="1">Table66[[#This Row],[Year 1  (Proposed)]]+Table66[[#This Row],[Year 2 (Proposed)]]+Table66[[#This Row],[Year 3 (Proposed)]]+Table66[[#This Row],[Year 4 (Proposed)]]+Table66[[#This Row],[Year 5 (Proposed)]]+Table66[[#This Row],[Year 6 (Proposed)]]</f>
        <v>0</v>
      </c>
      <c r="T1274" s="403" t="b">
        <f ca="1">Table66[[#This Row],[Total Specifed in RFO - N/A]]=Table66[[#This Row],[Total Proposed]]</f>
        <v>1</v>
      </c>
      <c r="U1274" s="439"/>
      <c r="V1274" s="441">
        <f ca="1">Table66[[#This Row],[Year 6 (Specified in RFO) - N/A]]-Table66[[#This Row],[Column1]]</f>
        <v>0</v>
      </c>
    </row>
    <row r="1275" spans="1:22" ht="16.5" thickBot="1">
      <c r="A1275" s="227"/>
      <c r="B1275" s="319"/>
      <c r="C1275" s="319"/>
      <c r="D1275" s="320"/>
      <c r="E1275" s="320"/>
      <c r="F1275" s="190"/>
      <c r="G12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5" s="190"/>
      <c r="I12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5" s="190"/>
      <c r="K12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5" s="190"/>
      <c r="M12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5" s="190"/>
      <c r="O12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5" s="190"/>
      <c r="Q12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5" s="192">
        <f ca="1">Table66[[#This Row],[Year 1 (Specified in RFO) - N/A]]+Table66[[#This Row],[Year 2 (Specified in RFO) - N/A]]+Table66[[#This Row],[Year 3 (Specified in RFO) - N/A]]+Table66[[#This Row],[Year 4 (Specified in RFO) - N/A]]+Table66[[#This Row],[Year 5 (Specified in RFO) - N/A]]+Table66[[#This Row],[Year 6 (Specified in RFO) - N/A]]</f>
        <v>0</v>
      </c>
      <c r="S1275" s="402">
        <f ca="1">Table66[[#This Row],[Year 1  (Proposed)]]+Table66[[#This Row],[Year 2 (Proposed)]]+Table66[[#This Row],[Year 3 (Proposed)]]+Table66[[#This Row],[Year 4 (Proposed)]]+Table66[[#This Row],[Year 5 (Proposed)]]+Table66[[#This Row],[Year 6 (Proposed)]]</f>
        <v>0</v>
      </c>
      <c r="T1275" s="403" t="b">
        <f ca="1">Table66[[#This Row],[Total Specifed in RFO - N/A]]=Table66[[#This Row],[Total Proposed]]</f>
        <v>1</v>
      </c>
      <c r="U1275" s="439"/>
      <c r="V1275" s="441">
        <f ca="1">Table66[[#This Row],[Year 6 (Specified in RFO) - N/A]]-Table66[[#This Row],[Column1]]</f>
        <v>0</v>
      </c>
    </row>
    <row r="1276" spans="1:22" ht="16.5" thickBot="1">
      <c r="A1276" s="227"/>
      <c r="B1276" s="319"/>
      <c r="C1276" s="319"/>
      <c r="D1276" s="320"/>
      <c r="E1276" s="320"/>
      <c r="F1276" s="190"/>
      <c r="G12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6" s="190"/>
      <c r="I12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6" s="190"/>
      <c r="K12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6" s="190"/>
      <c r="M12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6" s="190"/>
      <c r="O12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6" s="190"/>
      <c r="Q12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6" s="192">
        <f ca="1">Table66[[#This Row],[Year 1 (Specified in RFO) - N/A]]+Table66[[#This Row],[Year 2 (Specified in RFO) - N/A]]+Table66[[#This Row],[Year 3 (Specified in RFO) - N/A]]+Table66[[#This Row],[Year 4 (Specified in RFO) - N/A]]+Table66[[#This Row],[Year 5 (Specified in RFO) - N/A]]+Table66[[#This Row],[Year 6 (Specified in RFO) - N/A]]</f>
        <v>0</v>
      </c>
      <c r="S1276" s="402">
        <f ca="1">Table66[[#This Row],[Year 1  (Proposed)]]+Table66[[#This Row],[Year 2 (Proposed)]]+Table66[[#This Row],[Year 3 (Proposed)]]+Table66[[#This Row],[Year 4 (Proposed)]]+Table66[[#This Row],[Year 5 (Proposed)]]+Table66[[#This Row],[Year 6 (Proposed)]]</f>
        <v>0</v>
      </c>
      <c r="T1276" s="403" t="b">
        <f ca="1">Table66[[#This Row],[Total Specifed in RFO - N/A]]=Table66[[#This Row],[Total Proposed]]</f>
        <v>1</v>
      </c>
      <c r="U1276" s="439"/>
      <c r="V1276" s="441">
        <f ca="1">Table66[[#This Row],[Year 6 (Specified in RFO) - N/A]]-Table66[[#This Row],[Column1]]</f>
        <v>0</v>
      </c>
    </row>
    <row r="1277" spans="1:22" ht="16.5" thickBot="1">
      <c r="A1277" s="227"/>
      <c r="B1277" s="319"/>
      <c r="C1277" s="319"/>
      <c r="D1277" s="320"/>
      <c r="E1277" s="320"/>
      <c r="F1277" s="190"/>
      <c r="G12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7" s="190"/>
      <c r="I12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7" s="190"/>
      <c r="K12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7" s="190"/>
      <c r="M12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7" s="190"/>
      <c r="O12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7" s="190"/>
      <c r="Q12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7" s="192">
        <f ca="1">Table66[[#This Row],[Year 1 (Specified in RFO) - N/A]]+Table66[[#This Row],[Year 2 (Specified in RFO) - N/A]]+Table66[[#This Row],[Year 3 (Specified in RFO) - N/A]]+Table66[[#This Row],[Year 4 (Specified in RFO) - N/A]]+Table66[[#This Row],[Year 5 (Specified in RFO) - N/A]]+Table66[[#This Row],[Year 6 (Specified in RFO) - N/A]]</f>
        <v>0</v>
      </c>
      <c r="S1277" s="402">
        <f ca="1">Table66[[#This Row],[Year 1  (Proposed)]]+Table66[[#This Row],[Year 2 (Proposed)]]+Table66[[#This Row],[Year 3 (Proposed)]]+Table66[[#This Row],[Year 4 (Proposed)]]+Table66[[#This Row],[Year 5 (Proposed)]]+Table66[[#This Row],[Year 6 (Proposed)]]</f>
        <v>0</v>
      </c>
      <c r="T1277" s="403" t="b">
        <f ca="1">Table66[[#This Row],[Total Specifed in RFO - N/A]]=Table66[[#This Row],[Total Proposed]]</f>
        <v>1</v>
      </c>
      <c r="U1277" s="439"/>
      <c r="V1277" s="441">
        <f ca="1">Table66[[#This Row],[Year 6 (Specified in RFO) - N/A]]-Table66[[#This Row],[Column1]]</f>
        <v>0</v>
      </c>
    </row>
    <row r="1278" spans="1:22" ht="16.5" thickBot="1">
      <c r="A1278" s="227"/>
      <c r="B1278" s="319"/>
      <c r="C1278" s="319"/>
      <c r="D1278" s="320"/>
      <c r="E1278" s="320"/>
      <c r="F1278" s="190"/>
      <c r="G12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8" s="190"/>
      <c r="I12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8" s="190"/>
      <c r="K12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8" s="190"/>
      <c r="M12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8" s="190"/>
      <c r="O12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8" s="190"/>
      <c r="Q12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8" s="192">
        <f ca="1">Table66[[#This Row],[Year 1 (Specified in RFO) - N/A]]+Table66[[#This Row],[Year 2 (Specified in RFO) - N/A]]+Table66[[#This Row],[Year 3 (Specified in RFO) - N/A]]+Table66[[#This Row],[Year 4 (Specified in RFO) - N/A]]+Table66[[#This Row],[Year 5 (Specified in RFO) - N/A]]+Table66[[#This Row],[Year 6 (Specified in RFO) - N/A]]</f>
        <v>0</v>
      </c>
      <c r="S1278" s="402">
        <f ca="1">Table66[[#This Row],[Year 1  (Proposed)]]+Table66[[#This Row],[Year 2 (Proposed)]]+Table66[[#This Row],[Year 3 (Proposed)]]+Table66[[#This Row],[Year 4 (Proposed)]]+Table66[[#This Row],[Year 5 (Proposed)]]+Table66[[#This Row],[Year 6 (Proposed)]]</f>
        <v>0</v>
      </c>
      <c r="T1278" s="403" t="b">
        <f ca="1">Table66[[#This Row],[Total Specifed in RFO - N/A]]=Table66[[#This Row],[Total Proposed]]</f>
        <v>1</v>
      </c>
      <c r="U1278" s="439"/>
      <c r="V1278" s="441">
        <f ca="1">Table66[[#This Row],[Year 6 (Specified in RFO) - N/A]]-Table66[[#This Row],[Column1]]</f>
        <v>0</v>
      </c>
    </row>
    <row r="1279" spans="1:22" ht="16.5" thickBot="1">
      <c r="A1279" s="227"/>
      <c r="B1279" s="319"/>
      <c r="C1279" s="319"/>
      <c r="D1279" s="320"/>
      <c r="E1279" s="320"/>
      <c r="F1279" s="190"/>
      <c r="G12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9" s="190"/>
      <c r="I12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9" s="190"/>
      <c r="K12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9" s="190"/>
      <c r="M12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9" s="190"/>
      <c r="O12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9" s="190"/>
      <c r="Q12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9" s="192">
        <f ca="1">Table66[[#This Row],[Year 1 (Specified in RFO) - N/A]]+Table66[[#This Row],[Year 2 (Specified in RFO) - N/A]]+Table66[[#This Row],[Year 3 (Specified in RFO) - N/A]]+Table66[[#This Row],[Year 4 (Specified in RFO) - N/A]]+Table66[[#This Row],[Year 5 (Specified in RFO) - N/A]]+Table66[[#This Row],[Year 6 (Specified in RFO) - N/A]]</f>
        <v>0</v>
      </c>
      <c r="S1279" s="402">
        <f ca="1">Table66[[#This Row],[Year 1  (Proposed)]]+Table66[[#This Row],[Year 2 (Proposed)]]+Table66[[#This Row],[Year 3 (Proposed)]]+Table66[[#This Row],[Year 4 (Proposed)]]+Table66[[#This Row],[Year 5 (Proposed)]]+Table66[[#This Row],[Year 6 (Proposed)]]</f>
        <v>0</v>
      </c>
      <c r="T1279" s="403" t="b">
        <f ca="1">Table66[[#This Row],[Total Specifed in RFO - N/A]]=Table66[[#This Row],[Total Proposed]]</f>
        <v>1</v>
      </c>
      <c r="U1279" s="439"/>
      <c r="V1279" s="441">
        <f ca="1">Table66[[#This Row],[Year 6 (Specified in RFO) - N/A]]-Table66[[#This Row],[Column1]]</f>
        <v>0</v>
      </c>
    </row>
    <row r="1280" spans="1:22" ht="16.5" thickBot="1">
      <c r="A1280" s="227"/>
      <c r="B1280" s="319"/>
      <c r="C1280" s="319"/>
      <c r="D1280" s="320"/>
      <c r="E1280" s="320"/>
      <c r="F1280" s="190"/>
      <c r="G12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0" s="190"/>
      <c r="I12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0" s="190"/>
      <c r="K12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0" s="190"/>
      <c r="M12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0" s="190"/>
      <c r="O12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0" s="190"/>
      <c r="Q12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0" s="192">
        <f ca="1">Table66[[#This Row],[Year 1 (Specified in RFO) - N/A]]+Table66[[#This Row],[Year 2 (Specified in RFO) - N/A]]+Table66[[#This Row],[Year 3 (Specified in RFO) - N/A]]+Table66[[#This Row],[Year 4 (Specified in RFO) - N/A]]+Table66[[#This Row],[Year 5 (Specified in RFO) - N/A]]+Table66[[#This Row],[Year 6 (Specified in RFO) - N/A]]</f>
        <v>0</v>
      </c>
      <c r="S1280" s="402">
        <f ca="1">Table66[[#This Row],[Year 1  (Proposed)]]+Table66[[#This Row],[Year 2 (Proposed)]]+Table66[[#This Row],[Year 3 (Proposed)]]+Table66[[#This Row],[Year 4 (Proposed)]]+Table66[[#This Row],[Year 5 (Proposed)]]+Table66[[#This Row],[Year 6 (Proposed)]]</f>
        <v>0</v>
      </c>
      <c r="T1280" s="403" t="b">
        <f ca="1">Table66[[#This Row],[Total Specifed in RFO - N/A]]=Table66[[#This Row],[Total Proposed]]</f>
        <v>1</v>
      </c>
      <c r="U1280" s="439"/>
      <c r="V1280" s="441">
        <f ca="1">Table66[[#This Row],[Year 6 (Specified in RFO) - N/A]]-Table66[[#This Row],[Column1]]</f>
        <v>0</v>
      </c>
    </row>
    <row r="1281" spans="1:22" ht="16.5" thickBot="1">
      <c r="A1281" s="227"/>
      <c r="B1281" s="319"/>
      <c r="C1281" s="319"/>
      <c r="D1281" s="320"/>
      <c r="E1281" s="320"/>
      <c r="F1281" s="190"/>
      <c r="G12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1" s="190"/>
      <c r="I12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1" s="190"/>
      <c r="K12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1" s="190"/>
      <c r="M12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1" s="190"/>
      <c r="O12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1" s="190"/>
      <c r="Q12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1" s="192">
        <f ca="1">Table66[[#This Row],[Year 1 (Specified in RFO) - N/A]]+Table66[[#This Row],[Year 2 (Specified in RFO) - N/A]]+Table66[[#This Row],[Year 3 (Specified in RFO) - N/A]]+Table66[[#This Row],[Year 4 (Specified in RFO) - N/A]]+Table66[[#This Row],[Year 5 (Specified in RFO) - N/A]]+Table66[[#This Row],[Year 6 (Specified in RFO) - N/A]]</f>
        <v>0</v>
      </c>
      <c r="S1281" s="402">
        <f ca="1">Table66[[#This Row],[Year 1  (Proposed)]]+Table66[[#This Row],[Year 2 (Proposed)]]+Table66[[#This Row],[Year 3 (Proposed)]]+Table66[[#This Row],[Year 4 (Proposed)]]+Table66[[#This Row],[Year 5 (Proposed)]]+Table66[[#This Row],[Year 6 (Proposed)]]</f>
        <v>0</v>
      </c>
      <c r="T1281" s="403" t="b">
        <f ca="1">Table66[[#This Row],[Total Specifed in RFO - N/A]]=Table66[[#This Row],[Total Proposed]]</f>
        <v>1</v>
      </c>
      <c r="U1281" s="439"/>
      <c r="V1281" s="441">
        <f ca="1">Table66[[#This Row],[Year 6 (Specified in RFO) - N/A]]-Table66[[#This Row],[Column1]]</f>
        <v>0</v>
      </c>
    </row>
    <row r="1282" spans="1:22" ht="16.5" thickBot="1">
      <c r="A1282" s="227"/>
      <c r="B1282" s="319"/>
      <c r="C1282" s="319"/>
      <c r="D1282" s="320"/>
      <c r="E1282" s="320"/>
      <c r="F1282" s="190"/>
      <c r="G12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2" s="190"/>
      <c r="I12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2" s="190"/>
      <c r="K12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2" s="190"/>
      <c r="M12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2" s="190"/>
      <c r="O12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2" s="190"/>
      <c r="Q12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2" s="192">
        <f ca="1">Table66[[#This Row],[Year 1 (Specified in RFO) - N/A]]+Table66[[#This Row],[Year 2 (Specified in RFO) - N/A]]+Table66[[#This Row],[Year 3 (Specified in RFO) - N/A]]+Table66[[#This Row],[Year 4 (Specified in RFO) - N/A]]+Table66[[#This Row],[Year 5 (Specified in RFO) - N/A]]+Table66[[#This Row],[Year 6 (Specified in RFO) - N/A]]</f>
        <v>0</v>
      </c>
      <c r="S1282" s="402">
        <f ca="1">Table66[[#This Row],[Year 1  (Proposed)]]+Table66[[#This Row],[Year 2 (Proposed)]]+Table66[[#This Row],[Year 3 (Proposed)]]+Table66[[#This Row],[Year 4 (Proposed)]]+Table66[[#This Row],[Year 5 (Proposed)]]+Table66[[#This Row],[Year 6 (Proposed)]]</f>
        <v>0</v>
      </c>
      <c r="T1282" s="403" t="b">
        <f ca="1">Table66[[#This Row],[Total Specifed in RFO - N/A]]=Table66[[#This Row],[Total Proposed]]</f>
        <v>1</v>
      </c>
      <c r="U1282" s="439"/>
      <c r="V1282" s="441">
        <f ca="1">Table66[[#This Row],[Year 6 (Specified in RFO) - N/A]]-Table66[[#This Row],[Column1]]</f>
        <v>0</v>
      </c>
    </row>
    <row r="1283" spans="1:22" ht="16.5" thickBot="1">
      <c r="A1283" s="227"/>
      <c r="B1283" s="319"/>
      <c r="C1283" s="319"/>
      <c r="D1283" s="320"/>
      <c r="E1283" s="320"/>
      <c r="F1283" s="190"/>
      <c r="G12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3" s="190"/>
      <c r="I12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3" s="190"/>
      <c r="K12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3" s="190"/>
      <c r="M12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3" s="190"/>
      <c r="O12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3" s="190"/>
      <c r="Q12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3" s="192">
        <f ca="1">Table66[[#This Row],[Year 1 (Specified in RFO) - N/A]]+Table66[[#This Row],[Year 2 (Specified in RFO) - N/A]]+Table66[[#This Row],[Year 3 (Specified in RFO) - N/A]]+Table66[[#This Row],[Year 4 (Specified in RFO) - N/A]]+Table66[[#This Row],[Year 5 (Specified in RFO) - N/A]]+Table66[[#This Row],[Year 6 (Specified in RFO) - N/A]]</f>
        <v>0</v>
      </c>
      <c r="S1283" s="402">
        <f ca="1">Table66[[#This Row],[Year 1  (Proposed)]]+Table66[[#This Row],[Year 2 (Proposed)]]+Table66[[#This Row],[Year 3 (Proposed)]]+Table66[[#This Row],[Year 4 (Proposed)]]+Table66[[#This Row],[Year 5 (Proposed)]]+Table66[[#This Row],[Year 6 (Proposed)]]</f>
        <v>0</v>
      </c>
      <c r="T1283" s="403" t="b">
        <f ca="1">Table66[[#This Row],[Total Specifed in RFO - N/A]]=Table66[[#This Row],[Total Proposed]]</f>
        <v>1</v>
      </c>
      <c r="U1283" s="439"/>
      <c r="V1283" s="441">
        <f ca="1">Table66[[#This Row],[Year 6 (Specified in RFO) - N/A]]-Table66[[#This Row],[Column1]]</f>
        <v>0</v>
      </c>
    </row>
    <row r="1284" spans="1:22" ht="16.5" thickBot="1">
      <c r="A1284" s="227"/>
      <c r="B1284" s="319"/>
      <c r="C1284" s="319"/>
      <c r="D1284" s="320"/>
      <c r="E1284" s="320"/>
      <c r="F1284" s="190"/>
      <c r="G12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4" s="190"/>
      <c r="I12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4" s="190"/>
      <c r="K12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4" s="190"/>
      <c r="M12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4" s="190"/>
      <c r="O12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4" s="190"/>
      <c r="Q12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4" s="192">
        <f ca="1">Table66[[#This Row],[Year 1 (Specified in RFO) - N/A]]+Table66[[#This Row],[Year 2 (Specified in RFO) - N/A]]+Table66[[#This Row],[Year 3 (Specified in RFO) - N/A]]+Table66[[#This Row],[Year 4 (Specified in RFO) - N/A]]+Table66[[#This Row],[Year 5 (Specified in RFO) - N/A]]+Table66[[#This Row],[Year 6 (Specified in RFO) - N/A]]</f>
        <v>0</v>
      </c>
      <c r="S1284" s="402">
        <f ca="1">Table66[[#This Row],[Year 1  (Proposed)]]+Table66[[#This Row],[Year 2 (Proposed)]]+Table66[[#This Row],[Year 3 (Proposed)]]+Table66[[#This Row],[Year 4 (Proposed)]]+Table66[[#This Row],[Year 5 (Proposed)]]+Table66[[#This Row],[Year 6 (Proposed)]]</f>
        <v>0</v>
      </c>
      <c r="T1284" s="403" t="b">
        <f ca="1">Table66[[#This Row],[Total Specifed in RFO - N/A]]=Table66[[#This Row],[Total Proposed]]</f>
        <v>1</v>
      </c>
      <c r="U1284" s="439"/>
      <c r="V1284" s="441">
        <f ca="1">Table66[[#This Row],[Year 6 (Specified in RFO) - N/A]]-Table66[[#This Row],[Column1]]</f>
        <v>0</v>
      </c>
    </row>
    <row r="1285" spans="1:22" ht="16.5" thickBot="1">
      <c r="A1285" s="227"/>
      <c r="B1285" s="319"/>
      <c r="C1285" s="319"/>
      <c r="D1285" s="320"/>
      <c r="E1285" s="320"/>
      <c r="F1285" s="190"/>
      <c r="G12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5" s="190"/>
      <c r="I12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5" s="190"/>
      <c r="K12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5" s="190"/>
      <c r="M12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5" s="190"/>
      <c r="O12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5" s="190"/>
      <c r="Q12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5" s="192">
        <f ca="1">Table66[[#This Row],[Year 1 (Specified in RFO) - N/A]]+Table66[[#This Row],[Year 2 (Specified in RFO) - N/A]]+Table66[[#This Row],[Year 3 (Specified in RFO) - N/A]]+Table66[[#This Row],[Year 4 (Specified in RFO) - N/A]]+Table66[[#This Row],[Year 5 (Specified in RFO) - N/A]]+Table66[[#This Row],[Year 6 (Specified in RFO) - N/A]]</f>
        <v>0</v>
      </c>
      <c r="S1285" s="402">
        <f ca="1">Table66[[#This Row],[Year 1  (Proposed)]]+Table66[[#This Row],[Year 2 (Proposed)]]+Table66[[#This Row],[Year 3 (Proposed)]]+Table66[[#This Row],[Year 4 (Proposed)]]+Table66[[#This Row],[Year 5 (Proposed)]]+Table66[[#This Row],[Year 6 (Proposed)]]</f>
        <v>0</v>
      </c>
      <c r="T1285" s="403" t="b">
        <f ca="1">Table66[[#This Row],[Total Specifed in RFO - N/A]]=Table66[[#This Row],[Total Proposed]]</f>
        <v>1</v>
      </c>
      <c r="U1285" s="439"/>
      <c r="V1285" s="441">
        <f ca="1">Table66[[#This Row],[Year 6 (Specified in RFO) - N/A]]-Table66[[#This Row],[Column1]]</f>
        <v>0</v>
      </c>
    </row>
    <row r="1286" spans="1:22" ht="16.5" thickBot="1">
      <c r="A1286" s="227"/>
      <c r="B1286" s="319"/>
      <c r="C1286" s="319"/>
      <c r="D1286" s="320"/>
      <c r="E1286" s="320"/>
      <c r="F1286" s="190"/>
      <c r="G12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6" s="190"/>
      <c r="I12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6" s="190"/>
      <c r="K12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6" s="190"/>
      <c r="M12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6" s="190"/>
      <c r="O12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6" s="190"/>
      <c r="Q12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6" s="192">
        <f ca="1">Table66[[#This Row],[Year 1 (Specified in RFO) - N/A]]+Table66[[#This Row],[Year 2 (Specified in RFO) - N/A]]+Table66[[#This Row],[Year 3 (Specified in RFO) - N/A]]+Table66[[#This Row],[Year 4 (Specified in RFO) - N/A]]+Table66[[#This Row],[Year 5 (Specified in RFO) - N/A]]+Table66[[#This Row],[Year 6 (Specified in RFO) - N/A]]</f>
        <v>0</v>
      </c>
      <c r="S1286" s="402">
        <f ca="1">Table66[[#This Row],[Year 1  (Proposed)]]+Table66[[#This Row],[Year 2 (Proposed)]]+Table66[[#This Row],[Year 3 (Proposed)]]+Table66[[#This Row],[Year 4 (Proposed)]]+Table66[[#This Row],[Year 5 (Proposed)]]+Table66[[#This Row],[Year 6 (Proposed)]]</f>
        <v>0</v>
      </c>
      <c r="T1286" s="403" t="b">
        <f ca="1">Table66[[#This Row],[Total Specifed in RFO - N/A]]=Table66[[#This Row],[Total Proposed]]</f>
        <v>1</v>
      </c>
      <c r="U1286" s="439"/>
      <c r="V1286" s="441">
        <f ca="1">Table66[[#This Row],[Year 6 (Specified in RFO) - N/A]]-Table66[[#This Row],[Column1]]</f>
        <v>0</v>
      </c>
    </row>
    <row r="1287" spans="1:22" ht="16.5" thickBot="1">
      <c r="A1287" s="227"/>
      <c r="B1287" s="319"/>
      <c r="C1287" s="319"/>
      <c r="D1287" s="320"/>
      <c r="E1287" s="320"/>
      <c r="F1287" s="190"/>
      <c r="G12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7" s="190"/>
      <c r="I12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7" s="190"/>
      <c r="K12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7" s="190"/>
      <c r="M12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7" s="190"/>
      <c r="O12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7" s="190"/>
      <c r="Q12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7" s="192">
        <f ca="1">Table66[[#This Row],[Year 1 (Specified in RFO) - N/A]]+Table66[[#This Row],[Year 2 (Specified in RFO) - N/A]]+Table66[[#This Row],[Year 3 (Specified in RFO) - N/A]]+Table66[[#This Row],[Year 4 (Specified in RFO) - N/A]]+Table66[[#This Row],[Year 5 (Specified in RFO) - N/A]]+Table66[[#This Row],[Year 6 (Specified in RFO) - N/A]]</f>
        <v>0</v>
      </c>
      <c r="S1287" s="402">
        <f ca="1">Table66[[#This Row],[Year 1  (Proposed)]]+Table66[[#This Row],[Year 2 (Proposed)]]+Table66[[#This Row],[Year 3 (Proposed)]]+Table66[[#This Row],[Year 4 (Proposed)]]+Table66[[#This Row],[Year 5 (Proposed)]]+Table66[[#This Row],[Year 6 (Proposed)]]</f>
        <v>0</v>
      </c>
      <c r="T1287" s="403" t="b">
        <f ca="1">Table66[[#This Row],[Total Specifed in RFO - N/A]]=Table66[[#This Row],[Total Proposed]]</f>
        <v>1</v>
      </c>
      <c r="U1287" s="439"/>
      <c r="V1287" s="441">
        <f ca="1">Table66[[#This Row],[Year 6 (Specified in RFO) - N/A]]-Table66[[#This Row],[Column1]]</f>
        <v>0</v>
      </c>
    </row>
    <row r="1288" spans="1:22" ht="16.5" thickBot="1">
      <c r="A1288" s="227"/>
      <c r="B1288" s="319"/>
      <c r="C1288" s="319"/>
      <c r="D1288" s="320"/>
      <c r="E1288" s="320"/>
      <c r="F1288" s="190"/>
      <c r="G12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8" s="190"/>
      <c r="I12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8" s="190"/>
      <c r="K12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8" s="190"/>
      <c r="M12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8" s="190"/>
      <c r="O12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8" s="190"/>
      <c r="Q12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8" s="192">
        <f ca="1">Table66[[#This Row],[Year 1 (Specified in RFO) - N/A]]+Table66[[#This Row],[Year 2 (Specified in RFO) - N/A]]+Table66[[#This Row],[Year 3 (Specified in RFO) - N/A]]+Table66[[#This Row],[Year 4 (Specified in RFO) - N/A]]+Table66[[#This Row],[Year 5 (Specified in RFO) - N/A]]+Table66[[#This Row],[Year 6 (Specified in RFO) - N/A]]</f>
        <v>0</v>
      </c>
      <c r="S1288" s="402">
        <f ca="1">Table66[[#This Row],[Year 1  (Proposed)]]+Table66[[#This Row],[Year 2 (Proposed)]]+Table66[[#This Row],[Year 3 (Proposed)]]+Table66[[#This Row],[Year 4 (Proposed)]]+Table66[[#This Row],[Year 5 (Proposed)]]+Table66[[#This Row],[Year 6 (Proposed)]]</f>
        <v>0</v>
      </c>
      <c r="T1288" s="403" t="b">
        <f ca="1">Table66[[#This Row],[Total Specifed in RFO - N/A]]=Table66[[#This Row],[Total Proposed]]</f>
        <v>1</v>
      </c>
      <c r="U1288" s="439"/>
      <c r="V1288" s="441">
        <f ca="1">Table66[[#This Row],[Year 6 (Specified in RFO) - N/A]]-Table66[[#This Row],[Column1]]</f>
        <v>0</v>
      </c>
    </row>
    <row r="1289" spans="1:22" ht="16.5" thickBot="1">
      <c r="A1289" s="227"/>
      <c r="B1289" s="319"/>
      <c r="C1289" s="319"/>
      <c r="D1289" s="320"/>
      <c r="E1289" s="320"/>
      <c r="F1289" s="190"/>
      <c r="G12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9" s="190"/>
      <c r="I12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9" s="190"/>
      <c r="K12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9" s="190"/>
      <c r="M12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9" s="190"/>
      <c r="O12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9" s="190"/>
      <c r="Q12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9" s="192">
        <f ca="1">Table66[[#This Row],[Year 1 (Specified in RFO) - N/A]]+Table66[[#This Row],[Year 2 (Specified in RFO) - N/A]]+Table66[[#This Row],[Year 3 (Specified in RFO) - N/A]]+Table66[[#This Row],[Year 4 (Specified in RFO) - N/A]]+Table66[[#This Row],[Year 5 (Specified in RFO) - N/A]]+Table66[[#This Row],[Year 6 (Specified in RFO) - N/A]]</f>
        <v>0</v>
      </c>
      <c r="S1289" s="402">
        <f ca="1">Table66[[#This Row],[Year 1  (Proposed)]]+Table66[[#This Row],[Year 2 (Proposed)]]+Table66[[#This Row],[Year 3 (Proposed)]]+Table66[[#This Row],[Year 4 (Proposed)]]+Table66[[#This Row],[Year 5 (Proposed)]]+Table66[[#This Row],[Year 6 (Proposed)]]</f>
        <v>0</v>
      </c>
      <c r="T1289" s="403" t="b">
        <f ca="1">Table66[[#This Row],[Total Specifed in RFO - N/A]]=Table66[[#This Row],[Total Proposed]]</f>
        <v>1</v>
      </c>
      <c r="U1289" s="439"/>
      <c r="V1289" s="441">
        <f ca="1">Table66[[#This Row],[Year 6 (Specified in RFO) - N/A]]-Table66[[#This Row],[Column1]]</f>
        <v>0</v>
      </c>
    </row>
    <row r="1290" spans="1:22" ht="16.5" thickBot="1">
      <c r="A1290" s="227"/>
      <c r="B1290" s="319"/>
      <c r="C1290" s="319"/>
      <c r="D1290" s="320"/>
      <c r="E1290" s="320"/>
      <c r="F1290" s="190"/>
      <c r="G12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0" s="190"/>
      <c r="I12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0" s="190"/>
      <c r="K12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0" s="190"/>
      <c r="M12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0" s="190"/>
      <c r="O12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0" s="190"/>
      <c r="Q12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0" s="192">
        <f ca="1">Table66[[#This Row],[Year 1 (Specified in RFO) - N/A]]+Table66[[#This Row],[Year 2 (Specified in RFO) - N/A]]+Table66[[#This Row],[Year 3 (Specified in RFO) - N/A]]+Table66[[#This Row],[Year 4 (Specified in RFO) - N/A]]+Table66[[#This Row],[Year 5 (Specified in RFO) - N/A]]+Table66[[#This Row],[Year 6 (Specified in RFO) - N/A]]</f>
        <v>0</v>
      </c>
      <c r="S1290" s="402">
        <f ca="1">Table66[[#This Row],[Year 1  (Proposed)]]+Table66[[#This Row],[Year 2 (Proposed)]]+Table66[[#This Row],[Year 3 (Proposed)]]+Table66[[#This Row],[Year 4 (Proposed)]]+Table66[[#This Row],[Year 5 (Proposed)]]+Table66[[#This Row],[Year 6 (Proposed)]]</f>
        <v>0</v>
      </c>
      <c r="T1290" s="403" t="b">
        <f ca="1">Table66[[#This Row],[Total Specifed in RFO - N/A]]=Table66[[#This Row],[Total Proposed]]</f>
        <v>1</v>
      </c>
      <c r="U1290" s="439"/>
      <c r="V1290" s="441">
        <f ca="1">Table66[[#This Row],[Year 6 (Specified in RFO) - N/A]]-Table66[[#This Row],[Column1]]</f>
        <v>0</v>
      </c>
    </row>
    <row r="1291" spans="1:22" ht="16.5" thickBot="1">
      <c r="A1291" s="227"/>
      <c r="B1291" s="319"/>
      <c r="C1291" s="319"/>
      <c r="D1291" s="320"/>
      <c r="E1291" s="320"/>
      <c r="F1291" s="190"/>
      <c r="G12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1" s="190"/>
      <c r="I12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1" s="190"/>
      <c r="K12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1" s="190"/>
      <c r="M12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1" s="190"/>
      <c r="O12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1" s="190"/>
      <c r="Q12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1" s="192">
        <f ca="1">Table66[[#This Row],[Year 1 (Specified in RFO) - N/A]]+Table66[[#This Row],[Year 2 (Specified in RFO) - N/A]]+Table66[[#This Row],[Year 3 (Specified in RFO) - N/A]]+Table66[[#This Row],[Year 4 (Specified in RFO) - N/A]]+Table66[[#This Row],[Year 5 (Specified in RFO) - N/A]]+Table66[[#This Row],[Year 6 (Specified in RFO) - N/A]]</f>
        <v>0</v>
      </c>
      <c r="S1291" s="402">
        <f ca="1">Table66[[#This Row],[Year 1  (Proposed)]]+Table66[[#This Row],[Year 2 (Proposed)]]+Table66[[#This Row],[Year 3 (Proposed)]]+Table66[[#This Row],[Year 4 (Proposed)]]+Table66[[#This Row],[Year 5 (Proposed)]]+Table66[[#This Row],[Year 6 (Proposed)]]</f>
        <v>0</v>
      </c>
      <c r="T1291" s="403" t="b">
        <f ca="1">Table66[[#This Row],[Total Specifed in RFO - N/A]]=Table66[[#This Row],[Total Proposed]]</f>
        <v>1</v>
      </c>
      <c r="U1291" s="439"/>
      <c r="V1291" s="441">
        <f ca="1">Table66[[#This Row],[Year 6 (Specified in RFO) - N/A]]-Table66[[#This Row],[Column1]]</f>
        <v>0</v>
      </c>
    </row>
    <row r="1292" spans="1:22" ht="16.5" thickBot="1">
      <c r="A1292" s="227"/>
      <c r="B1292" s="319"/>
      <c r="C1292" s="319"/>
      <c r="D1292" s="320"/>
      <c r="E1292" s="320"/>
      <c r="F1292" s="190"/>
      <c r="G12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2" s="190"/>
      <c r="I12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2" s="190"/>
      <c r="K12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2" s="190"/>
      <c r="M12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2" s="190"/>
      <c r="O12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2" s="190"/>
      <c r="Q12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2" s="192">
        <f ca="1">Table66[[#This Row],[Year 1 (Specified in RFO) - N/A]]+Table66[[#This Row],[Year 2 (Specified in RFO) - N/A]]+Table66[[#This Row],[Year 3 (Specified in RFO) - N/A]]+Table66[[#This Row],[Year 4 (Specified in RFO) - N/A]]+Table66[[#This Row],[Year 5 (Specified in RFO) - N/A]]+Table66[[#This Row],[Year 6 (Specified in RFO) - N/A]]</f>
        <v>0</v>
      </c>
      <c r="S1292" s="402">
        <f ca="1">Table66[[#This Row],[Year 1  (Proposed)]]+Table66[[#This Row],[Year 2 (Proposed)]]+Table66[[#This Row],[Year 3 (Proposed)]]+Table66[[#This Row],[Year 4 (Proposed)]]+Table66[[#This Row],[Year 5 (Proposed)]]+Table66[[#This Row],[Year 6 (Proposed)]]</f>
        <v>0</v>
      </c>
      <c r="T1292" s="403" t="b">
        <f ca="1">Table66[[#This Row],[Total Specifed in RFO - N/A]]=Table66[[#This Row],[Total Proposed]]</f>
        <v>1</v>
      </c>
      <c r="U1292" s="439"/>
      <c r="V1292" s="441">
        <f ca="1">Table66[[#This Row],[Year 6 (Specified in RFO) - N/A]]-Table66[[#This Row],[Column1]]</f>
        <v>0</v>
      </c>
    </row>
    <row r="1293" spans="1:22" ht="16.5" thickBot="1">
      <c r="A1293" s="227"/>
      <c r="B1293" s="319"/>
      <c r="C1293" s="319"/>
      <c r="D1293" s="320"/>
      <c r="E1293" s="320"/>
      <c r="F1293" s="190"/>
      <c r="G12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3" s="190"/>
      <c r="I12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3" s="190"/>
      <c r="K12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3" s="190"/>
      <c r="M12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3" s="190"/>
      <c r="O12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3" s="190"/>
      <c r="Q12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3" s="192">
        <f ca="1">Table66[[#This Row],[Year 1 (Specified in RFO) - N/A]]+Table66[[#This Row],[Year 2 (Specified in RFO) - N/A]]+Table66[[#This Row],[Year 3 (Specified in RFO) - N/A]]+Table66[[#This Row],[Year 4 (Specified in RFO) - N/A]]+Table66[[#This Row],[Year 5 (Specified in RFO) - N/A]]+Table66[[#This Row],[Year 6 (Specified in RFO) - N/A]]</f>
        <v>0</v>
      </c>
      <c r="S1293" s="402">
        <f ca="1">Table66[[#This Row],[Year 1  (Proposed)]]+Table66[[#This Row],[Year 2 (Proposed)]]+Table66[[#This Row],[Year 3 (Proposed)]]+Table66[[#This Row],[Year 4 (Proposed)]]+Table66[[#This Row],[Year 5 (Proposed)]]+Table66[[#This Row],[Year 6 (Proposed)]]</f>
        <v>0</v>
      </c>
      <c r="T1293" s="403" t="b">
        <f ca="1">Table66[[#This Row],[Total Specifed in RFO - N/A]]=Table66[[#This Row],[Total Proposed]]</f>
        <v>1</v>
      </c>
      <c r="U1293" s="439"/>
      <c r="V1293" s="441">
        <f ca="1">Table66[[#This Row],[Year 6 (Specified in RFO) - N/A]]-Table66[[#This Row],[Column1]]</f>
        <v>0</v>
      </c>
    </row>
    <row r="1294" spans="1:22" ht="16.5" thickBot="1">
      <c r="A1294" s="227"/>
      <c r="B1294" s="319"/>
      <c r="C1294" s="319"/>
      <c r="D1294" s="320"/>
      <c r="E1294" s="320"/>
      <c r="F1294" s="190"/>
      <c r="G12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4" s="190"/>
      <c r="I12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4" s="190"/>
      <c r="K12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4" s="190"/>
      <c r="M12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4" s="190"/>
      <c r="O12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4" s="190"/>
      <c r="Q12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4" s="192">
        <f ca="1">Table66[[#This Row],[Year 1 (Specified in RFO) - N/A]]+Table66[[#This Row],[Year 2 (Specified in RFO) - N/A]]+Table66[[#This Row],[Year 3 (Specified in RFO) - N/A]]+Table66[[#This Row],[Year 4 (Specified in RFO) - N/A]]+Table66[[#This Row],[Year 5 (Specified in RFO) - N/A]]+Table66[[#This Row],[Year 6 (Specified in RFO) - N/A]]</f>
        <v>0</v>
      </c>
      <c r="S1294" s="402">
        <f ca="1">Table66[[#This Row],[Year 1  (Proposed)]]+Table66[[#This Row],[Year 2 (Proposed)]]+Table66[[#This Row],[Year 3 (Proposed)]]+Table66[[#This Row],[Year 4 (Proposed)]]+Table66[[#This Row],[Year 5 (Proposed)]]+Table66[[#This Row],[Year 6 (Proposed)]]</f>
        <v>0</v>
      </c>
      <c r="T1294" s="403" t="b">
        <f ca="1">Table66[[#This Row],[Total Specifed in RFO - N/A]]=Table66[[#This Row],[Total Proposed]]</f>
        <v>1</v>
      </c>
      <c r="U1294" s="439"/>
      <c r="V1294" s="441">
        <f ca="1">Table66[[#This Row],[Year 6 (Specified in RFO) - N/A]]-Table66[[#This Row],[Column1]]</f>
        <v>0</v>
      </c>
    </row>
    <row r="1295" spans="1:22" ht="16.5" thickBot="1">
      <c r="A1295" s="227"/>
      <c r="B1295" s="319"/>
      <c r="C1295" s="319"/>
      <c r="D1295" s="320"/>
      <c r="E1295" s="320"/>
      <c r="F1295" s="190"/>
      <c r="G12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5" s="190"/>
      <c r="I12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5" s="190"/>
      <c r="K12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5" s="190"/>
      <c r="M12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5" s="190"/>
      <c r="O12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5" s="190"/>
      <c r="Q12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5" s="192">
        <f ca="1">Table66[[#This Row],[Year 1 (Specified in RFO) - N/A]]+Table66[[#This Row],[Year 2 (Specified in RFO) - N/A]]+Table66[[#This Row],[Year 3 (Specified in RFO) - N/A]]+Table66[[#This Row],[Year 4 (Specified in RFO) - N/A]]+Table66[[#This Row],[Year 5 (Specified in RFO) - N/A]]+Table66[[#This Row],[Year 6 (Specified in RFO) - N/A]]</f>
        <v>0</v>
      </c>
      <c r="S1295" s="402">
        <f ca="1">Table66[[#This Row],[Year 1  (Proposed)]]+Table66[[#This Row],[Year 2 (Proposed)]]+Table66[[#This Row],[Year 3 (Proposed)]]+Table66[[#This Row],[Year 4 (Proposed)]]+Table66[[#This Row],[Year 5 (Proposed)]]+Table66[[#This Row],[Year 6 (Proposed)]]</f>
        <v>0</v>
      </c>
      <c r="T1295" s="403" t="b">
        <f ca="1">Table66[[#This Row],[Total Specifed in RFO - N/A]]=Table66[[#This Row],[Total Proposed]]</f>
        <v>1</v>
      </c>
      <c r="U1295" s="439"/>
      <c r="V1295" s="441">
        <f ca="1">Table66[[#This Row],[Year 6 (Specified in RFO) - N/A]]-Table66[[#This Row],[Column1]]</f>
        <v>0</v>
      </c>
    </row>
    <row r="1296" spans="1:22" ht="16.5" thickBot="1">
      <c r="A1296" s="227"/>
      <c r="B1296" s="319"/>
      <c r="C1296" s="319"/>
      <c r="D1296" s="320"/>
      <c r="E1296" s="320"/>
      <c r="F1296" s="190"/>
      <c r="G12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6" s="190"/>
      <c r="I12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6" s="190"/>
      <c r="K12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6" s="190"/>
      <c r="M12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6" s="190"/>
      <c r="O12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6" s="190"/>
      <c r="Q12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6" s="192">
        <f ca="1">Table66[[#This Row],[Year 1 (Specified in RFO) - N/A]]+Table66[[#This Row],[Year 2 (Specified in RFO) - N/A]]+Table66[[#This Row],[Year 3 (Specified in RFO) - N/A]]+Table66[[#This Row],[Year 4 (Specified in RFO) - N/A]]+Table66[[#This Row],[Year 5 (Specified in RFO) - N/A]]+Table66[[#This Row],[Year 6 (Specified in RFO) - N/A]]</f>
        <v>0</v>
      </c>
      <c r="S1296" s="402">
        <f ca="1">Table66[[#This Row],[Year 1  (Proposed)]]+Table66[[#This Row],[Year 2 (Proposed)]]+Table66[[#This Row],[Year 3 (Proposed)]]+Table66[[#This Row],[Year 4 (Proposed)]]+Table66[[#This Row],[Year 5 (Proposed)]]+Table66[[#This Row],[Year 6 (Proposed)]]</f>
        <v>0</v>
      </c>
      <c r="T1296" s="403" t="b">
        <f ca="1">Table66[[#This Row],[Total Specifed in RFO - N/A]]=Table66[[#This Row],[Total Proposed]]</f>
        <v>1</v>
      </c>
      <c r="U1296" s="439"/>
      <c r="V1296" s="441">
        <f ca="1">Table66[[#This Row],[Year 6 (Specified in RFO) - N/A]]-Table66[[#This Row],[Column1]]</f>
        <v>0</v>
      </c>
    </row>
    <row r="1297" spans="1:22" ht="16.5" thickBot="1">
      <c r="A1297" s="227"/>
      <c r="B1297" s="319"/>
      <c r="C1297" s="319"/>
      <c r="D1297" s="320"/>
      <c r="E1297" s="320"/>
      <c r="F1297" s="190"/>
      <c r="G12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7" s="190"/>
      <c r="I12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7" s="190"/>
      <c r="K12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7" s="190"/>
      <c r="M12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7" s="190"/>
      <c r="O12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7" s="190"/>
      <c r="Q12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7" s="192">
        <f ca="1">Table66[[#This Row],[Year 1 (Specified in RFO) - N/A]]+Table66[[#This Row],[Year 2 (Specified in RFO) - N/A]]+Table66[[#This Row],[Year 3 (Specified in RFO) - N/A]]+Table66[[#This Row],[Year 4 (Specified in RFO) - N/A]]+Table66[[#This Row],[Year 5 (Specified in RFO) - N/A]]+Table66[[#This Row],[Year 6 (Specified in RFO) - N/A]]</f>
        <v>0</v>
      </c>
      <c r="S1297" s="402">
        <f ca="1">Table66[[#This Row],[Year 1  (Proposed)]]+Table66[[#This Row],[Year 2 (Proposed)]]+Table66[[#This Row],[Year 3 (Proposed)]]+Table66[[#This Row],[Year 4 (Proposed)]]+Table66[[#This Row],[Year 5 (Proposed)]]+Table66[[#This Row],[Year 6 (Proposed)]]</f>
        <v>0</v>
      </c>
      <c r="T1297" s="403" t="b">
        <f ca="1">Table66[[#This Row],[Total Specifed in RFO - N/A]]=Table66[[#This Row],[Total Proposed]]</f>
        <v>1</v>
      </c>
      <c r="U1297" s="439"/>
      <c r="V1297" s="441">
        <f ca="1">Table66[[#This Row],[Year 6 (Specified in RFO) - N/A]]-Table66[[#This Row],[Column1]]</f>
        <v>0</v>
      </c>
    </row>
    <row r="1298" spans="1:22" ht="16.5" thickBot="1">
      <c r="A1298" s="227"/>
      <c r="B1298" s="319"/>
      <c r="C1298" s="319"/>
      <c r="D1298" s="320"/>
      <c r="E1298" s="320"/>
      <c r="F1298" s="190"/>
      <c r="G12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8" s="190"/>
      <c r="I12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8" s="190"/>
      <c r="K12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8" s="190"/>
      <c r="M12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8" s="190"/>
      <c r="O12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8" s="190"/>
      <c r="Q12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8" s="192">
        <f ca="1">Table66[[#This Row],[Year 1 (Specified in RFO) - N/A]]+Table66[[#This Row],[Year 2 (Specified in RFO) - N/A]]+Table66[[#This Row],[Year 3 (Specified in RFO) - N/A]]+Table66[[#This Row],[Year 4 (Specified in RFO) - N/A]]+Table66[[#This Row],[Year 5 (Specified in RFO) - N/A]]+Table66[[#This Row],[Year 6 (Specified in RFO) - N/A]]</f>
        <v>0</v>
      </c>
      <c r="S1298" s="402">
        <f ca="1">Table66[[#This Row],[Year 1  (Proposed)]]+Table66[[#This Row],[Year 2 (Proposed)]]+Table66[[#This Row],[Year 3 (Proposed)]]+Table66[[#This Row],[Year 4 (Proposed)]]+Table66[[#This Row],[Year 5 (Proposed)]]+Table66[[#This Row],[Year 6 (Proposed)]]</f>
        <v>0</v>
      </c>
      <c r="T1298" s="403" t="b">
        <f ca="1">Table66[[#This Row],[Total Specifed in RFO - N/A]]=Table66[[#This Row],[Total Proposed]]</f>
        <v>1</v>
      </c>
      <c r="U1298" s="439"/>
      <c r="V1298" s="441">
        <f ca="1">Table66[[#This Row],[Year 6 (Specified in RFO) - N/A]]-Table66[[#This Row],[Column1]]</f>
        <v>0</v>
      </c>
    </row>
    <row r="1299" spans="1:22" ht="16.5" thickBot="1">
      <c r="A1299" s="227"/>
      <c r="B1299" s="319"/>
      <c r="C1299" s="319"/>
      <c r="D1299" s="320"/>
      <c r="E1299" s="320"/>
      <c r="F1299" s="190"/>
      <c r="G12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9" s="190"/>
      <c r="I12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9" s="190"/>
      <c r="K12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9" s="190"/>
      <c r="M12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9" s="190"/>
      <c r="O12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9" s="190"/>
      <c r="Q12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9" s="192">
        <f ca="1">Table66[[#This Row],[Year 1 (Specified in RFO) - N/A]]+Table66[[#This Row],[Year 2 (Specified in RFO) - N/A]]+Table66[[#This Row],[Year 3 (Specified in RFO) - N/A]]+Table66[[#This Row],[Year 4 (Specified in RFO) - N/A]]+Table66[[#This Row],[Year 5 (Specified in RFO) - N/A]]+Table66[[#This Row],[Year 6 (Specified in RFO) - N/A]]</f>
        <v>0</v>
      </c>
      <c r="S1299" s="402">
        <f ca="1">Table66[[#This Row],[Year 1  (Proposed)]]+Table66[[#This Row],[Year 2 (Proposed)]]+Table66[[#This Row],[Year 3 (Proposed)]]+Table66[[#This Row],[Year 4 (Proposed)]]+Table66[[#This Row],[Year 5 (Proposed)]]+Table66[[#This Row],[Year 6 (Proposed)]]</f>
        <v>0</v>
      </c>
      <c r="T1299" s="403" t="b">
        <f ca="1">Table66[[#This Row],[Total Specifed in RFO - N/A]]=Table66[[#This Row],[Total Proposed]]</f>
        <v>1</v>
      </c>
      <c r="U1299" s="439"/>
      <c r="V1299" s="441">
        <f ca="1">Table66[[#This Row],[Year 6 (Specified in RFO) - N/A]]-Table66[[#This Row],[Column1]]</f>
        <v>0</v>
      </c>
    </row>
    <row r="1300" spans="1:22" ht="16.5" thickBot="1">
      <c r="A1300" s="227"/>
      <c r="B1300" s="319"/>
      <c r="C1300" s="319"/>
      <c r="D1300" s="320"/>
      <c r="E1300" s="320"/>
      <c r="F1300" s="190"/>
      <c r="G13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0" s="190"/>
      <c r="I13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0" s="190"/>
      <c r="K13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0" s="190"/>
      <c r="M13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0" s="190"/>
      <c r="O13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0" s="190"/>
      <c r="Q13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0" s="192">
        <f ca="1">Table66[[#This Row],[Year 1 (Specified in RFO) - N/A]]+Table66[[#This Row],[Year 2 (Specified in RFO) - N/A]]+Table66[[#This Row],[Year 3 (Specified in RFO) - N/A]]+Table66[[#This Row],[Year 4 (Specified in RFO) - N/A]]+Table66[[#This Row],[Year 5 (Specified in RFO) - N/A]]+Table66[[#This Row],[Year 6 (Specified in RFO) - N/A]]</f>
        <v>0</v>
      </c>
      <c r="S1300" s="402">
        <f ca="1">Table66[[#This Row],[Year 1  (Proposed)]]+Table66[[#This Row],[Year 2 (Proposed)]]+Table66[[#This Row],[Year 3 (Proposed)]]+Table66[[#This Row],[Year 4 (Proposed)]]+Table66[[#This Row],[Year 5 (Proposed)]]+Table66[[#This Row],[Year 6 (Proposed)]]</f>
        <v>0</v>
      </c>
      <c r="T1300" s="403" t="b">
        <f ca="1">Table66[[#This Row],[Total Specifed in RFO - N/A]]=Table66[[#This Row],[Total Proposed]]</f>
        <v>1</v>
      </c>
      <c r="U1300" s="439"/>
      <c r="V1300" s="441">
        <f ca="1">Table66[[#This Row],[Year 6 (Specified in RFO) - N/A]]-Table66[[#This Row],[Column1]]</f>
        <v>0</v>
      </c>
    </row>
    <row r="1301" spans="1:22" ht="16.5" thickBot="1">
      <c r="A1301" s="227"/>
      <c r="B1301" s="319"/>
      <c r="C1301" s="319"/>
      <c r="D1301" s="320"/>
      <c r="E1301" s="320"/>
      <c r="F1301" s="190"/>
      <c r="G13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1" s="190"/>
      <c r="I13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1" s="190"/>
      <c r="K13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1" s="190"/>
      <c r="M13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1" s="190"/>
      <c r="O13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1" s="190"/>
      <c r="Q13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1" s="192">
        <f ca="1">Table66[[#This Row],[Year 1 (Specified in RFO) - N/A]]+Table66[[#This Row],[Year 2 (Specified in RFO) - N/A]]+Table66[[#This Row],[Year 3 (Specified in RFO) - N/A]]+Table66[[#This Row],[Year 4 (Specified in RFO) - N/A]]+Table66[[#This Row],[Year 5 (Specified in RFO) - N/A]]+Table66[[#This Row],[Year 6 (Specified in RFO) - N/A]]</f>
        <v>0</v>
      </c>
      <c r="S1301" s="402">
        <f ca="1">Table66[[#This Row],[Year 1  (Proposed)]]+Table66[[#This Row],[Year 2 (Proposed)]]+Table66[[#This Row],[Year 3 (Proposed)]]+Table66[[#This Row],[Year 4 (Proposed)]]+Table66[[#This Row],[Year 5 (Proposed)]]+Table66[[#This Row],[Year 6 (Proposed)]]</f>
        <v>0</v>
      </c>
      <c r="T1301" s="403" t="b">
        <f ca="1">Table66[[#This Row],[Total Specifed in RFO - N/A]]=Table66[[#This Row],[Total Proposed]]</f>
        <v>1</v>
      </c>
      <c r="U1301" s="439"/>
      <c r="V1301" s="441">
        <f ca="1">Table66[[#This Row],[Year 6 (Specified in RFO) - N/A]]-Table66[[#This Row],[Column1]]</f>
        <v>0</v>
      </c>
    </row>
    <row r="1302" spans="1:22" ht="16.5" thickBot="1">
      <c r="A1302" s="227"/>
      <c r="B1302" s="319"/>
      <c r="C1302" s="319"/>
      <c r="D1302" s="320"/>
      <c r="E1302" s="320"/>
      <c r="F1302" s="190"/>
      <c r="G13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2" s="190"/>
      <c r="I13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2" s="190"/>
      <c r="K13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2" s="190"/>
      <c r="M13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2" s="190"/>
      <c r="O13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2" s="190"/>
      <c r="Q13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2" s="192">
        <f ca="1">Table66[[#This Row],[Year 1 (Specified in RFO) - N/A]]+Table66[[#This Row],[Year 2 (Specified in RFO) - N/A]]+Table66[[#This Row],[Year 3 (Specified in RFO) - N/A]]+Table66[[#This Row],[Year 4 (Specified in RFO) - N/A]]+Table66[[#This Row],[Year 5 (Specified in RFO) - N/A]]+Table66[[#This Row],[Year 6 (Specified in RFO) - N/A]]</f>
        <v>0</v>
      </c>
      <c r="S1302" s="402">
        <f ca="1">Table66[[#This Row],[Year 1  (Proposed)]]+Table66[[#This Row],[Year 2 (Proposed)]]+Table66[[#This Row],[Year 3 (Proposed)]]+Table66[[#This Row],[Year 4 (Proposed)]]+Table66[[#This Row],[Year 5 (Proposed)]]+Table66[[#This Row],[Year 6 (Proposed)]]</f>
        <v>0</v>
      </c>
      <c r="T1302" s="403" t="b">
        <f ca="1">Table66[[#This Row],[Total Specifed in RFO - N/A]]=Table66[[#This Row],[Total Proposed]]</f>
        <v>1</v>
      </c>
      <c r="U1302" s="439"/>
      <c r="V1302" s="441">
        <f ca="1">Table66[[#This Row],[Year 6 (Specified in RFO) - N/A]]-Table66[[#This Row],[Column1]]</f>
        <v>0</v>
      </c>
    </row>
    <row r="1303" spans="1:22" ht="16.5" thickBot="1">
      <c r="A1303" s="227"/>
      <c r="B1303" s="319"/>
      <c r="C1303" s="319"/>
      <c r="D1303" s="320"/>
      <c r="E1303" s="320"/>
      <c r="F1303" s="190"/>
      <c r="G13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3" s="190"/>
      <c r="I13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3" s="190"/>
      <c r="K13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3" s="190"/>
      <c r="M13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3" s="190"/>
      <c r="O13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3" s="190"/>
      <c r="Q13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3" s="192">
        <f ca="1">Table66[[#This Row],[Year 1 (Specified in RFO) - N/A]]+Table66[[#This Row],[Year 2 (Specified in RFO) - N/A]]+Table66[[#This Row],[Year 3 (Specified in RFO) - N/A]]+Table66[[#This Row],[Year 4 (Specified in RFO) - N/A]]+Table66[[#This Row],[Year 5 (Specified in RFO) - N/A]]+Table66[[#This Row],[Year 6 (Specified in RFO) - N/A]]</f>
        <v>0</v>
      </c>
      <c r="S1303" s="402">
        <f ca="1">Table66[[#This Row],[Year 1  (Proposed)]]+Table66[[#This Row],[Year 2 (Proposed)]]+Table66[[#This Row],[Year 3 (Proposed)]]+Table66[[#This Row],[Year 4 (Proposed)]]+Table66[[#This Row],[Year 5 (Proposed)]]+Table66[[#This Row],[Year 6 (Proposed)]]</f>
        <v>0</v>
      </c>
      <c r="T1303" s="403" t="b">
        <f ca="1">Table66[[#This Row],[Total Specifed in RFO - N/A]]=Table66[[#This Row],[Total Proposed]]</f>
        <v>1</v>
      </c>
      <c r="U1303" s="439"/>
      <c r="V1303" s="441">
        <f ca="1">Table66[[#This Row],[Year 6 (Specified in RFO) - N/A]]-Table66[[#This Row],[Column1]]</f>
        <v>0</v>
      </c>
    </row>
    <row r="1304" spans="1:22" ht="16.5" thickBot="1">
      <c r="A1304" s="227"/>
      <c r="B1304" s="319"/>
      <c r="C1304" s="319"/>
      <c r="D1304" s="320"/>
      <c r="E1304" s="320"/>
      <c r="F1304" s="190"/>
      <c r="G13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4" s="190"/>
      <c r="I13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4" s="190"/>
      <c r="K13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4" s="190"/>
      <c r="M13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4" s="190"/>
      <c r="O13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4" s="190"/>
      <c r="Q13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4" s="192">
        <f ca="1">Table66[[#This Row],[Year 1 (Specified in RFO) - N/A]]+Table66[[#This Row],[Year 2 (Specified in RFO) - N/A]]+Table66[[#This Row],[Year 3 (Specified in RFO) - N/A]]+Table66[[#This Row],[Year 4 (Specified in RFO) - N/A]]+Table66[[#This Row],[Year 5 (Specified in RFO) - N/A]]+Table66[[#This Row],[Year 6 (Specified in RFO) - N/A]]</f>
        <v>0</v>
      </c>
      <c r="S1304" s="402">
        <f ca="1">Table66[[#This Row],[Year 1  (Proposed)]]+Table66[[#This Row],[Year 2 (Proposed)]]+Table66[[#This Row],[Year 3 (Proposed)]]+Table66[[#This Row],[Year 4 (Proposed)]]+Table66[[#This Row],[Year 5 (Proposed)]]+Table66[[#This Row],[Year 6 (Proposed)]]</f>
        <v>0</v>
      </c>
      <c r="T1304" s="403" t="b">
        <f ca="1">Table66[[#This Row],[Total Specifed in RFO - N/A]]=Table66[[#This Row],[Total Proposed]]</f>
        <v>1</v>
      </c>
      <c r="U1304" s="439"/>
      <c r="V1304" s="441">
        <f ca="1">Table66[[#This Row],[Year 6 (Specified in RFO) - N/A]]-Table66[[#This Row],[Column1]]</f>
        <v>0</v>
      </c>
    </row>
    <row r="1305" spans="1:22" ht="16.5" thickBot="1">
      <c r="A1305" s="227"/>
      <c r="B1305" s="319"/>
      <c r="C1305" s="319"/>
      <c r="D1305" s="320"/>
      <c r="E1305" s="320"/>
      <c r="F1305" s="190"/>
      <c r="G13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5" s="190"/>
      <c r="I13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5" s="190"/>
      <c r="K13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5" s="190"/>
      <c r="M13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5" s="190"/>
      <c r="O13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5" s="190"/>
      <c r="Q13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5" s="192">
        <f ca="1">Table66[[#This Row],[Year 1 (Specified in RFO) - N/A]]+Table66[[#This Row],[Year 2 (Specified in RFO) - N/A]]+Table66[[#This Row],[Year 3 (Specified in RFO) - N/A]]+Table66[[#This Row],[Year 4 (Specified in RFO) - N/A]]+Table66[[#This Row],[Year 5 (Specified in RFO) - N/A]]+Table66[[#This Row],[Year 6 (Specified in RFO) - N/A]]</f>
        <v>0</v>
      </c>
      <c r="S1305" s="402">
        <f ca="1">Table66[[#This Row],[Year 1  (Proposed)]]+Table66[[#This Row],[Year 2 (Proposed)]]+Table66[[#This Row],[Year 3 (Proposed)]]+Table66[[#This Row],[Year 4 (Proposed)]]+Table66[[#This Row],[Year 5 (Proposed)]]+Table66[[#This Row],[Year 6 (Proposed)]]</f>
        <v>0</v>
      </c>
      <c r="T1305" s="403" t="b">
        <f ca="1">Table66[[#This Row],[Total Specifed in RFO - N/A]]=Table66[[#This Row],[Total Proposed]]</f>
        <v>1</v>
      </c>
      <c r="U1305" s="439"/>
      <c r="V1305" s="441">
        <f ca="1">Table66[[#This Row],[Year 6 (Specified in RFO) - N/A]]-Table66[[#This Row],[Column1]]</f>
        <v>0</v>
      </c>
    </row>
    <row r="1306" spans="1:22" ht="16.5" thickBot="1">
      <c r="A1306" s="227"/>
      <c r="B1306" s="319"/>
      <c r="C1306" s="319"/>
      <c r="D1306" s="320"/>
      <c r="E1306" s="320"/>
      <c r="F1306" s="190"/>
      <c r="G13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6" s="190"/>
      <c r="I13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6" s="190"/>
      <c r="K13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6" s="190"/>
      <c r="M13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6" s="190"/>
      <c r="O13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6" s="190"/>
      <c r="Q13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6" s="192">
        <f ca="1">Table66[[#This Row],[Year 1 (Specified in RFO) - N/A]]+Table66[[#This Row],[Year 2 (Specified in RFO) - N/A]]+Table66[[#This Row],[Year 3 (Specified in RFO) - N/A]]+Table66[[#This Row],[Year 4 (Specified in RFO) - N/A]]+Table66[[#This Row],[Year 5 (Specified in RFO) - N/A]]+Table66[[#This Row],[Year 6 (Specified in RFO) - N/A]]</f>
        <v>0</v>
      </c>
      <c r="S1306" s="402">
        <f ca="1">Table66[[#This Row],[Year 1  (Proposed)]]+Table66[[#This Row],[Year 2 (Proposed)]]+Table66[[#This Row],[Year 3 (Proposed)]]+Table66[[#This Row],[Year 4 (Proposed)]]+Table66[[#This Row],[Year 5 (Proposed)]]+Table66[[#This Row],[Year 6 (Proposed)]]</f>
        <v>0</v>
      </c>
      <c r="T1306" s="403" t="b">
        <f ca="1">Table66[[#This Row],[Total Specifed in RFO - N/A]]=Table66[[#This Row],[Total Proposed]]</f>
        <v>1</v>
      </c>
      <c r="U1306" s="439"/>
      <c r="V1306" s="441">
        <f ca="1">Table66[[#This Row],[Year 6 (Specified in RFO) - N/A]]-Table66[[#This Row],[Column1]]</f>
        <v>0</v>
      </c>
    </row>
    <row r="1307" spans="1:22" ht="16.5" thickBot="1">
      <c r="A1307" s="227"/>
      <c r="B1307" s="319"/>
      <c r="C1307" s="319"/>
      <c r="D1307" s="320"/>
      <c r="E1307" s="320"/>
      <c r="F1307" s="190"/>
      <c r="G13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7" s="190"/>
      <c r="I13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7" s="190"/>
      <c r="K13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7" s="190"/>
      <c r="M13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7" s="190"/>
      <c r="O13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7" s="190"/>
      <c r="Q13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7" s="192">
        <f ca="1">Table66[[#This Row],[Year 1 (Specified in RFO) - N/A]]+Table66[[#This Row],[Year 2 (Specified in RFO) - N/A]]+Table66[[#This Row],[Year 3 (Specified in RFO) - N/A]]+Table66[[#This Row],[Year 4 (Specified in RFO) - N/A]]+Table66[[#This Row],[Year 5 (Specified in RFO) - N/A]]+Table66[[#This Row],[Year 6 (Specified in RFO) - N/A]]</f>
        <v>0</v>
      </c>
      <c r="S1307" s="402">
        <f ca="1">Table66[[#This Row],[Year 1  (Proposed)]]+Table66[[#This Row],[Year 2 (Proposed)]]+Table66[[#This Row],[Year 3 (Proposed)]]+Table66[[#This Row],[Year 4 (Proposed)]]+Table66[[#This Row],[Year 5 (Proposed)]]+Table66[[#This Row],[Year 6 (Proposed)]]</f>
        <v>0</v>
      </c>
      <c r="T1307" s="403" t="b">
        <f ca="1">Table66[[#This Row],[Total Specifed in RFO - N/A]]=Table66[[#This Row],[Total Proposed]]</f>
        <v>1</v>
      </c>
      <c r="U1307" s="439"/>
      <c r="V1307" s="441">
        <f ca="1">Table66[[#This Row],[Year 6 (Specified in RFO) - N/A]]-Table66[[#This Row],[Column1]]</f>
        <v>0</v>
      </c>
    </row>
    <row r="1308" spans="1:22" ht="16.5" thickBot="1">
      <c r="A1308" s="227"/>
      <c r="B1308" s="319"/>
      <c r="C1308" s="319"/>
      <c r="D1308" s="320"/>
      <c r="E1308" s="320"/>
      <c r="F1308" s="190"/>
      <c r="G13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8" s="190"/>
      <c r="I13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8" s="190"/>
      <c r="K13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8" s="190"/>
      <c r="M13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8" s="190"/>
      <c r="O13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8" s="190"/>
      <c r="Q13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8" s="192">
        <f ca="1">Table66[[#This Row],[Year 1 (Specified in RFO) - N/A]]+Table66[[#This Row],[Year 2 (Specified in RFO) - N/A]]+Table66[[#This Row],[Year 3 (Specified in RFO) - N/A]]+Table66[[#This Row],[Year 4 (Specified in RFO) - N/A]]+Table66[[#This Row],[Year 5 (Specified in RFO) - N/A]]+Table66[[#This Row],[Year 6 (Specified in RFO) - N/A]]</f>
        <v>0</v>
      </c>
      <c r="S1308" s="402">
        <f ca="1">Table66[[#This Row],[Year 1  (Proposed)]]+Table66[[#This Row],[Year 2 (Proposed)]]+Table66[[#This Row],[Year 3 (Proposed)]]+Table66[[#This Row],[Year 4 (Proposed)]]+Table66[[#This Row],[Year 5 (Proposed)]]+Table66[[#This Row],[Year 6 (Proposed)]]</f>
        <v>0</v>
      </c>
      <c r="T1308" s="403" t="b">
        <f ca="1">Table66[[#This Row],[Total Specifed in RFO - N/A]]=Table66[[#This Row],[Total Proposed]]</f>
        <v>1</v>
      </c>
      <c r="U1308" s="439"/>
      <c r="V1308" s="441">
        <f ca="1">Table66[[#This Row],[Year 6 (Specified in RFO) - N/A]]-Table66[[#This Row],[Column1]]</f>
        <v>0</v>
      </c>
    </row>
    <row r="1309" spans="1:22" ht="16.5" thickBot="1">
      <c r="A1309" s="227"/>
      <c r="B1309" s="319"/>
      <c r="C1309" s="319"/>
      <c r="D1309" s="320"/>
      <c r="E1309" s="320"/>
      <c r="F1309" s="190"/>
      <c r="G13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9" s="190"/>
      <c r="I13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9" s="190"/>
      <c r="K13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9" s="190"/>
      <c r="M13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9" s="190"/>
      <c r="O13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9" s="190"/>
      <c r="Q13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9" s="192">
        <f ca="1">Table66[[#This Row],[Year 1 (Specified in RFO) - N/A]]+Table66[[#This Row],[Year 2 (Specified in RFO) - N/A]]+Table66[[#This Row],[Year 3 (Specified in RFO) - N/A]]+Table66[[#This Row],[Year 4 (Specified in RFO) - N/A]]+Table66[[#This Row],[Year 5 (Specified in RFO) - N/A]]+Table66[[#This Row],[Year 6 (Specified in RFO) - N/A]]</f>
        <v>0</v>
      </c>
      <c r="S1309" s="402">
        <f ca="1">Table66[[#This Row],[Year 1  (Proposed)]]+Table66[[#This Row],[Year 2 (Proposed)]]+Table66[[#This Row],[Year 3 (Proposed)]]+Table66[[#This Row],[Year 4 (Proposed)]]+Table66[[#This Row],[Year 5 (Proposed)]]+Table66[[#This Row],[Year 6 (Proposed)]]</f>
        <v>0</v>
      </c>
      <c r="T1309" s="403" t="b">
        <f ca="1">Table66[[#This Row],[Total Specifed in RFO - N/A]]=Table66[[#This Row],[Total Proposed]]</f>
        <v>1</v>
      </c>
      <c r="U1309" s="439"/>
      <c r="V1309" s="441">
        <f ca="1">Table66[[#This Row],[Year 6 (Specified in RFO) - N/A]]-Table66[[#This Row],[Column1]]</f>
        <v>0</v>
      </c>
    </row>
    <row r="1310" spans="1:22" ht="16.5" thickBot="1">
      <c r="A1310" s="227"/>
      <c r="B1310" s="319"/>
      <c r="C1310" s="319"/>
      <c r="D1310" s="320"/>
      <c r="E1310" s="320"/>
      <c r="F1310" s="190"/>
      <c r="G13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0" s="190"/>
      <c r="I13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0" s="190"/>
      <c r="K13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0" s="190"/>
      <c r="M13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0" s="190"/>
      <c r="O13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0" s="190"/>
      <c r="Q13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0" s="192">
        <f ca="1">Table66[[#This Row],[Year 1 (Specified in RFO) - N/A]]+Table66[[#This Row],[Year 2 (Specified in RFO) - N/A]]+Table66[[#This Row],[Year 3 (Specified in RFO) - N/A]]+Table66[[#This Row],[Year 4 (Specified in RFO) - N/A]]+Table66[[#This Row],[Year 5 (Specified in RFO) - N/A]]+Table66[[#This Row],[Year 6 (Specified in RFO) - N/A]]</f>
        <v>0</v>
      </c>
      <c r="S1310" s="402">
        <f ca="1">Table66[[#This Row],[Year 1  (Proposed)]]+Table66[[#This Row],[Year 2 (Proposed)]]+Table66[[#This Row],[Year 3 (Proposed)]]+Table66[[#This Row],[Year 4 (Proposed)]]+Table66[[#This Row],[Year 5 (Proposed)]]+Table66[[#This Row],[Year 6 (Proposed)]]</f>
        <v>0</v>
      </c>
      <c r="T1310" s="403" t="b">
        <f ca="1">Table66[[#This Row],[Total Specifed in RFO - N/A]]=Table66[[#This Row],[Total Proposed]]</f>
        <v>1</v>
      </c>
      <c r="U1310" s="439"/>
      <c r="V1310" s="441">
        <f ca="1">Table66[[#This Row],[Year 6 (Specified in RFO) - N/A]]-Table66[[#This Row],[Column1]]</f>
        <v>0</v>
      </c>
    </row>
    <row r="1311" spans="1:22" ht="16.5" thickBot="1">
      <c r="A1311" s="227"/>
      <c r="B1311" s="319"/>
      <c r="C1311" s="319"/>
      <c r="D1311" s="320"/>
      <c r="E1311" s="320"/>
      <c r="F1311" s="190"/>
      <c r="G13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1" s="190"/>
      <c r="I13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1" s="190"/>
      <c r="K13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1" s="190"/>
      <c r="M13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1" s="190"/>
      <c r="O13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1" s="190"/>
      <c r="Q13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1" s="192">
        <f ca="1">Table66[[#This Row],[Year 1 (Specified in RFO) - N/A]]+Table66[[#This Row],[Year 2 (Specified in RFO) - N/A]]+Table66[[#This Row],[Year 3 (Specified in RFO) - N/A]]+Table66[[#This Row],[Year 4 (Specified in RFO) - N/A]]+Table66[[#This Row],[Year 5 (Specified in RFO) - N/A]]+Table66[[#This Row],[Year 6 (Specified in RFO) - N/A]]</f>
        <v>0</v>
      </c>
      <c r="S1311" s="402">
        <f ca="1">Table66[[#This Row],[Year 1  (Proposed)]]+Table66[[#This Row],[Year 2 (Proposed)]]+Table66[[#This Row],[Year 3 (Proposed)]]+Table66[[#This Row],[Year 4 (Proposed)]]+Table66[[#This Row],[Year 5 (Proposed)]]+Table66[[#This Row],[Year 6 (Proposed)]]</f>
        <v>0</v>
      </c>
      <c r="T1311" s="403" t="b">
        <f ca="1">Table66[[#This Row],[Total Specifed in RFO - N/A]]=Table66[[#This Row],[Total Proposed]]</f>
        <v>1</v>
      </c>
      <c r="U1311" s="439"/>
      <c r="V1311" s="441">
        <f ca="1">Table66[[#This Row],[Year 6 (Specified in RFO) - N/A]]-Table66[[#This Row],[Column1]]</f>
        <v>0</v>
      </c>
    </row>
    <row r="1312" spans="1:22" ht="16.5" thickBot="1">
      <c r="A1312" s="227"/>
      <c r="B1312" s="319"/>
      <c r="C1312" s="319"/>
      <c r="D1312" s="320"/>
      <c r="E1312" s="320"/>
      <c r="F1312" s="190"/>
      <c r="G13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2" s="190"/>
      <c r="I13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2" s="190"/>
      <c r="K13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2" s="190"/>
      <c r="M13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2" s="190"/>
      <c r="O13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2" s="190"/>
      <c r="Q13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2" s="192">
        <f ca="1">Table66[[#This Row],[Year 1 (Specified in RFO) - N/A]]+Table66[[#This Row],[Year 2 (Specified in RFO) - N/A]]+Table66[[#This Row],[Year 3 (Specified in RFO) - N/A]]+Table66[[#This Row],[Year 4 (Specified in RFO) - N/A]]+Table66[[#This Row],[Year 5 (Specified in RFO) - N/A]]+Table66[[#This Row],[Year 6 (Specified in RFO) - N/A]]</f>
        <v>0</v>
      </c>
      <c r="S1312" s="402">
        <f ca="1">Table66[[#This Row],[Year 1  (Proposed)]]+Table66[[#This Row],[Year 2 (Proposed)]]+Table66[[#This Row],[Year 3 (Proposed)]]+Table66[[#This Row],[Year 4 (Proposed)]]+Table66[[#This Row],[Year 5 (Proposed)]]+Table66[[#This Row],[Year 6 (Proposed)]]</f>
        <v>0</v>
      </c>
      <c r="T1312" s="403" t="b">
        <f ca="1">Table66[[#This Row],[Total Specifed in RFO - N/A]]=Table66[[#This Row],[Total Proposed]]</f>
        <v>1</v>
      </c>
      <c r="U1312" s="439"/>
      <c r="V1312" s="441">
        <f ca="1">Table66[[#This Row],[Year 6 (Specified in RFO) - N/A]]-Table66[[#This Row],[Column1]]</f>
        <v>0</v>
      </c>
    </row>
    <row r="1313" spans="1:22" ht="16.5" thickBot="1">
      <c r="A1313" s="227"/>
      <c r="B1313" s="319"/>
      <c r="C1313" s="319"/>
      <c r="D1313" s="320"/>
      <c r="E1313" s="320"/>
      <c r="F1313" s="190"/>
      <c r="G13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3" s="190"/>
      <c r="I13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3" s="190"/>
      <c r="K13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3" s="190"/>
      <c r="M13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3" s="190"/>
      <c r="O13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3" s="190"/>
      <c r="Q13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3" s="192">
        <f ca="1">Table66[[#This Row],[Year 1 (Specified in RFO) - N/A]]+Table66[[#This Row],[Year 2 (Specified in RFO) - N/A]]+Table66[[#This Row],[Year 3 (Specified in RFO) - N/A]]+Table66[[#This Row],[Year 4 (Specified in RFO) - N/A]]+Table66[[#This Row],[Year 5 (Specified in RFO) - N/A]]+Table66[[#This Row],[Year 6 (Specified in RFO) - N/A]]</f>
        <v>0</v>
      </c>
      <c r="S1313" s="402">
        <f ca="1">Table66[[#This Row],[Year 1  (Proposed)]]+Table66[[#This Row],[Year 2 (Proposed)]]+Table66[[#This Row],[Year 3 (Proposed)]]+Table66[[#This Row],[Year 4 (Proposed)]]+Table66[[#This Row],[Year 5 (Proposed)]]+Table66[[#This Row],[Year 6 (Proposed)]]</f>
        <v>0</v>
      </c>
      <c r="T1313" s="403" t="b">
        <f ca="1">Table66[[#This Row],[Total Specifed in RFO - N/A]]=Table66[[#This Row],[Total Proposed]]</f>
        <v>1</v>
      </c>
      <c r="U1313" s="439"/>
      <c r="V1313" s="441">
        <f ca="1">Table66[[#This Row],[Year 6 (Specified in RFO) - N/A]]-Table66[[#This Row],[Column1]]</f>
        <v>0</v>
      </c>
    </row>
    <row r="1314" spans="1:22" ht="16.5" thickBot="1">
      <c r="A1314" s="227"/>
      <c r="B1314" s="319"/>
      <c r="C1314" s="319"/>
      <c r="D1314" s="320"/>
      <c r="E1314" s="320"/>
      <c r="F1314" s="190"/>
      <c r="G13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4" s="190"/>
      <c r="I13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4" s="190"/>
      <c r="K13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4" s="190"/>
      <c r="M13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4" s="190"/>
      <c r="O13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4" s="190"/>
      <c r="Q13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4" s="192">
        <f ca="1">Table66[[#This Row],[Year 1 (Specified in RFO) - N/A]]+Table66[[#This Row],[Year 2 (Specified in RFO) - N/A]]+Table66[[#This Row],[Year 3 (Specified in RFO) - N/A]]+Table66[[#This Row],[Year 4 (Specified in RFO) - N/A]]+Table66[[#This Row],[Year 5 (Specified in RFO) - N/A]]+Table66[[#This Row],[Year 6 (Specified in RFO) - N/A]]</f>
        <v>0</v>
      </c>
      <c r="S1314" s="402">
        <f ca="1">Table66[[#This Row],[Year 1  (Proposed)]]+Table66[[#This Row],[Year 2 (Proposed)]]+Table66[[#This Row],[Year 3 (Proposed)]]+Table66[[#This Row],[Year 4 (Proposed)]]+Table66[[#This Row],[Year 5 (Proposed)]]+Table66[[#This Row],[Year 6 (Proposed)]]</f>
        <v>0</v>
      </c>
      <c r="T1314" s="403" t="b">
        <f ca="1">Table66[[#This Row],[Total Specifed in RFO - N/A]]=Table66[[#This Row],[Total Proposed]]</f>
        <v>1</v>
      </c>
      <c r="U1314" s="439"/>
      <c r="V1314" s="441">
        <f ca="1">Table66[[#This Row],[Year 6 (Specified in RFO) - N/A]]-Table66[[#This Row],[Column1]]</f>
        <v>0</v>
      </c>
    </row>
    <row r="1315" spans="1:22" ht="16.5" thickBot="1">
      <c r="A1315" s="227"/>
      <c r="B1315" s="319"/>
      <c r="C1315" s="319"/>
      <c r="D1315" s="320"/>
      <c r="E1315" s="320"/>
      <c r="F1315" s="190"/>
      <c r="G13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5" s="190"/>
      <c r="I13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5" s="190"/>
      <c r="K13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5" s="190"/>
      <c r="M13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5" s="190"/>
      <c r="O13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5" s="190"/>
      <c r="Q13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5" s="192">
        <f ca="1">Table66[[#This Row],[Year 1 (Specified in RFO) - N/A]]+Table66[[#This Row],[Year 2 (Specified in RFO) - N/A]]+Table66[[#This Row],[Year 3 (Specified in RFO) - N/A]]+Table66[[#This Row],[Year 4 (Specified in RFO) - N/A]]+Table66[[#This Row],[Year 5 (Specified in RFO) - N/A]]+Table66[[#This Row],[Year 6 (Specified in RFO) - N/A]]</f>
        <v>0</v>
      </c>
      <c r="S1315" s="402">
        <f ca="1">Table66[[#This Row],[Year 1  (Proposed)]]+Table66[[#This Row],[Year 2 (Proposed)]]+Table66[[#This Row],[Year 3 (Proposed)]]+Table66[[#This Row],[Year 4 (Proposed)]]+Table66[[#This Row],[Year 5 (Proposed)]]+Table66[[#This Row],[Year 6 (Proposed)]]</f>
        <v>0</v>
      </c>
      <c r="T1315" s="403" t="b">
        <f ca="1">Table66[[#This Row],[Total Specifed in RFO - N/A]]=Table66[[#This Row],[Total Proposed]]</f>
        <v>1</v>
      </c>
      <c r="U1315" s="439"/>
      <c r="V1315" s="441">
        <f ca="1">Table66[[#This Row],[Year 6 (Specified in RFO) - N/A]]-Table66[[#This Row],[Column1]]</f>
        <v>0</v>
      </c>
    </row>
    <row r="1316" spans="1:22" ht="16.5" thickBot="1">
      <c r="A1316" s="227"/>
      <c r="B1316" s="319"/>
      <c r="C1316" s="319"/>
      <c r="D1316" s="320"/>
      <c r="E1316" s="320"/>
      <c r="F1316" s="190"/>
      <c r="G13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6" s="190"/>
      <c r="I13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6" s="190"/>
      <c r="K13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6" s="190"/>
      <c r="M13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6" s="190"/>
      <c r="O13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6" s="190"/>
      <c r="Q13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6" s="192">
        <f ca="1">Table66[[#This Row],[Year 1 (Specified in RFO) - N/A]]+Table66[[#This Row],[Year 2 (Specified in RFO) - N/A]]+Table66[[#This Row],[Year 3 (Specified in RFO) - N/A]]+Table66[[#This Row],[Year 4 (Specified in RFO) - N/A]]+Table66[[#This Row],[Year 5 (Specified in RFO) - N/A]]+Table66[[#This Row],[Year 6 (Specified in RFO) - N/A]]</f>
        <v>0</v>
      </c>
      <c r="S1316" s="402">
        <f ca="1">Table66[[#This Row],[Year 1  (Proposed)]]+Table66[[#This Row],[Year 2 (Proposed)]]+Table66[[#This Row],[Year 3 (Proposed)]]+Table66[[#This Row],[Year 4 (Proposed)]]+Table66[[#This Row],[Year 5 (Proposed)]]+Table66[[#This Row],[Year 6 (Proposed)]]</f>
        <v>0</v>
      </c>
      <c r="T1316" s="403" t="b">
        <f ca="1">Table66[[#This Row],[Total Specifed in RFO - N/A]]=Table66[[#This Row],[Total Proposed]]</f>
        <v>1</v>
      </c>
      <c r="U1316" s="439"/>
      <c r="V1316" s="441">
        <f ca="1">Table66[[#This Row],[Year 6 (Specified in RFO) - N/A]]-Table66[[#This Row],[Column1]]</f>
        <v>0</v>
      </c>
    </row>
    <row r="1317" spans="1:22" ht="16.5" thickBot="1">
      <c r="A1317" s="227"/>
      <c r="B1317" s="319"/>
      <c r="C1317" s="319"/>
      <c r="D1317" s="320"/>
      <c r="E1317" s="320"/>
      <c r="F1317" s="190"/>
      <c r="G13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7" s="190"/>
      <c r="I13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7" s="190"/>
      <c r="K13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7" s="190"/>
      <c r="M13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7" s="190"/>
      <c r="O13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7" s="190"/>
      <c r="Q13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7" s="192">
        <f ca="1">Table66[[#This Row],[Year 1 (Specified in RFO) - N/A]]+Table66[[#This Row],[Year 2 (Specified in RFO) - N/A]]+Table66[[#This Row],[Year 3 (Specified in RFO) - N/A]]+Table66[[#This Row],[Year 4 (Specified in RFO) - N/A]]+Table66[[#This Row],[Year 5 (Specified in RFO) - N/A]]+Table66[[#This Row],[Year 6 (Specified in RFO) - N/A]]</f>
        <v>0</v>
      </c>
      <c r="S1317" s="402">
        <f ca="1">Table66[[#This Row],[Year 1  (Proposed)]]+Table66[[#This Row],[Year 2 (Proposed)]]+Table66[[#This Row],[Year 3 (Proposed)]]+Table66[[#This Row],[Year 4 (Proposed)]]+Table66[[#This Row],[Year 5 (Proposed)]]+Table66[[#This Row],[Year 6 (Proposed)]]</f>
        <v>0</v>
      </c>
      <c r="T1317" s="403" t="b">
        <f ca="1">Table66[[#This Row],[Total Specifed in RFO - N/A]]=Table66[[#This Row],[Total Proposed]]</f>
        <v>1</v>
      </c>
      <c r="U1317" s="439"/>
      <c r="V1317" s="441">
        <f ca="1">Table66[[#This Row],[Year 6 (Specified in RFO) - N/A]]-Table66[[#This Row],[Column1]]</f>
        <v>0</v>
      </c>
    </row>
    <row r="1318" spans="1:22" ht="16.5" thickBot="1">
      <c r="A1318" s="227"/>
      <c r="B1318" s="319"/>
      <c r="C1318" s="319"/>
      <c r="D1318" s="320"/>
      <c r="E1318" s="320"/>
      <c r="F1318" s="190"/>
      <c r="G13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8" s="190"/>
      <c r="I13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8" s="190"/>
      <c r="K13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8" s="190"/>
      <c r="M13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8" s="190"/>
      <c r="O13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8" s="190"/>
      <c r="Q13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8" s="192">
        <f ca="1">Table66[[#This Row],[Year 1 (Specified in RFO) - N/A]]+Table66[[#This Row],[Year 2 (Specified in RFO) - N/A]]+Table66[[#This Row],[Year 3 (Specified in RFO) - N/A]]+Table66[[#This Row],[Year 4 (Specified in RFO) - N/A]]+Table66[[#This Row],[Year 5 (Specified in RFO) - N/A]]+Table66[[#This Row],[Year 6 (Specified in RFO) - N/A]]</f>
        <v>0</v>
      </c>
      <c r="S1318" s="402">
        <f ca="1">Table66[[#This Row],[Year 1  (Proposed)]]+Table66[[#This Row],[Year 2 (Proposed)]]+Table66[[#This Row],[Year 3 (Proposed)]]+Table66[[#This Row],[Year 4 (Proposed)]]+Table66[[#This Row],[Year 5 (Proposed)]]+Table66[[#This Row],[Year 6 (Proposed)]]</f>
        <v>0</v>
      </c>
      <c r="T1318" s="403" t="b">
        <f ca="1">Table66[[#This Row],[Total Specifed in RFO - N/A]]=Table66[[#This Row],[Total Proposed]]</f>
        <v>1</v>
      </c>
      <c r="U1318" s="439"/>
      <c r="V1318" s="441">
        <f ca="1">Table66[[#This Row],[Year 6 (Specified in RFO) - N/A]]-Table66[[#This Row],[Column1]]</f>
        <v>0</v>
      </c>
    </row>
    <row r="1319" spans="1:22" ht="16.5" thickBot="1">
      <c r="A1319" s="227"/>
      <c r="B1319" s="319"/>
      <c r="C1319" s="319"/>
      <c r="D1319" s="320"/>
      <c r="E1319" s="320"/>
      <c r="F1319" s="190"/>
      <c r="G13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9" s="190"/>
      <c r="I13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9" s="190"/>
      <c r="K13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9" s="190"/>
      <c r="M13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9" s="190"/>
      <c r="O13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9" s="190"/>
      <c r="Q13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9" s="192">
        <f ca="1">Table66[[#This Row],[Year 1 (Specified in RFO) - N/A]]+Table66[[#This Row],[Year 2 (Specified in RFO) - N/A]]+Table66[[#This Row],[Year 3 (Specified in RFO) - N/A]]+Table66[[#This Row],[Year 4 (Specified in RFO) - N/A]]+Table66[[#This Row],[Year 5 (Specified in RFO) - N/A]]+Table66[[#This Row],[Year 6 (Specified in RFO) - N/A]]</f>
        <v>0</v>
      </c>
      <c r="S1319" s="402">
        <f ca="1">Table66[[#This Row],[Year 1  (Proposed)]]+Table66[[#This Row],[Year 2 (Proposed)]]+Table66[[#This Row],[Year 3 (Proposed)]]+Table66[[#This Row],[Year 4 (Proposed)]]+Table66[[#This Row],[Year 5 (Proposed)]]+Table66[[#This Row],[Year 6 (Proposed)]]</f>
        <v>0</v>
      </c>
      <c r="T1319" s="403" t="b">
        <f ca="1">Table66[[#This Row],[Total Specifed in RFO - N/A]]=Table66[[#This Row],[Total Proposed]]</f>
        <v>1</v>
      </c>
      <c r="U1319" s="439"/>
      <c r="V1319" s="441">
        <f ca="1">Table66[[#This Row],[Year 6 (Specified in RFO) - N/A]]-Table66[[#This Row],[Column1]]</f>
        <v>0</v>
      </c>
    </row>
    <row r="1320" spans="1:22" ht="16.5" thickBot="1">
      <c r="A1320" s="227"/>
      <c r="B1320" s="319"/>
      <c r="C1320" s="319"/>
      <c r="D1320" s="320"/>
      <c r="E1320" s="320"/>
      <c r="F1320" s="190"/>
      <c r="G13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0" s="190"/>
      <c r="I13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0" s="190"/>
      <c r="K13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0" s="190"/>
      <c r="M13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0" s="190"/>
      <c r="O13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0" s="190"/>
      <c r="Q13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0" s="192">
        <f ca="1">Table66[[#This Row],[Year 1 (Specified in RFO) - N/A]]+Table66[[#This Row],[Year 2 (Specified in RFO) - N/A]]+Table66[[#This Row],[Year 3 (Specified in RFO) - N/A]]+Table66[[#This Row],[Year 4 (Specified in RFO) - N/A]]+Table66[[#This Row],[Year 5 (Specified in RFO) - N/A]]+Table66[[#This Row],[Year 6 (Specified in RFO) - N/A]]</f>
        <v>0</v>
      </c>
      <c r="S1320" s="402">
        <f ca="1">Table66[[#This Row],[Year 1  (Proposed)]]+Table66[[#This Row],[Year 2 (Proposed)]]+Table66[[#This Row],[Year 3 (Proposed)]]+Table66[[#This Row],[Year 4 (Proposed)]]+Table66[[#This Row],[Year 5 (Proposed)]]+Table66[[#This Row],[Year 6 (Proposed)]]</f>
        <v>0</v>
      </c>
      <c r="T1320" s="403" t="b">
        <f ca="1">Table66[[#This Row],[Total Specifed in RFO - N/A]]=Table66[[#This Row],[Total Proposed]]</f>
        <v>1</v>
      </c>
      <c r="U1320" s="439"/>
      <c r="V1320" s="441">
        <f ca="1">Table66[[#This Row],[Year 6 (Specified in RFO) - N/A]]-Table66[[#This Row],[Column1]]</f>
        <v>0</v>
      </c>
    </row>
    <row r="1321" spans="1:22" ht="16.5" thickBot="1">
      <c r="A1321" s="227"/>
      <c r="B1321" s="319"/>
      <c r="C1321" s="319"/>
      <c r="D1321" s="320"/>
      <c r="E1321" s="320"/>
      <c r="F1321" s="190"/>
      <c r="G13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1" s="190"/>
      <c r="I13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1" s="190"/>
      <c r="K13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1" s="190"/>
      <c r="M13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1" s="190"/>
      <c r="O13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1" s="190"/>
      <c r="Q13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1" s="192">
        <f ca="1">Table66[[#This Row],[Year 1 (Specified in RFO) - N/A]]+Table66[[#This Row],[Year 2 (Specified in RFO) - N/A]]+Table66[[#This Row],[Year 3 (Specified in RFO) - N/A]]+Table66[[#This Row],[Year 4 (Specified in RFO) - N/A]]+Table66[[#This Row],[Year 5 (Specified in RFO) - N/A]]+Table66[[#This Row],[Year 6 (Specified in RFO) - N/A]]</f>
        <v>0</v>
      </c>
      <c r="S1321" s="402">
        <f ca="1">Table66[[#This Row],[Year 1  (Proposed)]]+Table66[[#This Row],[Year 2 (Proposed)]]+Table66[[#This Row],[Year 3 (Proposed)]]+Table66[[#This Row],[Year 4 (Proposed)]]+Table66[[#This Row],[Year 5 (Proposed)]]+Table66[[#This Row],[Year 6 (Proposed)]]</f>
        <v>0</v>
      </c>
      <c r="T1321" s="403" t="b">
        <f ca="1">Table66[[#This Row],[Total Specifed in RFO - N/A]]=Table66[[#This Row],[Total Proposed]]</f>
        <v>1</v>
      </c>
      <c r="U1321" s="439"/>
      <c r="V1321" s="441">
        <f ca="1">Table66[[#This Row],[Year 6 (Specified in RFO) - N/A]]-Table66[[#This Row],[Column1]]</f>
        <v>0</v>
      </c>
    </row>
    <row r="1322" spans="1:22" ht="16.5" thickBot="1">
      <c r="A1322" s="227"/>
      <c r="B1322" s="319"/>
      <c r="C1322" s="319"/>
      <c r="D1322" s="320"/>
      <c r="E1322" s="320"/>
      <c r="F1322" s="190"/>
      <c r="G13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2" s="190"/>
      <c r="I13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2" s="190"/>
      <c r="K13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2" s="190"/>
      <c r="M13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2" s="190"/>
      <c r="O13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2" s="190"/>
      <c r="Q13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2" s="192">
        <f ca="1">Table66[[#This Row],[Year 1 (Specified in RFO) - N/A]]+Table66[[#This Row],[Year 2 (Specified in RFO) - N/A]]+Table66[[#This Row],[Year 3 (Specified in RFO) - N/A]]+Table66[[#This Row],[Year 4 (Specified in RFO) - N/A]]+Table66[[#This Row],[Year 5 (Specified in RFO) - N/A]]+Table66[[#This Row],[Year 6 (Specified in RFO) - N/A]]</f>
        <v>0</v>
      </c>
      <c r="S1322" s="402">
        <f ca="1">Table66[[#This Row],[Year 1  (Proposed)]]+Table66[[#This Row],[Year 2 (Proposed)]]+Table66[[#This Row],[Year 3 (Proposed)]]+Table66[[#This Row],[Year 4 (Proposed)]]+Table66[[#This Row],[Year 5 (Proposed)]]+Table66[[#This Row],[Year 6 (Proposed)]]</f>
        <v>0</v>
      </c>
      <c r="T1322" s="403" t="b">
        <f ca="1">Table66[[#This Row],[Total Specifed in RFO - N/A]]=Table66[[#This Row],[Total Proposed]]</f>
        <v>1</v>
      </c>
      <c r="U1322" s="439"/>
      <c r="V1322" s="441">
        <f ca="1">Table66[[#This Row],[Year 6 (Specified in RFO) - N/A]]-Table66[[#This Row],[Column1]]</f>
        <v>0</v>
      </c>
    </row>
    <row r="1323" spans="1:22" ht="16.5" thickBot="1">
      <c r="A1323" s="227"/>
      <c r="B1323" s="319"/>
      <c r="C1323" s="319"/>
      <c r="D1323" s="320"/>
      <c r="E1323" s="320"/>
      <c r="F1323" s="190"/>
      <c r="G13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3" s="190"/>
      <c r="I13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3" s="190"/>
      <c r="K13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3" s="190"/>
      <c r="M13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3" s="190"/>
      <c r="O13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3" s="190"/>
      <c r="Q13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3" s="192">
        <f ca="1">Table66[[#This Row],[Year 1 (Specified in RFO) - N/A]]+Table66[[#This Row],[Year 2 (Specified in RFO) - N/A]]+Table66[[#This Row],[Year 3 (Specified in RFO) - N/A]]+Table66[[#This Row],[Year 4 (Specified in RFO) - N/A]]+Table66[[#This Row],[Year 5 (Specified in RFO) - N/A]]+Table66[[#This Row],[Year 6 (Specified in RFO) - N/A]]</f>
        <v>0</v>
      </c>
      <c r="S1323" s="402">
        <f ca="1">Table66[[#This Row],[Year 1  (Proposed)]]+Table66[[#This Row],[Year 2 (Proposed)]]+Table66[[#This Row],[Year 3 (Proposed)]]+Table66[[#This Row],[Year 4 (Proposed)]]+Table66[[#This Row],[Year 5 (Proposed)]]+Table66[[#This Row],[Year 6 (Proposed)]]</f>
        <v>0</v>
      </c>
      <c r="T1323" s="403" t="b">
        <f ca="1">Table66[[#This Row],[Total Specifed in RFO - N/A]]=Table66[[#This Row],[Total Proposed]]</f>
        <v>1</v>
      </c>
      <c r="U1323" s="439"/>
      <c r="V1323" s="441">
        <f ca="1">Table66[[#This Row],[Year 6 (Specified in RFO) - N/A]]-Table66[[#This Row],[Column1]]</f>
        <v>0</v>
      </c>
    </row>
    <row r="1324" spans="1:22" ht="16.5" thickBot="1">
      <c r="A1324" s="227"/>
      <c r="B1324" s="319"/>
      <c r="C1324" s="319"/>
      <c r="D1324" s="320"/>
      <c r="E1324" s="320"/>
      <c r="F1324" s="190"/>
      <c r="G13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4" s="190"/>
      <c r="I13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4" s="190"/>
      <c r="K13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4" s="190"/>
      <c r="M13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4" s="190"/>
      <c r="O13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4" s="190"/>
      <c r="Q13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4" s="192">
        <f ca="1">Table66[[#This Row],[Year 1 (Specified in RFO) - N/A]]+Table66[[#This Row],[Year 2 (Specified in RFO) - N/A]]+Table66[[#This Row],[Year 3 (Specified in RFO) - N/A]]+Table66[[#This Row],[Year 4 (Specified in RFO) - N/A]]+Table66[[#This Row],[Year 5 (Specified in RFO) - N/A]]+Table66[[#This Row],[Year 6 (Specified in RFO) - N/A]]</f>
        <v>0</v>
      </c>
      <c r="S1324" s="402">
        <f ca="1">Table66[[#This Row],[Year 1  (Proposed)]]+Table66[[#This Row],[Year 2 (Proposed)]]+Table66[[#This Row],[Year 3 (Proposed)]]+Table66[[#This Row],[Year 4 (Proposed)]]+Table66[[#This Row],[Year 5 (Proposed)]]+Table66[[#This Row],[Year 6 (Proposed)]]</f>
        <v>0</v>
      </c>
      <c r="T1324" s="403" t="b">
        <f ca="1">Table66[[#This Row],[Total Specifed in RFO - N/A]]=Table66[[#This Row],[Total Proposed]]</f>
        <v>1</v>
      </c>
      <c r="U1324" s="439"/>
      <c r="V1324" s="441">
        <f ca="1">Table66[[#This Row],[Year 6 (Specified in RFO) - N/A]]-Table66[[#This Row],[Column1]]</f>
        <v>0</v>
      </c>
    </row>
    <row r="1325" spans="1:22" ht="16.5" thickBot="1">
      <c r="A1325" s="227"/>
      <c r="B1325" s="319"/>
      <c r="C1325" s="319"/>
      <c r="D1325" s="320"/>
      <c r="E1325" s="320"/>
      <c r="F1325" s="190"/>
      <c r="G13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5" s="190"/>
      <c r="I13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5" s="190"/>
      <c r="K13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5" s="190"/>
      <c r="M13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5" s="190"/>
      <c r="O13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5" s="190"/>
      <c r="Q13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5" s="192">
        <f ca="1">Table66[[#This Row],[Year 1 (Specified in RFO) - N/A]]+Table66[[#This Row],[Year 2 (Specified in RFO) - N/A]]+Table66[[#This Row],[Year 3 (Specified in RFO) - N/A]]+Table66[[#This Row],[Year 4 (Specified in RFO) - N/A]]+Table66[[#This Row],[Year 5 (Specified in RFO) - N/A]]+Table66[[#This Row],[Year 6 (Specified in RFO) - N/A]]</f>
        <v>0</v>
      </c>
      <c r="S1325" s="402">
        <f ca="1">Table66[[#This Row],[Year 1  (Proposed)]]+Table66[[#This Row],[Year 2 (Proposed)]]+Table66[[#This Row],[Year 3 (Proposed)]]+Table66[[#This Row],[Year 4 (Proposed)]]+Table66[[#This Row],[Year 5 (Proposed)]]+Table66[[#This Row],[Year 6 (Proposed)]]</f>
        <v>0</v>
      </c>
      <c r="T1325" s="403" t="b">
        <f ca="1">Table66[[#This Row],[Total Specifed in RFO - N/A]]=Table66[[#This Row],[Total Proposed]]</f>
        <v>1</v>
      </c>
      <c r="U1325" s="439"/>
      <c r="V1325" s="441">
        <f ca="1">Table66[[#This Row],[Year 6 (Specified in RFO) - N/A]]-Table66[[#This Row],[Column1]]</f>
        <v>0</v>
      </c>
    </row>
    <row r="1326" spans="1:22" ht="16.5" thickBot="1">
      <c r="A1326" s="227"/>
      <c r="B1326" s="319"/>
      <c r="C1326" s="319"/>
      <c r="D1326" s="320"/>
      <c r="E1326" s="320"/>
      <c r="F1326" s="190"/>
      <c r="G13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6" s="190"/>
      <c r="I13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6" s="190"/>
      <c r="K13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6" s="190"/>
      <c r="M13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6" s="190"/>
      <c r="O13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6" s="190"/>
      <c r="Q13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6" s="192">
        <f ca="1">Table66[[#This Row],[Year 1 (Specified in RFO) - N/A]]+Table66[[#This Row],[Year 2 (Specified in RFO) - N/A]]+Table66[[#This Row],[Year 3 (Specified in RFO) - N/A]]+Table66[[#This Row],[Year 4 (Specified in RFO) - N/A]]+Table66[[#This Row],[Year 5 (Specified in RFO) - N/A]]+Table66[[#This Row],[Year 6 (Specified in RFO) - N/A]]</f>
        <v>0</v>
      </c>
      <c r="S1326" s="402">
        <f ca="1">Table66[[#This Row],[Year 1  (Proposed)]]+Table66[[#This Row],[Year 2 (Proposed)]]+Table66[[#This Row],[Year 3 (Proposed)]]+Table66[[#This Row],[Year 4 (Proposed)]]+Table66[[#This Row],[Year 5 (Proposed)]]+Table66[[#This Row],[Year 6 (Proposed)]]</f>
        <v>0</v>
      </c>
      <c r="T1326" s="403" t="b">
        <f ca="1">Table66[[#This Row],[Total Specifed in RFO - N/A]]=Table66[[#This Row],[Total Proposed]]</f>
        <v>1</v>
      </c>
      <c r="U1326" s="439"/>
      <c r="V1326" s="441">
        <f ca="1">Table66[[#This Row],[Year 6 (Specified in RFO) - N/A]]-Table66[[#This Row],[Column1]]</f>
        <v>0</v>
      </c>
    </row>
    <row r="1327" spans="1:22" ht="16.5" thickBot="1">
      <c r="A1327" s="227"/>
      <c r="B1327" s="319"/>
      <c r="C1327" s="319"/>
      <c r="D1327" s="320"/>
      <c r="E1327" s="320"/>
      <c r="F1327" s="190"/>
      <c r="G13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7" s="190"/>
      <c r="I13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7" s="190"/>
      <c r="K13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7" s="190"/>
      <c r="M13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7" s="190"/>
      <c r="O13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7" s="190"/>
      <c r="Q13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7" s="192">
        <f ca="1">Table66[[#This Row],[Year 1 (Specified in RFO) - N/A]]+Table66[[#This Row],[Year 2 (Specified in RFO) - N/A]]+Table66[[#This Row],[Year 3 (Specified in RFO) - N/A]]+Table66[[#This Row],[Year 4 (Specified in RFO) - N/A]]+Table66[[#This Row],[Year 5 (Specified in RFO) - N/A]]+Table66[[#This Row],[Year 6 (Specified in RFO) - N/A]]</f>
        <v>0</v>
      </c>
      <c r="S1327" s="402">
        <f ca="1">Table66[[#This Row],[Year 1  (Proposed)]]+Table66[[#This Row],[Year 2 (Proposed)]]+Table66[[#This Row],[Year 3 (Proposed)]]+Table66[[#This Row],[Year 4 (Proposed)]]+Table66[[#This Row],[Year 5 (Proposed)]]+Table66[[#This Row],[Year 6 (Proposed)]]</f>
        <v>0</v>
      </c>
      <c r="T1327" s="403" t="b">
        <f ca="1">Table66[[#This Row],[Total Specifed in RFO - N/A]]=Table66[[#This Row],[Total Proposed]]</f>
        <v>1</v>
      </c>
      <c r="U1327" s="439"/>
      <c r="V1327" s="441">
        <f ca="1">Table66[[#This Row],[Year 6 (Specified in RFO) - N/A]]-Table66[[#This Row],[Column1]]</f>
        <v>0</v>
      </c>
    </row>
    <row r="1328" spans="1:22" ht="16.5" thickBot="1">
      <c r="A1328" s="227"/>
      <c r="B1328" s="319"/>
      <c r="C1328" s="319"/>
      <c r="D1328" s="320"/>
      <c r="E1328" s="320"/>
      <c r="F1328" s="190"/>
      <c r="G13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8" s="190"/>
      <c r="I13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8" s="190"/>
      <c r="K13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8" s="190"/>
      <c r="M13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8" s="190"/>
      <c r="O13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8" s="190"/>
      <c r="Q13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8" s="192">
        <f ca="1">Table66[[#This Row],[Year 1 (Specified in RFO) - N/A]]+Table66[[#This Row],[Year 2 (Specified in RFO) - N/A]]+Table66[[#This Row],[Year 3 (Specified in RFO) - N/A]]+Table66[[#This Row],[Year 4 (Specified in RFO) - N/A]]+Table66[[#This Row],[Year 5 (Specified in RFO) - N/A]]+Table66[[#This Row],[Year 6 (Specified in RFO) - N/A]]</f>
        <v>0</v>
      </c>
      <c r="S1328" s="402">
        <f ca="1">Table66[[#This Row],[Year 1  (Proposed)]]+Table66[[#This Row],[Year 2 (Proposed)]]+Table66[[#This Row],[Year 3 (Proposed)]]+Table66[[#This Row],[Year 4 (Proposed)]]+Table66[[#This Row],[Year 5 (Proposed)]]+Table66[[#This Row],[Year 6 (Proposed)]]</f>
        <v>0</v>
      </c>
      <c r="T1328" s="403" t="b">
        <f ca="1">Table66[[#This Row],[Total Specifed in RFO - N/A]]=Table66[[#This Row],[Total Proposed]]</f>
        <v>1</v>
      </c>
      <c r="U1328" s="439"/>
      <c r="V1328" s="441">
        <f ca="1">Table66[[#This Row],[Year 6 (Specified in RFO) - N/A]]-Table66[[#This Row],[Column1]]</f>
        <v>0</v>
      </c>
    </row>
    <row r="1329" spans="1:22" ht="16.5" thickBot="1">
      <c r="A1329" s="227"/>
      <c r="B1329" s="319"/>
      <c r="C1329" s="319"/>
      <c r="D1329" s="320"/>
      <c r="E1329" s="320"/>
      <c r="F1329" s="190"/>
      <c r="G13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9" s="190"/>
      <c r="I13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9" s="190"/>
      <c r="K13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9" s="190"/>
      <c r="M13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9" s="190"/>
      <c r="O13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9" s="190"/>
      <c r="Q13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9" s="192">
        <f ca="1">Table66[[#This Row],[Year 1 (Specified in RFO) - N/A]]+Table66[[#This Row],[Year 2 (Specified in RFO) - N/A]]+Table66[[#This Row],[Year 3 (Specified in RFO) - N/A]]+Table66[[#This Row],[Year 4 (Specified in RFO) - N/A]]+Table66[[#This Row],[Year 5 (Specified in RFO) - N/A]]+Table66[[#This Row],[Year 6 (Specified in RFO) - N/A]]</f>
        <v>0</v>
      </c>
      <c r="S1329" s="402">
        <f ca="1">Table66[[#This Row],[Year 1  (Proposed)]]+Table66[[#This Row],[Year 2 (Proposed)]]+Table66[[#This Row],[Year 3 (Proposed)]]+Table66[[#This Row],[Year 4 (Proposed)]]+Table66[[#This Row],[Year 5 (Proposed)]]+Table66[[#This Row],[Year 6 (Proposed)]]</f>
        <v>0</v>
      </c>
      <c r="T1329" s="403" t="b">
        <f ca="1">Table66[[#This Row],[Total Specifed in RFO - N/A]]=Table66[[#This Row],[Total Proposed]]</f>
        <v>1</v>
      </c>
      <c r="U1329" s="439"/>
      <c r="V1329" s="441">
        <f ca="1">Table66[[#This Row],[Year 6 (Specified in RFO) - N/A]]-Table66[[#This Row],[Column1]]</f>
        <v>0</v>
      </c>
    </row>
    <row r="1330" spans="1:22" ht="16.5" thickBot="1">
      <c r="A1330" s="227"/>
      <c r="B1330" s="319"/>
      <c r="C1330" s="319"/>
      <c r="D1330" s="320"/>
      <c r="E1330" s="320"/>
      <c r="F1330" s="190"/>
      <c r="G13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0" s="190"/>
      <c r="I13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0" s="190"/>
      <c r="K13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0" s="190"/>
      <c r="M13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0" s="190"/>
      <c r="O13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0" s="190"/>
      <c r="Q13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0" s="192">
        <f ca="1">Table66[[#This Row],[Year 1 (Specified in RFO) - N/A]]+Table66[[#This Row],[Year 2 (Specified in RFO) - N/A]]+Table66[[#This Row],[Year 3 (Specified in RFO) - N/A]]+Table66[[#This Row],[Year 4 (Specified in RFO) - N/A]]+Table66[[#This Row],[Year 5 (Specified in RFO) - N/A]]+Table66[[#This Row],[Year 6 (Specified in RFO) - N/A]]</f>
        <v>0</v>
      </c>
      <c r="S1330" s="402">
        <f ca="1">Table66[[#This Row],[Year 1  (Proposed)]]+Table66[[#This Row],[Year 2 (Proposed)]]+Table66[[#This Row],[Year 3 (Proposed)]]+Table66[[#This Row],[Year 4 (Proposed)]]+Table66[[#This Row],[Year 5 (Proposed)]]+Table66[[#This Row],[Year 6 (Proposed)]]</f>
        <v>0</v>
      </c>
      <c r="T1330" s="403" t="b">
        <f ca="1">Table66[[#This Row],[Total Specifed in RFO - N/A]]=Table66[[#This Row],[Total Proposed]]</f>
        <v>1</v>
      </c>
      <c r="U1330" s="439"/>
      <c r="V1330" s="441">
        <f ca="1">Table66[[#This Row],[Year 6 (Specified in RFO) - N/A]]-Table66[[#This Row],[Column1]]</f>
        <v>0</v>
      </c>
    </row>
    <row r="1331" spans="1:22" ht="16.5" thickBot="1">
      <c r="A1331" s="227"/>
      <c r="B1331" s="319"/>
      <c r="C1331" s="319"/>
      <c r="D1331" s="320"/>
      <c r="E1331" s="320"/>
      <c r="F1331" s="190"/>
      <c r="G13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1" s="190"/>
      <c r="I13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1" s="190"/>
      <c r="K13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1" s="190"/>
      <c r="M13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1" s="190"/>
      <c r="O13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1" s="190"/>
      <c r="Q13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1" s="192">
        <f ca="1">Table66[[#This Row],[Year 1 (Specified in RFO) - N/A]]+Table66[[#This Row],[Year 2 (Specified in RFO) - N/A]]+Table66[[#This Row],[Year 3 (Specified in RFO) - N/A]]+Table66[[#This Row],[Year 4 (Specified in RFO) - N/A]]+Table66[[#This Row],[Year 5 (Specified in RFO) - N/A]]+Table66[[#This Row],[Year 6 (Specified in RFO) - N/A]]</f>
        <v>0</v>
      </c>
      <c r="S1331" s="402">
        <f ca="1">Table66[[#This Row],[Year 1  (Proposed)]]+Table66[[#This Row],[Year 2 (Proposed)]]+Table66[[#This Row],[Year 3 (Proposed)]]+Table66[[#This Row],[Year 4 (Proposed)]]+Table66[[#This Row],[Year 5 (Proposed)]]+Table66[[#This Row],[Year 6 (Proposed)]]</f>
        <v>0</v>
      </c>
      <c r="T1331" s="403" t="b">
        <f ca="1">Table66[[#This Row],[Total Specifed in RFO - N/A]]=Table66[[#This Row],[Total Proposed]]</f>
        <v>1</v>
      </c>
      <c r="U1331" s="439"/>
      <c r="V1331" s="441">
        <f ca="1">Table66[[#This Row],[Year 6 (Specified in RFO) - N/A]]-Table66[[#This Row],[Column1]]</f>
        <v>0</v>
      </c>
    </row>
    <row r="1332" spans="1:22" ht="16.5" thickBot="1">
      <c r="A1332" s="227"/>
      <c r="B1332" s="319"/>
      <c r="C1332" s="319"/>
      <c r="D1332" s="320"/>
      <c r="E1332" s="320"/>
      <c r="F1332" s="190"/>
      <c r="G13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2" s="190"/>
      <c r="I13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2" s="190"/>
      <c r="K13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2" s="190"/>
      <c r="M13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2" s="190"/>
      <c r="O13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2" s="190"/>
      <c r="Q13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2" s="192">
        <f ca="1">Table66[[#This Row],[Year 1 (Specified in RFO) - N/A]]+Table66[[#This Row],[Year 2 (Specified in RFO) - N/A]]+Table66[[#This Row],[Year 3 (Specified in RFO) - N/A]]+Table66[[#This Row],[Year 4 (Specified in RFO) - N/A]]+Table66[[#This Row],[Year 5 (Specified in RFO) - N/A]]+Table66[[#This Row],[Year 6 (Specified in RFO) - N/A]]</f>
        <v>0</v>
      </c>
      <c r="S1332" s="402">
        <f ca="1">Table66[[#This Row],[Year 1  (Proposed)]]+Table66[[#This Row],[Year 2 (Proposed)]]+Table66[[#This Row],[Year 3 (Proposed)]]+Table66[[#This Row],[Year 4 (Proposed)]]+Table66[[#This Row],[Year 5 (Proposed)]]+Table66[[#This Row],[Year 6 (Proposed)]]</f>
        <v>0</v>
      </c>
      <c r="T1332" s="403" t="b">
        <f ca="1">Table66[[#This Row],[Total Specifed in RFO - N/A]]=Table66[[#This Row],[Total Proposed]]</f>
        <v>1</v>
      </c>
      <c r="U1332" s="439"/>
      <c r="V1332" s="441">
        <f ca="1">Table66[[#This Row],[Year 6 (Specified in RFO) - N/A]]-Table66[[#This Row],[Column1]]</f>
        <v>0</v>
      </c>
    </row>
    <row r="1333" spans="1:22" ht="16.5" thickBot="1">
      <c r="A1333" s="227"/>
      <c r="B1333" s="319"/>
      <c r="C1333" s="319"/>
      <c r="D1333" s="320"/>
      <c r="E1333" s="320"/>
      <c r="F1333" s="190"/>
      <c r="G13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3" s="190"/>
      <c r="I13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3" s="190"/>
      <c r="K13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3" s="190"/>
      <c r="M13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3" s="190"/>
      <c r="O13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3" s="190"/>
      <c r="Q13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3" s="192">
        <f ca="1">Table66[[#This Row],[Year 1 (Specified in RFO) - N/A]]+Table66[[#This Row],[Year 2 (Specified in RFO) - N/A]]+Table66[[#This Row],[Year 3 (Specified in RFO) - N/A]]+Table66[[#This Row],[Year 4 (Specified in RFO) - N/A]]+Table66[[#This Row],[Year 5 (Specified in RFO) - N/A]]+Table66[[#This Row],[Year 6 (Specified in RFO) - N/A]]</f>
        <v>0</v>
      </c>
      <c r="S1333" s="402">
        <f ca="1">Table66[[#This Row],[Year 1  (Proposed)]]+Table66[[#This Row],[Year 2 (Proposed)]]+Table66[[#This Row],[Year 3 (Proposed)]]+Table66[[#This Row],[Year 4 (Proposed)]]+Table66[[#This Row],[Year 5 (Proposed)]]+Table66[[#This Row],[Year 6 (Proposed)]]</f>
        <v>0</v>
      </c>
      <c r="T1333" s="403" t="b">
        <f ca="1">Table66[[#This Row],[Total Specifed in RFO - N/A]]=Table66[[#This Row],[Total Proposed]]</f>
        <v>1</v>
      </c>
      <c r="U1333" s="439"/>
      <c r="V1333" s="441">
        <f ca="1">Table66[[#This Row],[Year 6 (Specified in RFO) - N/A]]-Table66[[#This Row],[Column1]]</f>
        <v>0</v>
      </c>
    </row>
    <row r="1334" spans="1:22" ht="16.5" thickBot="1">
      <c r="A1334" s="227"/>
      <c r="B1334" s="319"/>
      <c r="C1334" s="319"/>
      <c r="D1334" s="320"/>
      <c r="E1334" s="320"/>
      <c r="F1334" s="190"/>
      <c r="G13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4" s="190"/>
      <c r="I13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4" s="190"/>
      <c r="K13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4" s="190"/>
      <c r="M13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4" s="190"/>
      <c r="O13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4" s="190"/>
      <c r="Q13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4" s="192">
        <f ca="1">Table66[[#This Row],[Year 1 (Specified in RFO) - N/A]]+Table66[[#This Row],[Year 2 (Specified in RFO) - N/A]]+Table66[[#This Row],[Year 3 (Specified in RFO) - N/A]]+Table66[[#This Row],[Year 4 (Specified in RFO) - N/A]]+Table66[[#This Row],[Year 5 (Specified in RFO) - N/A]]+Table66[[#This Row],[Year 6 (Specified in RFO) - N/A]]</f>
        <v>0</v>
      </c>
      <c r="S1334" s="402">
        <f ca="1">Table66[[#This Row],[Year 1  (Proposed)]]+Table66[[#This Row],[Year 2 (Proposed)]]+Table66[[#This Row],[Year 3 (Proposed)]]+Table66[[#This Row],[Year 4 (Proposed)]]+Table66[[#This Row],[Year 5 (Proposed)]]+Table66[[#This Row],[Year 6 (Proposed)]]</f>
        <v>0</v>
      </c>
      <c r="T1334" s="403" t="b">
        <f ca="1">Table66[[#This Row],[Total Specifed in RFO - N/A]]=Table66[[#This Row],[Total Proposed]]</f>
        <v>1</v>
      </c>
      <c r="U1334" s="439"/>
      <c r="V1334" s="441">
        <f ca="1">Table66[[#This Row],[Year 6 (Specified in RFO) - N/A]]-Table66[[#This Row],[Column1]]</f>
        <v>0</v>
      </c>
    </row>
    <row r="1335" spans="1:22" ht="16.5" thickBot="1">
      <c r="A1335" s="227"/>
      <c r="B1335" s="319"/>
      <c r="C1335" s="319"/>
      <c r="D1335" s="320"/>
      <c r="E1335" s="320"/>
      <c r="F1335" s="190"/>
      <c r="G13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5" s="190"/>
      <c r="I13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5" s="190"/>
      <c r="K13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5" s="190"/>
      <c r="M13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5" s="190"/>
      <c r="O13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5" s="190"/>
      <c r="Q13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5" s="192">
        <f ca="1">Table66[[#This Row],[Year 1 (Specified in RFO) - N/A]]+Table66[[#This Row],[Year 2 (Specified in RFO) - N/A]]+Table66[[#This Row],[Year 3 (Specified in RFO) - N/A]]+Table66[[#This Row],[Year 4 (Specified in RFO) - N/A]]+Table66[[#This Row],[Year 5 (Specified in RFO) - N/A]]+Table66[[#This Row],[Year 6 (Specified in RFO) - N/A]]</f>
        <v>0</v>
      </c>
      <c r="S1335" s="402">
        <f ca="1">Table66[[#This Row],[Year 1  (Proposed)]]+Table66[[#This Row],[Year 2 (Proposed)]]+Table66[[#This Row],[Year 3 (Proposed)]]+Table66[[#This Row],[Year 4 (Proposed)]]+Table66[[#This Row],[Year 5 (Proposed)]]+Table66[[#This Row],[Year 6 (Proposed)]]</f>
        <v>0</v>
      </c>
      <c r="T1335" s="403" t="b">
        <f ca="1">Table66[[#This Row],[Total Specifed in RFO - N/A]]=Table66[[#This Row],[Total Proposed]]</f>
        <v>1</v>
      </c>
      <c r="U1335" s="439"/>
      <c r="V1335" s="441">
        <f ca="1">Table66[[#This Row],[Year 6 (Specified in RFO) - N/A]]-Table66[[#This Row],[Column1]]</f>
        <v>0</v>
      </c>
    </row>
    <row r="1336" spans="1:22" ht="16.5" thickBot="1">
      <c r="A1336" s="227"/>
      <c r="B1336" s="319"/>
      <c r="C1336" s="319"/>
      <c r="D1336" s="320"/>
      <c r="E1336" s="320"/>
      <c r="F1336" s="190"/>
      <c r="G13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6" s="190"/>
      <c r="I13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6" s="190"/>
      <c r="K13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6" s="190"/>
      <c r="M13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6" s="190"/>
      <c r="O13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6" s="190"/>
      <c r="Q13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6" s="192">
        <f ca="1">Table66[[#This Row],[Year 1 (Specified in RFO) - N/A]]+Table66[[#This Row],[Year 2 (Specified in RFO) - N/A]]+Table66[[#This Row],[Year 3 (Specified in RFO) - N/A]]+Table66[[#This Row],[Year 4 (Specified in RFO) - N/A]]+Table66[[#This Row],[Year 5 (Specified in RFO) - N/A]]+Table66[[#This Row],[Year 6 (Specified in RFO) - N/A]]</f>
        <v>0</v>
      </c>
      <c r="S1336" s="402">
        <f ca="1">Table66[[#This Row],[Year 1  (Proposed)]]+Table66[[#This Row],[Year 2 (Proposed)]]+Table66[[#This Row],[Year 3 (Proposed)]]+Table66[[#This Row],[Year 4 (Proposed)]]+Table66[[#This Row],[Year 5 (Proposed)]]+Table66[[#This Row],[Year 6 (Proposed)]]</f>
        <v>0</v>
      </c>
      <c r="T1336" s="403" t="b">
        <f ca="1">Table66[[#This Row],[Total Specifed in RFO - N/A]]=Table66[[#This Row],[Total Proposed]]</f>
        <v>1</v>
      </c>
      <c r="U1336" s="439"/>
      <c r="V1336" s="441">
        <f ca="1">Table66[[#This Row],[Year 6 (Specified in RFO) - N/A]]-Table66[[#This Row],[Column1]]</f>
        <v>0</v>
      </c>
    </row>
    <row r="1337" spans="1:22" ht="16.5" thickBot="1">
      <c r="A1337" s="227"/>
      <c r="B1337" s="319"/>
      <c r="C1337" s="319"/>
      <c r="D1337" s="320"/>
      <c r="E1337" s="320"/>
      <c r="F1337" s="190"/>
      <c r="G13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7" s="190"/>
      <c r="I13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7" s="190"/>
      <c r="K13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7" s="190"/>
      <c r="M13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7" s="190"/>
      <c r="O13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7" s="190"/>
      <c r="Q13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7" s="192">
        <f ca="1">Table66[[#This Row],[Year 1 (Specified in RFO) - N/A]]+Table66[[#This Row],[Year 2 (Specified in RFO) - N/A]]+Table66[[#This Row],[Year 3 (Specified in RFO) - N/A]]+Table66[[#This Row],[Year 4 (Specified in RFO) - N/A]]+Table66[[#This Row],[Year 5 (Specified in RFO) - N/A]]+Table66[[#This Row],[Year 6 (Specified in RFO) - N/A]]</f>
        <v>0</v>
      </c>
      <c r="S1337" s="402">
        <f ca="1">Table66[[#This Row],[Year 1  (Proposed)]]+Table66[[#This Row],[Year 2 (Proposed)]]+Table66[[#This Row],[Year 3 (Proposed)]]+Table66[[#This Row],[Year 4 (Proposed)]]+Table66[[#This Row],[Year 5 (Proposed)]]+Table66[[#This Row],[Year 6 (Proposed)]]</f>
        <v>0</v>
      </c>
      <c r="T1337" s="403" t="b">
        <f ca="1">Table66[[#This Row],[Total Specifed in RFO - N/A]]=Table66[[#This Row],[Total Proposed]]</f>
        <v>1</v>
      </c>
      <c r="U1337" s="439"/>
      <c r="V1337" s="441">
        <f ca="1">Table66[[#This Row],[Year 6 (Specified in RFO) - N/A]]-Table66[[#This Row],[Column1]]</f>
        <v>0</v>
      </c>
    </row>
    <row r="1338" spans="1:22" ht="16.5" thickBot="1">
      <c r="A1338" s="227"/>
      <c r="B1338" s="319"/>
      <c r="C1338" s="319"/>
      <c r="D1338" s="320"/>
      <c r="E1338" s="320"/>
      <c r="F1338" s="190"/>
      <c r="G13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8" s="190"/>
      <c r="I13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8" s="190"/>
      <c r="K13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8" s="190"/>
      <c r="M13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8" s="190"/>
      <c r="O13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8" s="190"/>
      <c r="Q13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8" s="192">
        <f ca="1">Table66[[#This Row],[Year 1 (Specified in RFO) - N/A]]+Table66[[#This Row],[Year 2 (Specified in RFO) - N/A]]+Table66[[#This Row],[Year 3 (Specified in RFO) - N/A]]+Table66[[#This Row],[Year 4 (Specified in RFO) - N/A]]+Table66[[#This Row],[Year 5 (Specified in RFO) - N/A]]+Table66[[#This Row],[Year 6 (Specified in RFO) - N/A]]</f>
        <v>0</v>
      </c>
      <c r="S1338" s="402">
        <f ca="1">Table66[[#This Row],[Year 1  (Proposed)]]+Table66[[#This Row],[Year 2 (Proposed)]]+Table66[[#This Row],[Year 3 (Proposed)]]+Table66[[#This Row],[Year 4 (Proposed)]]+Table66[[#This Row],[Year 5 (Proposed)]]+Table66[[#This Row],[Year 6 (Proposed)]]</f>
        <v>0</v>
      </c>
      <c r="T1338" s="403" t="b">
        <f ca="1">Table66[[#This Row],[Total Specifed in RFO - N/A]]=Table66[[#This Row],[Total Proposed]]</f>
        <v>1</v>
      </c>
      <c r="U1338" s="439"/>
      <c r="V1338" s="441">
        <f ca="1">Table66[[#This Row],[Year 6 (Specified in RFO) - N/A]]-Table66[[#This Row],[Column1]]</f>
        <v>0</v>
      </c>
    </row>
    <row r="1339" spans="1:22" ht="16.5" thickBot="1">
      <c r="A1339" s="227"/>
      <c r="B1339" s="319"/>
      <c r="C1339" s="319"/>
      <c r="D1339" s="320"/>
      <c r="E1339" s="320"/>
      <c r="F1339" s="190"/>
      <c r="G13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9" s="190"/>
      <c r="I13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9" s="190"/>
      <c r="K13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9" s="190"/>
      <c r="M13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9" s="190"/>
      <c r="O13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9" s="190"/>
      <c r="Q13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9" s="192">
        <f ca="1">Table66[[#This Row],[Year 1 (Specified in RFO) - N/A]]+Table66[[#This Row],[Year 2 (Specified in RFO) - N/A]]+Table66[[#This Row],[Year 3 (Specified in RFO) - N/A]]+Table66[[#This Row],[Year 4 (Specified in RFO) - N/A]]+Table66[[#This Row],[Year 5 (Specified in RFO) - N/A]]+Table66[[#This Row],[Year 6 (Specified in RFO) - N/A]]</f>
        <v>0</v>
      </c>
      <c r="S1339" s="402">
        <f ca="1">Table66[[#This Row],[Year 1  (Proposed)]]+Table66[[#This Row],[Year 2 (Proposed)]]+Table66[[#This Row],[Year 3 (Proposed)]]+Table66[[#This Row],[Year 4 (Proposed)]]+Table66[[#This Row],[Year 5 (Proposed)]]+Table66[[#This Row],[Year 6 (Proposed)]]</f>
        <v>0</v>
      </c>
      <c r="T1339" s="403" t="b">
        <f ca="1">Table66[[#This Row],[Total Specifed in RFO - N/A]]=Table66[[#This Row],[Total Proposed]]</f>
        <v>1</v>
      </c>
      <c r="U1339" s="439"/>
      <c r="V1339" s="441">
        <f ca="1">Table66[[#This Row],[Year 6 (Specified in RFO) - N/A]]-Table66[[#This Row],[Column1]]</f>
        <v>0</v>
      </c>
    </row>
    <row r="1340" spans="1:22" ht="16.5" thickBot="1">
      <c r="A1340" s="227"/>
      <c r="B1340" s="319"/>
      <c r="C1340" s="319"/>
      <c r="D1340" s="320"/>
      <c r="E1340" s="320"/>
      <c r="F1340" s="190"/>
      <c r="G13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0" s="190"/>
      <c r="I13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0" s="190"/>
      <c r="K13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0" s="190"/>
      <c r="M13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0" s="190"/>
      <c r="O13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0" s="190"/>
      <c r="Q13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0" s="192">
        <f ca="1">Table66[[#This Row],[Year 1 (Specified in RFO) - N/A]]+Table66[[#This Row],[Year 2 (Specified in RFO) - N/A]]+Table66[[#This Row],[Year 3 (Specified in RFO) - N/A]]+Table66[[#This Row],[Year 4 (Specified in RFO) - N/A]]+Table66[[#This Row],[Year 5 (Specified in RFO) - N/A]]+Table66[[#This Row],[Year 6 (Specified in RFO) - N/A]]</f>
        <v>0</v>
      </c>
      <c r="S1340" s="402">
        <f ca="1">Table66[[#This Row],[Year 1  (Proposed)]]+Table66[[#This Row],[Year 2 (Proposed)]]+Table66[[#This Row],[Year 3 (Proposed)]]+Table66[[#This Row],[Year 4 (Proposed)]]+Table66[[#This Row],[Year 5 (Proposed)]]+Table66[[#This Row],[Year 6 (Proposed)]]</f>
        <v>0</v>
      </c>
      <c r="T1340" s="403" t="b">
        <f ca="1">Table66[[#This Row],[Total Specifed in RFO - N/A]]=Table66[[#This Row],[Total Proposed]]</f>
        <v>1</v>
      </c>
      <c r="U1340" s="439"/>
      <c r="V1340" s="441">
        <f ca="1">Table66[[#This Row],[Year 6 (Specified in RFO) - N/A]]-Table66[[#This Row],[Column1]]</f>
        <v>0</v>
      </c>
    </row>
    <row r="1341" spans="1:22" ht="16.5" thickBot="1">
      <c r="A1341" s="227"/>
      <c r="B1341" s="319"/>
      <c r="C1341" s="319"/>
      <c r="D1341" s="320"/>
      <c r="E1341" s="320"/>
      <c r="F1341" s="190"/>
      <c r="G13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1" s="190"/>
      <c r="I13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1" s="190"/>
      <c r="K13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1" s="190"/>
      <c r="M13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1" s="190"/>
      <c r="O13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1" s="190"/>
      <c r="Q13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1" s="192">
        <f ca="1">Table66[[#This Row],[Year 1 (Specified in RFO) - N/A]]+Table66[[#This Row],[Year 2 (Specified in RFO) - N/A]]+Table66[[#This Row],[Year 3 (Specified in RFO) - N/A]]+Table66[[#This Row],[Year 4 (Specified in RFO) - N/A]]+Table66[[#This Row],[Year 5 (Specified in RFO) - N/A]]+Table66[[#This Row],[Year 6 (Specified in RFO) - N/A]]</f>
        <v>0</v>
      </c>
      <c r="S1341" s="402">
        <f ca="1">Table66[[#This Row],[Year 1  (Proposed)]]+Table66[[#This Row],[Year 2 (Proposed)]]+Table66[[#This Row],[Year 3 (Proposed)]]+Table66[[#This Row],[Year 4 (Proposed)]]+Table66[[#This Row],[Year 5 (Proposed)]]+Table66[[#This Row],[Year 6 (Proposed)]]</f>
        <v>0</v>
      </c>
      <c r="T1341" s="403" t="b">
        <f ca="1">Table66[[#This Row],[Total Specifed in RFO - N/A]]=Table66[[#This Row],[Total Proposed]]</f>
        <v>1</v>
      </c>
      <c r="U1341" s="439"/>
      <c r="V1341" s="441">
        <f ca="1">Table66[[#This Row],[Year 6 (Specified in RFO) - N/A]]-Table66[[#This Row],[Column1]]</f>
        <v>0</v>
      </c>
    </row>
    <row r="1342" spans="1:22" ht="16.5" thickBot="1">
      <c r="A1342" s="227"/>
      <c r="B1342" s="319"/>
      <c r="C1342" s="319"/>
      <c r="D1342" s="320"/>
      <c r="E1342" s="320"/>
      <c r="F1342" s="190"/>
      <c r="G13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2" s="190"/>
      <c r="I13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2" s="190"/>
      <c r="K13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2" s="190"/>
      <c r="M13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2" s="190"/>
      <c r="O13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2" s="190"/>
      <c r="Q13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2" s="192">
        <f ca="1">Table66[[#This Row],[Year 1 (Specified in RFO) - N/A]]+Table66[[#This Row],[Year 2 (Specified in RFO) - N/A]]+Table66[[#This Row],[Year 3 (Specified in RFO) - N/A]]+Table66[[#This Row],[Year 4 (Specified in RFO) - N/A]]+Table66[[#This Row],[Year 5 (Specified in RFO) - N/A]]+Table66[[#This Row],[Year 6 (Specified in RFO) - N/A]]</f>
        <v>0</v>
      </c>
      <c r="S1342" s="402">
        <f ca="1">Table66[[#This Row],[Year 1  (Proposed)]]+Table66[[#This Row],[Year 2 (Proposed)]]+Table66[[#This Row],[Year 3 (Proposed)]]+Table66[[#This Row],[Year 4 (Proposed)]]+Table66[[#This Row],[Year 5 (Proposed)]]+Table66[[#This Row],[Year 6 (Proposed)]]</f>
        <v>0</v>
      </c>
      <c r="T1342" s="403" t="b">
        <f ca="1">Table66[[#This Row],[Total Specifed in RFO - N/A]]=Table66[[#This Row],[Total Proposed]]</f>
        <v>1</v>
      </c>
      <c r="U1342" s="439"/>
      <c r="V1342" s="441">
        <f ca="1">Table66[[#This Row],[Year 6 (Specified in RFO) - N/A]]-Table66[[#This Row],[Column1]]</f>
        <v>0</v>
      </c>
    </row>
    <row r="1343" spans="1:22" ht="16.5" thickBot="1">
      <c r="A1343" s="227"/>
      <c r="B1343" s="319"/>
      <c r="C1343" s="319"/>
      <c r="D1343" s="320"/>
      <c r="E1343" s="320"/>
      <c r="F1343" s="190"/>
      <c r="G13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3" s="190"/>
      <c r="I13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3" s="190"/>
      <c r="K13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3" s="190"/>
      <c r="M13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3" s="190"/>
      <c r="O13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3" s="190"/>
      <c r="Q13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3" s="192">
        <f ca="1">Table66[[#This Row],[Year 1 (Specified in RFO) - N/A]]+Table66[[#This Row],[Year 2 (Specified in RFO) - N/A]]+Table66[[#This Row],[Year 3 (Specified in RFO) - N/A]]+Table66[[#This Row],[Year 4 (Specified in RFO) - N/A]]+Table66[[#This Row],[Year 5 (Specified in RFO) - N/A]]+Table66[[#This Row],[Year 6 (Specified in RFO) - N/A]]</f>
        <v>0</v>
      </c>
      <c r="S1343" s="402">
        <f ca="1">Table66[[#This Row],[Year 1  (Proposed)]]+Table66[[#This Row],[Year 2 (Proposed)]]+Table66[[#This Row],[Year 3 (Proposed)]]+Table66[[#This Row],[Year 4 (Proposed)]]+Table66[[#This Row],[Year 5 (Proposed)]]+Table66[[#This Row],[Year 6 (Proposed)]]</f>
        <v>0</v>
      </c>
      <c r="T1343" s="403" t="b">
        <f ca="1">Table66[[#This Row],[Total Specifed in RFO - N/A]]=Table66[[#This Row],[Total Proposed]]</f>
        <v>1</v>
      </c>
      <c r="U1343" s="439"/>
      <c r="V1343" s="441">
        <f ca="1">Table66[[#This Row],[Year 6 (Specified in RFO) - N/A]]-Table66[[#This Row],[Column1]]</f>
        <v>0</v>
      </c>
    </row>
    <row r="1344" spans="1:22" ht="16.5" thickBot="1">
      <c r="A1344" s="227"/>
      <c r="B1344" s="319"/>
      <c r="C1344" s="319"/>
      <c r="D1344" s="320"/>
      <c r="E1344" s="320"/>
      <c r="F1344" s="190"/>
      <c r="G13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4" s="190"/>
      <c r="I13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4" s="190"/>
      <c r="K13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4" s="190"/>
      <c r="M13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4" s="190"/>
      <c r="O13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4" s="190"/>
      <c r="Q13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4" s="192">
        <f ca="1">Table66[[#This Row],[Year 1 (Specified in RFO) - N/A]]+Table66[[#This Row],[Year 2 (Specified in RFO) - N/A]]+Table66[[#This Row],[Year 3 (Specified in RFO) - N/A]]+Table66[[#This Row],[Year 4 (Specified in RFO) - N/A]]+Table66[[#This Row],[Year 5 (Specified in RFO) - N/A]]+Table66[[#This Row],[Year 6 (Specified in RFO) - N/A]]</f>
        <v>0</v>
      </c>
      <c r="S1344" s="402">
        <f ca="1">Table66[[#This Row],[Year 1  (Proposed)]]+Table66[[#This Row],[Year 2 (Proposed)]]+Table66[[#This Row],[Year 3 (Proposed)]]+Table66[[#This Row],[Year 4 (Proposed)]]+Table66[[#This Row],[Year 5 (Proposed)]]+Table66[[#This Row],[Year 6 (Proposed)]]</f>
        <v>0</v>
      </c>
      <c r="T1344" s="403" t="b">
        <f ca="1">Table66[[#This Row],[Total Specifed in RFO - N/A]]=Table66[[#This Row],[Total Proposed]]</f>
        <v>1</v>
      </c>
      <c r="U1344" s="439"/>
      <c r="V1344" s="441">
        <f ca="1">Table66[[#This Row],[Year 6 (Specified in RFO) - N/A]]-Table66[[#This Row],[Column1]]</f>
        <v>0</v>
      </c>
    </row>
    <row r="1345" spans="1:22" ht="16.5" thickBot="1">
      <c r="A1345" s="227"/>
      <c r="B1345" s="319"/>
      <c r="C1345" s="319"/>
      <c r="D1345" s="320"/>
      <c r="E1345" s="320"/>
      <c r="F1345" s="190"/>
      <c r="G13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5" s="190"/>
      <c r="I13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5" s="190"/>
      <c r="K13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5" s="190"/>
      <c r="M13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5" s="190"/>
      <c r="O13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5" s="190"/>
      <c r="Q13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5" s="192">
        <f ca="1">Table66[[#This Row],[Year 1 (Specified in RFO) - N/A]]+Table66[[#This Row],[Year 2 (Specified in RFO) - N/A]]+Table66[[#This Row],[Year 3 (Specified in RFO) - N/A]]+Table66[[#This Row],[Year 4 (Specified in RFO) - N/A]]+Table66[[#This Row],[Year 5 (Specified in RFO) - N/A]]+Table66[[#This Row],[Year 6 (Specified in RFO) - N/A]]</f>
        <v>0</v>
      </c>
      <c r="S1345" s="402">
        <f ca="1">Table66[[#This Row],[Year 1  (Proposed)]]+Table66[[#This Row],[Year 2 (Proposed)]]+Table66[[#This Row],[Year 3 (Proposed)]]+Table66[[#This Row],[Year 4 (Proposed)]]+Table66[[#This Row],[Year 5 (Proposed)]]+Table66[[#This Row],[Year 6 (Proposed)]]</f>
        <v>0</v>
      </c>
      <c r="T1345" s="403" t="b">
        <f ca="1">Table66[[#This Row],[Total Specifed in RFO - N/A]]=Table66[[#This Row],[Total Proposed]]</f>
        <v>1</v>
      </c>
      <c r="U1345" s="439"/>
      <c r="V1345" s="441">
        <f ca="1">Table66[[#This Row],[Year 6 (Specified in RFO) - N/A]]-Table66[[#This Row],[Column1]]</f>
        <v>0</v>
      </c>
    </row>
    <row r="1346" spans="1:22" ht="16.5" thickBot="1">
      <c r="A1346" s="227"/>
      <c r="B1346" s="319"/>
      <c r="C1346" s="319"/>
      <c r="D1346" s="320"/>
      <c r="E1346" s="320"/>
      <c r="F1346" s="190"/>
      <c r="G13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6" s="190"/>
      <c r="I13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6" s="190"/>
      <c r="K13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6" s="190"/>
      <c r="M13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6" s="190"/>
      <c r="O13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6" s="190"/>
      <c r="Q13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6" s="192">
        <f ca="1">Table66[[#This Row],[Year 1 (Specified in RFO) - N/A]]+Table66[[#This Row],[Year 2 (Specified in RFO) - N/A]]+Table66[[#This Row],[Year 3 (Specified in RFO) - N/A]]+Table66[[#This Row],[Year 4 (Specified in RFO) - N/A]]+Table66[[#This Row],[Year 5 (Specified in RFO) - N/A]]+Table66[[#This Row],[Year 6 (Specified in RFO) - N/A]]</f>
        <v>0</v>
      </c>
      <c r="S1346" s="402">
        <f ca="1">Table66[[#This Row],[Year 1  (Proposed)]]+Table66[[#This Row],[Year 2 (Proposed)]]+Table66[[#This Row],[Year 3 (Proposed)]]+Table66[[#This Row],[Year 4 (Proposed)]]+Table66[[#This Row],[Year 5 (Proposed)]]+Table66[[#This Row],[Year 6 (Proposed)]]</f>
        <v>0</v>
      </c>
      <c r="T1346" s="403" t="b">
        <f ca="1">Table66[[#This Row],[Total Specifed in RFO - N/A]]=Table66[[#This Row],[Total Proposed]]</f>
        <v>1</v>
      </c>
      <c r="U1346" s="439"/>
      <c r="V1346" s="441">
        <f ca="1">Table66[[#This Row],[Year 6 (Specified in RFO) - N/A]]-Table66[[#This Row],[Column1]]</f>
        <v>0</v>
      </c>
    </row>
    <row r="1347" spans="1:22" ht="16.5" thickBot="1">
      <c r="A1347" s="227"/>
      <c r="B1347" s="319"/>
      <c r="C1347" s="319"/>
      <c r="D1347" s="320"/>
      <c r="E1347" s="320"/>
      <c r="F1347" s="190"/>
      <c r="G13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7" s="190"/>
      <c r="I13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7" s="190"/>
      <c r="K13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7" s="190"/>
      <c r="M13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7" s="190"/>
      <c r="O13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7" s="190"/>
      <c r="Q13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7" s="192">
        <f ca="1">Table66[[#This Row],[Year 1 (Specified in RFO) - N/A]]+Table66[[#This Row],[Year 2 (Specified in RFO) - N/A]]+Table66[[#This Row],[Year 3 (Specified in RFO) - N/A]]+Table66[[#This Row],[Year 4 (Specified in RFO) - N/A]]+Table66[[#This Row],[Year 5 (Specified in RFO) - N/A]]+Table66[[#This Row],[Year 6 (Specified in RFO) - N/A]]</f>
        <v>0</v>
      </c>
      <c r="S1347" s="402">
        <f ca="1">Table66[[#This Row],[Year 1  (Proposed)]]+Table66[[#This Row],[Year 2 (Proposed)]]+Table66[[#This Row],[Year 3 (Proposed)]]+Table66[[#This Row],[Year 4 (Proposed)]]+Table66[[#This Row],[Year 5 (Proposed)]]+Table66[[#This Row],[Year 6 (Proposed)]]</f>
        <v>0</v>
      </c>
      <c r="T1347" s="403" t="b">
        <f ca="1">Table66[[#This Row],[Total Specifed in RFO - N/A]]=Table66[[#This Row],[Total Proposed]]</f>
        <v>1</v>
      </c>
      <c r="U1347" s="439"/>
      <c r="V1347" s="441">
        <f ca="1">Table66[[#This Row],[Year 6 (Specified in RFO) - N/A]]-Table66[[#This Row],[Column1]]</f>
        <v>0</v>
      </c>
    </row>
    <row r="1348" spans="1:22" ht="16.5" thickBot="1">
      <c r="A1348" s="227"/>
      <c r="B1348" s="319"/>
      <c r="C1348" s="319"/>
      <c r="D1348" s="320"/>
      <c r="E1348" s="320"/>
      <c r="F1348" s="190"/>
      <c r="G13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8" s="190"/>
      <c r="I13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8" s="190"/>
      <c r="K13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8" s="190"/>
      <c r="M13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8" s="190"/>
      <c r="O13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8" s="190"/>
      <c r="Q13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8" s="192">
        <f ca="1">Table66[[#This Row],[Year 1 (Specified in RFO) - N/A]]+Table66[[#This Row],[Year 2 (Specified in RFO) - N/A]]+Table66[[#This Row],[Year 3 (Specified in RFO) - N/A]]+Table66[[#This Row],[Year 4 (Specified in RFO) - N/A]]+Table66[[#This Row],[Year 5 (Specified in RFO) - N/A]]+Table66[[#This Row],[Year 6 (Specified in RFO) - N/A]]</f>
        <v>0</v>
      </c>
      <c r="S1348" s="402">
        <f ca="1">Table66[[#This Row],[Year 1  (Proposed)]]+Table66[[#This Row],[Year 2 (Proposed)]]+Table66[[#This Row],[Year 3 (Proposed)]]+Table66[[#This Row],[Year 4 (Proposed)]]+Table66[[#This Row],[Year 5 (Proposed)]]+Table66[[#This Row],[Year 6 (Proposed)]]</f>
        <v>0</v>
      </c>
      <c r="T1348" s="403" t="b">
        <f ca="1">Table66[[#This Row],[Total Specifed in RFO - N/A]]=Table66[[#This Row],[Total Proposed]]</f>
        <v>1</v>
      </c>
      <c r="U1348" s="439"/>
      <c r="V1348" s="441">
        <f ca="1">Table66[[#This Row],[Year 6 (Specified in RFO) - N/A]]-Table66[[#This Row],[Column1]]</f>
        <v>0</v>
      </c>
    </row>
    <row r="1349" spans="1:22" ht="16.5" thickBot="1">
      <c r="A1349" s="227"/>
      <c r="B1349" s="319"/>
      <c r="C1349" s="319"/>
      <c r="D1349" s="320"/>
      <c r="E1349" s="320"/>
      <c r="F1349" s="190"/>
      <c r="G13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9" s="190"/>
      <c r="I13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9" s="190"/>
      <c r="K13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9" s="190"/>
      <c r="M13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9" s="190"/>
      <c r="O13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9" s="190"/>
      <c r="Q13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9" s="192">
        <f ca="1">Table66[[#This Row],[Year 1 (Specified in RFO) - N/A]]+Table66[[#This Row],[Year 2 (Specified in RFO) - N/A]]+Table66[[#This Row],[Year 3 (Specified in RFO) - N/A]]+Table66[[#This Row],[Year 4 (Specified in RFO) - N/A]]+Table66[[#This Row],[Year 5 (Specified in RFO) - N/A]]+Table66[[#This Row],[Year 6 (Specified in RFO) - N/A]]</f>
        <v>0</v>
      </c>
      <c r="S1349" s="402">
        <f ca="1">Table66[[#This Row],[Year 1  (Proposed)]]+Table66[[#This Row],[Year 2 (Proposed)]]+Table66[[#This Row],[Year 3 (Proposed)]]+Table66[[#This Row],[Year 4 (Proposed)]]+Table66[[#This Row],[Year 5 (Proposed)]]+Table66[[#This Row],[Year 6 (Proposed)]]</f>
        <v>0</v>
      </c>
      <c r="T1349" s="403" t="b">
        <f ca="1">Table66[[#This Row],[Total Specifed in RFO - N/A]]=Table66[[#This Row],[Total Proposed]]</f>
        <v>1</v>
      </c>
      <c r="U1349" s="439"/>
      <c r="V1349" s="441">
        <f ca="1">Table66[[#This Row],[Year 6 (Specified in RFO) - N/A]]-Table66[[#This Row],[Column1]]</f>
        <v>0</v>
      </c>
    </row>
    <row r="1350" spans="1:22" ht="16.5" thickBot="1">
      <c r="A1350" s="227"/>
      <c r="B1350" s="319"/>
      <c r="C1350" s="319"/>
      <c r="D1350" s="320"/>
      <c r="E1350" s="320"/>
      <c r="F1350" s="190"/>
      <c r="G13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0" s="190"/>
      <c r="I13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0" s="190"/>
      <c r="K13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0" s="190"/>
      <c r="M13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0" s="190"/>
      <c r="O13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0" s="190"/>
      <c r="Q13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0" s="192">
        <f ca="1">Table66[[#This Row],[Year 1 (Specified in RFO) - N/A]]+Table66[[#This Row],[Year 2 (Specified in RFO) - N/A]]+Table66[[#This Row],[Year 3 (Specified in RFO) - N/A]]+Table66[[#This Row],[Year 4 (Specified in RFO) - N/A]]+Table66[[#This Row],[Year 5 (Specified in RFO) - N/A]]+Table66[[#This Row],[Year 6 (Specified in RFO) - N/A]]</f>
        <v>0</v>
      </c>
      <c r="S1350" s="402">
        <f ca="1">Table66[[#This Row],[Year 1  (Proposed)]]+Table66[[#This Row],[Year 2 (Proposed)]]+Table66[[#This Row],[Year 3 (Proposed)]]+Table66[[#This Row],[Year 4 (Proposed)]]+Table66[[#This Row],[Year 5 (Proposed)]]+Table66[[#This Row],[Year 6 (Proposed)]]</f>
        <v>0</v>
      </c>
      <c r="T1350" s="403" t="b">
        <f ca="1">Table66[[#This Row],[Total Specifed in RFO - N/A]]=Table66[[#This Row],[Total Proposed]]</f>
        <v>1</v>
      </c>
      <c r="U1350" s="439"/>
      <c r="V1350" s="441">
        <f ca="1">Table66[[#This Row],[Year 6 (Specified in RFO) - N/A]]-Table66[[#This Row],[Column1]]</f>
        <v>0</v>
      </c>
    </row>
    <row r="1351" spans="1:22" ht="16.5" thickBot="1">
      <c r="A1351" s="227"/>
      <c r="B1351" s="319"/>
      <c r="C1351" s="319"/>
      <c r="D1351" s="320"/>
      <c r="E1351" s="320"/>
      <c r="F1351" s="190"/>
      <c r="G13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1" s="190"/>
      <c r="I13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1" s="190"/>
      <c r="K13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1" s="190"/>
      <c r="M13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1" s="190"/>
      <c r="O13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1" s="190"/>
      <c r="Q13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1" s="192">
        <f ca="1">Table66[[#This Row],[Year 1 (Specified in RFO) - N/A]]+Table66[[#This Row],[Year 2 (Specified in RFO) - N/A]]+Table66[[#This Row],[Year 3 (Specified in RFO) - N/A]]+Table66[[#This Row],[Year 4 (Specified in RFO) - N/A]]+Table66[[#This Row],[Year 5 (Specified in RFO) - N/A]]+Table66[[#This Row],[Year 6 (Specified in RFO) - N/A]]</f>
        <v>0</v>
      </c>
      <c r="S1351" s="402">
        <f ca="1">Table66[[#This Row],[Year 1  (Proposed)]]+Table66[[#This Row],[Year 2 (Proposed)]]+Table66[[#This Row],[Year 3 (Proposed)]]+Table66[[#This Row],[Year 4 (Proposed)]]+Table66[[#This Row],[Year 5 (Proposed)]]+Table66[[#This Row],[Year 6 (Proposed)]]</f>
        <v>0</v>
      </c>
      <c r="T1351" s="403" t="b">
        <f ca="1">Table66[[#This Row],[Total Specifed in RFO - N/A]]=Table66[[#This Row],[Total Proposed]]</f>
        <v>1</v>
      </c>
      <c r="U1351" s="439"/>
      <c r="V1351" s="441">
        <f ca="1">Table66[[#This Row],[Year 6 (Specified in RFO) - N/A]]-Table66[[#This Row],[Column1]]</f>
        <v>0</v>
      </c>
    </row>
    <row r="1352" spans="1:22" ht="16.5" thickBot="1">
      <c r="A1352" s="227"/>
      <c r="B1352" s="319"/>
      <c r="C1352" s="319"/>
      <c r="D1352" s="320"/>
      <c r="E1352" s="320"/>
      <c r="F1352" s="190"/>
      <c r="G13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2" s="190"/>
      <c r="I13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2" s="190"/>
      <c r="K13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2" s="190"/>
      <c r="M13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2" s="190"/>
      <c r="O13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2" s="190"/>
      <c r="Q13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2" s="192">
        <f ca="1">Table66[[#This Row],[Year 1 (Specified in RFO) - N/A]]+Table66[[#This Row],[Year 2 (Specified in RFO) - N/A]]+Table66[[#This Row],[Year 3 (Specified in RFO) - N/A]]+Table66[[#This Row],[Year 4 (Specified in RFO) - N/A]]+Table66[[#This Row],[Year 5 (Specified in RFO) - N/A]]+Table66[[#This Row],[Year 6 (Specified in RFO) - N/A]]</f>
        <v>0</v>
      </c>
      <c r="S1352" s="402">
        <f ca="1">Table66[[#This Row],[Year 1  (Proposed)]]+Table66[[#This Row],[Year 2 (Proposed)]]+Table66[[#This Row],[Year 3 (Proposed)]]+Table66[[#This Row],[Year 4 (Proposed)]]+Table66[[#This Row],[Year 5 (Proposed)]]+Table66[[#This Row],[Year 6 (Proposed)]]</f>
        <v>0</v>
      </c>
      <c r="T1352" s="403" t="b">
        <f ca="1">Table66[[#This Row],[Total Specifed in RFO - N/A]]=Table66[[#This Row],[Total Proposed]]</f>
        <v>1</v>
      </c>
      <c r="U1352" s="439"/>
      <c r="V1352" s="441">
        <f ca="1">Table66[[#This Row],[Year 6 (Specified in RFO) - N/A]]-Table66[[#This Row],[Column1]]</f>
        <v>0</v>
      </c>
    </row>
    <row r="1353" spans="1:22" ht="16.5" thickBot="1">
      <c r="A1353" s="227"/>
      <c r="B1353" s="319"/>
      <c r="C1353" s="319"/>
      <c r="D1353" s="320"/>
      <c r="E1353" s="320"/>
      <c r="F1353" s="190"/>
      <c r="G13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3" s="190"/>
      <c r="I13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3" s="190"/>
      <c r="K13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3" s="190"/>
      <c r="M13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3" s="190"/>
      <c r="O13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3" s="190"/>
      <c r="Q13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3" s="192">
        <f ca="1">Table66[[#This Row],[Year 1 (Specified in RFO) - N/A]]+Table66[[#This Row],[Year 2 (Specified in RFO) - N/A]]+Table66[[#This Row],[Year 3 (Specified in RFO) - N/A]]+Table66[[#This Row],[Year 4 (Specified in RFO) - N/A]]+Table66[[#This Row],[Year 5 (Specified in RFO) - N/A]]+Table66[[#This Row],[Year 6 (Specified in RFO) - N/A]]</f>
        <v>0</v>
      </c>
      <c r="S1353" s="402">
        <f ca="1">Table66[[#This Row],[Year 1  (Proposed)]]+Table66[[#This Row],[Year 2 (Proposed)]]+Table66[[#This Row],[Year 3 (Proposed)]]+Table66[[#This Row],[Year 4 (Proposed)]]+Table66[[#This Row],[Year 5 (Proposed)]]+Table66[[#This Row],[Year 6 (Proposed)]]</f>
        <v>0</v>
      </c>
      <c r="T1353" s="403" t="b">
        <f ca="1">Table66[[#This Row],[Total Specifed in RFO - N/A]]=Table66[[#This Row],[Total Proposed]]</f>
        <v>1</v>
      </c>
      <c r="U1353" s="439"/>
      <c r="V1353" s="441">
        <f ca="1">Table66[[#This Row],[Year 6 (Specified in RFO) - N/A]]-Table66[[#This Row],[Column1]]</f>
        <v>0</v>
      </c>
    </row>
    <row r="1354" spans="1:22" ht="16.5" thickBot="1">
      <c r="A1354" s="227"/>
      <c r="B1354" s="319"/>
      <c r="C1354" s="319"/>
      <c r="D1354" s="320"/>
      <c r="E1354" s="320"/>
      <c r="F1354" s="190"/>
      <c r="G13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4" s="190"/>
      <c r="I13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4" s="190"/>
      <c r="K13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4" s="190"/>
      <c r="M13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4" s="190"/>
      <c r="O13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4" s="190"/>
      <c r="Q13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4" s="192">
        <f ca="1">Table66[[#This Row],[Year 1 (Specified in RFO) - N/A]]+Table66[[#This Row],[Year 2 (Specified in RFO) - N/A]]+Table66[[#This Row],[Year 3 (Specified in RFO) - N/A]]+Table66[[#This Row],[Year 4 (Specified in RFO) - N/A]]+Table66[[#This Row],[Year 5 (Specified in RFO) - N/A]]+Table66[[#This Row],[Year 6 (Specified in RFO) - N/A]]</f>
        <v>0</v>
      </c>
      <c r="S1354" s="402">
        <f ca="1">Table66[[#This Row],[Year 1  (Proposed)]]+Table66[[#This Row],[Year 2 (Proposed)]]+Table66[[#This Row],[Year 3 (Proposed)]]+Table66[[#This Row],[Year 4 (Proposed)]]+Table66[[#This Row],[Year 5 (Proposed)]]+Table66[[#This Row],[Year 6 (Proposed)]]</f>
        <v>0</v>
      </c>
      <c r="T1354" s="403" t="b">
        <f ca="1">Table66[[#This Row],[Total Specifed in RFO - N/A]]=Table66[[#This Row],[Total Proposed]]</f>
        <v>1</v>
      </c>
      <c r="U1354" s="439"/>
      <c r="V1354" s="441">
        <f ca="1">Table66[[#This Row],[Year 6 (Specified in RFO) - N/A]]-Table66[[#This Row],[Column1]]</f>
        <v>0</v>
      </c>
    </row>
    <row r="1355" spans="1:22" ht="16.5" thickBot="1">
      <c r="A1355" s="227"/>
      <c r="B1355" s="319"/>
      <c r="C1355" s="319"/>
      <c r="D1355" s="320"/>
      <c r="E1355" s="320"/>
      <c r="F1355" s="190"/>
      <c r="G13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5" s="190"/>
      <c r="I13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5" s="190"/>
      <c r="K13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5" s="190"/>
      <c r="M13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5" s="190"/>
      <c r="O13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5" s="190"/>
      <c r="Q13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5" s="192">
        <f ca="1">Table66[[#This Row],[Year 1 (Specified in RFO) - N/A]]+Table66[[#This Row],[Year 2 (Specified in RFO) - N/A]]+Table66[[#This Row],[Year 3 (Specified in RFO) - N/A]]+Table66[[#This Row],[Year 4 (Specified in RFO) - N/A]]+Table66[[#This Row],[Year 5 (Specified in RFO) - N/A]]+Table66[[#This Row],[Year 6 (Specified in RFO) - N/A]]</f>
        <v>0</v>
      </c>
      <c r="S1355" s="402">
        <f ca="1">Table66[[#This Row],[Year 1  (Proposed)]]+Table66[[#This Row],[Year 2 (Proposed)]]+Table66[[#This Row],[Year 3 (Proposed)]]+Table66[[#This Row],[Year 4 (Proposed)]]+Table66[[#This Row],[Year 5 (Proposed)]]+Table66[[#This Row],[Year 6 (Proposed)]]</f>
        <v>0</v>
      </c>
      <c r="T1355" s="403" t="b">
        <f ca="1">Table66[[#This Row],[Total Specifed in RFO - N/A]]=Table66[[#This Row],[Total Proposed]]</f>
        <v>1</v>
      </c>
      <c r="U1355" s="439"/>
      <c r="V1355" s="441">
        <f ca="1">Table66[[#This Row],[Year 6 (Specified in RFO) - N/A]]-Table66[[#This Row],[Column1]]</f>
        <v>0</v>
      </c>
    </row>
    <row r="1356" spans="1:22" ht="16.5" thickBot="1">
      <c r="A1356" s="227"/>
      <c r="B1356" s="319"/>
      <c r="C1356" s="319"/>
      <c r="D1356" s="320"/>
      <c r="E1356" s="320"/>
      <c r="F1356" s="190"/>
      <c r="G13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6" s="190"/>
      <c r="I13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6" s="190"/>
      <c r="K13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6" s="190"/>
      <c r="M13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6" s="190"/>
      <c r="O13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6" s="190"/>
      <c r="Q13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6" s="192">
        <f ca="1">Table66[[#This Row],[Year 1 (Specified in RFO) - N/A]]+Table66[[#This Row],[Year 2 (Specified in RFO) - N/A]]+Table66[[#This Row],[Year 3 (Specified in RFO) - N/A]]+Table66[[#This Row],[Year 4 (Specified in RFO) - N/A]]+Table66[[#This Row],[Year 5 (Specified in RFO) - N/A]]+Table66[[#This Row],[Year 6 (Specified in RFO) - N/A]]</f>
        <v>0</v>
      </c>
      <c r="S1356" s="402">
        <f ca="1">Table66[[#This Row],[Year 1  (Proposed)]]+Table66[[#This Row],[Year 2 (Proposed)]]+Table66[[#This Row],[Year 3 (Proposed)]]+Table66[[#This Row],[Year 4 (Proposed)]]+Table66[[#This Row],[Year 5 (Proposed)]]+Table66[[#This Row],[Year 6 (Proposed)]]</f>
        <v>0</v>
      </c>
      <c r="T1356" s="403" t="b">
        <f ca="1">Table66[[#This Row],[Total Specifed in RFO - N/A]]=Table66[[#This Row],[Total Proposed]]</f>
        <v>1</v>
      </c>
      <c r="U1356" s="439"/>
      <c r="V1356" s="441">
        <f ca="1">Table66[[#This Row],[Year 6 (Specified in RFO) - N/A]]-Table66[[#This Row],[Column1]]</f>
        <v>0</v>
      </c>
    </row>
    <row r="1357" spans="1:22" ht="16.5" thickBot="1">
      <c r="A1357" s="227"/>
      <c r="B1357" s="319"/>
      <c r="C1357" s="319"/>
      <c r="D1357" s="320"/>
      <c r="E1357" s="320"/>
      <c r="F1357" s="190"/>
      <c r="G13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7" s="190"/>
      <c r="I13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7" s="190"/>
      <c r="K13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7" s="190"/>
      <c r="M13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7" s="190"/>
      <c r="O13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7" s="190"/>
      <c r="Q13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7" s="192">
        <f ca="1">Table66[[#This Row],[Year 1 (Specified in RFO) - N/A]]+Table66[[#This Row],[Year 2 (Specified in RFO) - N/A]]+Table66[[#This Row],[Year 3 (Specified in RFO) - N/A]]+Table66[[#This Row],[Year 4 (Specified in RFO) - N/A]]+Table66[[#This Row],[Year 5 (Specified in RFO) - N/A]]+Table66[[#This Row],[Year 6 (Specified in RFO) - N/A]]</f>
        <v>0</v>
      </c>
      <c r="S1357" s="402">
        <f ca="1">Table66[[#This Row],[Year 1  (Proposed)]]+Table66[[#This Row],[Year 2 (Proposed)]]+Table66[[#This Row],[Year 3 (Proposed)]]+Table66[[#This Row],[Year 4 (Proposed)]]+Table66[[#This Row],[Year 5 (Proposed)]]+Table66[[#This Row],[Year 6 (Proposed)]]</f>
        <v>0</v>
      </c>
      <c r="T1357" s="403" t="b">
        <f ca="1">Table66[[#This Row],[Total Specifed in RFO - N/A]]=Table66[[#This Row],[Total Proposed]]</f>
        <v>1</v>
      </c>
      <c r="U1357" s="439"/>
      <c r="V1357" s="441">
        <f ca="1">Table66[[#This Row],[Year 6 (Specified in RFO) - N/A]]-Table66[[#This Row],[Column1]]</f>
        <v>0</v>
      </c>
    </row>
    <row r="1358" spans="1:22" ht="16.5" thickBot="1">
      <c r="A1358" s="227"/>
      <c r="B1358" s="319"/>
      <c r="C1358" s="319"/>
      <c r="D1358" s="320"/>
      <c r="E1358" s="320"/>
      <c r="F1358" s="190"/>
      <c r="G13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8" s="190"/>
      <c r="I13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8" s="190"/>
      <c r="K13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8" s="190"/>
      <c r="M13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8" s="190"/>
      <c r="O13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8" s="190"/>
      <c r="Q13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8" s="192">
        <f ca="1">Table66[[#This Row],[Year 1 (Specified in RFO) - N/A]]+Table66[[#This Row],[Year 2 (Specified in RFO) - N/A]]+Table66[[#This Row],[Year 3 (Specified in RFO) - N/A]]+Table66[[#This Row],[Year 4 (Specified in RFO) - N/A]]+Table66[[#This Row],[Year 5 (Specified in RFO) - N/A]]+Table66[[#This Row],[Year 6 (Specified in RFO) - N/A]]</f>
        <v>0</v>
      </c>
      <c r="S1358" s="402">
        <f ca="1">Table66[[#This Row],[Year 1  (Proposed)]]+Table66[[#This Row],[Year 2 (Proposed)]]+Table66[[#This Row],[Year 3 (Proposed)]]+Table66[[#This Row],[Year 4 (Proposed)]]+Table66[[#This Row],[Year 5 (Proposed)]]+Table66[[#This Row],[Year 6 (Proposed)]]</f>
        <v>0</v>
      </c>
      <c r="T1358" s="403" t="b">
        <f ca="1">Table66[[#This Row],[Total Specifed in RFO - N/A]]=Table66[[#This Row],[Total Proposed]]</f>
        <v>1</v>
      </c>
      <c r="U1358" s="439"/>
      <c r="V1358" s="441">
        <f ca="1">Table66[[#This Row],[Year 6 (Specified in RFO) - N/A]]-Table66[[#This Row],[Column1]]</f>
        <v>0</v>
      </c>
    </row>
    <row r="1359" spans="1:22" ht="16.5" thickBot="1">
      <c r="A1359" s="227"/>
      <c r="B1359" s="319"/>
      <c r="C1359" s="319"/>
      <c r="D1359" s="320"/>
      <c r="E1359" s="320"/>
      <c r="F1359" s="190"/>
      <c r="G13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9" s="190"/>
      <c r="I13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9" s="190"/>
      <c r="K13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9" s="190"/>
      <c r="M13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9" s="190"/>
      <c r="O13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9" s="190"/>
      <c r="Q13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9" s="192">
        <f ca="1">Table66[[#This Row],[Year 1 (Specified in RFO) - N/A]]+Table66[[#This Row],[Year 2 (Specified in RFO) - N/A]]+Table66[[#This Row],[Year 3 (Specified in RFO) - N/A]]+Table66[[#This Row],[Year 4 (Specified in RFO) - N/A]]+Table66[[#This Row],[Year 5 (Specified in RFO) - N/A]]+Table66[[#This Row],[Year 6 (Specified in RFO) - N/A]]</f>
        <v>0</v>
      </c>
      <c r="S1359" s="402">
        <f ca="1">Table66[[#This Row],[Year 1  (Proposed)]]+Table66[[#This Row],[Year 2 (Proposed)]]+Table66[[#This Row],[Year 3 (Proposed)]]+Table66[[#This Row],[Year 4 (Proposed)]]+Table66[[#This Row],[Year 5 (Proposed)]]+Table66[[#This Row],[Year 6 (Proposed)]]</f>
        <v>0</v>
      </c>
      <c r="T1359" s="403" t="b">
        <f ca="1">Table66[[#This Row],[Total Specifed in RFO - N/A]]=Table66[[#This Row],[Total Proposed]]</f>
        <v>1</v>
      </c>
      <c r="U1359" s="439"/>
      <c r="V1359" s="441">
        <f ca="1">Table66[[#This Row],[Year 6 (Specified in RFO) - N/A]]-Table66[[#This Row],[Column1]]</f>
        <v>0</v>
      </c>
    </row>
    <row r="1360" spans="1:22" ht="16.5" thickBot="1">
      <c r="A1360" s="227"/>
      <c r="B1360" s="319"/>
      <c r="C1360" s="319"/>
      <c r="D1360" s="320"/>
      <c r="E1360" s="320"/>
      <c r="F1360" s="190"/>
      <c r="G13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0" s="190"/>
      <c r="I13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0" s="190"/>
      <c r="K13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0" s="190"/>
      <c r="M13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0" s="190"/>
      <c r="O13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0" s="190"/>
      <c r="Q13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0" s="192">
        <f ca="1">Table66[[#This Row],[Year 1 (Specified in RFO) - N/A]]+Table66[[#This Row],[Year 2 (Specified in RFO) - N/A]]+Table66[[#This Row],[Year 3 (Specified in RFO) - N/A]]+Table66[[#This Row],[Year 4 (Specified in RFO) - N/A]]+Table66[[#This Row],[Year 5 (Specified in RFO) - N/A]]+Table66[[#This Row],[Year 6 (Specified in RFO) - N/A]]</f>
        <v>0</v>
      </c>
      <c r="S1360" s="402">
        <f ca="1">Table66[[#This Row],[Year 1  (Proposed)]]+Table66[[#This Row],[Year 2 (Proposed)]]+Table66[[#This Row],[Year 3 (Proposed)]]+Table66[[#This Row],[Year 4 (Proposed)]]+Table66[[#This Row],[Year 5 (Proposed)]]+Table66[[#This Row],[Year 6 (Proposed)]]</f>
        <v>0</v>
      </c>
      <c r="T1360" s="403" t="b">
        <f ca="1">Table66[[#This Row],[Total Specifed in RFO - N/A]]=Table66[[#This Row],[Total Proposed]]</f>
        <v>1</v>
      </c>
      <c r="U1360" s="439"/>
      <c r="V1360" s="441">
        <f ca="1">Table66[[#This Row],[Year 6 (Specified in RFO) - N/A]]-Table66[[#This Row],[Column1]]</f>
        <v>0</v>
      </c>
    </row>
    <row r="1361" spans="1:22" ht="16.5" thickBot="1">
      <c r="A1361" s="227"/>
      <c r="B1361" s="319"/>
      <c r="C1361" s="319"/>
      <c r="D1361" s="320"/>
      <c r="E1361" s="320"/>
      <c r="F1361" s="190"/>
      <c r="G13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1" s="190"/>
      <c r="I13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1" s="190"/>
      <c r="K13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1" s="190"/>
      <c r="M13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1" s="190"/>
      <c r="O13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1" s="190"/>
      <c r="Q13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1" s="192">
        <f ca="1">Table66[[#This Row],[Year 1 (Specified in RFO) - N/A]]+Table66[[#This Row],[Year 2 (Specified in RFO) - N/A]]+Table66[[#This Row],[Year 3 (Specified in RFO) - N/A]]+Table66[[#This Row],[Year 4 (Specified in RFO) - N/A]]+Table66[[#This Row],[Year 5 (Specified in RFO) - N/A]]+Table66[[#This Row],[Year 6 (Specified in RFO) - N/A]]</f>
        <v>0</v>
      </c>
      <c r="S1361" s="402">
        <f ca="1">Table66[[#This Row],[Year 1  (Proposed)]]+Table66[[#This Row],[Year 2 (Proposed)]]+Table66[[#This Row],[Year 3 (Proposed)]]+Table66[[#This Row],[Year 4 (Proposed)]]+Table66[[#This Row],[Year 5 (Proposed)]]+Table66[[#This Row],[Year 6 (Proposed)]]</f>
        <v>0</v>
      </c>
      <c r="T1361" s="403" t="b">
        <f ca="1">Table66[[#This Row],[Total Specifed in RFO - N/A]]=Table66[[#This Row],[Total Proposed]]</f>
        <v>1</v>
      </c>
      <c r="U1361" s="439"/>
      <c r="V1361" s="441">
        <f ca="1">Table66[[#This Row],[Year 6 (Specified in RFO) - N/A]]-Table66[[#This Row],[Column1]]</f>
        <v>0</v>
      </c>
    </row>
    <row r="1362" spans="1:22" ht="16.5" thickBot="1">
      <c r="A1362" s="227"/>
      <c r="B1362" s="319"/>
      <c r="C1362" s="319"/>
      <c r="D1362" s="320"/>
      <c r="E1362" s="320"/>
      <c r="F1362" s="190"/>
      <c r="G13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2" s="190"/>
      <c r="I13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2" s="190"/>
      <c r="K13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2" s="190"/>
      <c r="M13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2" s="190"/>
      <c r="O13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2" s="190"/>
      <c r="Q13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2" s="192">
        <f ca="1">Table66[[#This Row],[Year 1 (Specified in RFO) - N/A]]+Table66[[#This Row],[Year 2 (Specified in RFO) - N/A]]+Table66[[#This Row],[Year 3 (Specified in RFO) - N/A]]+Table66[[#This Row],[Year 4 (Specified in RFO) - N/A]]+Table66[[#This Row],[Year 5 (Specified in RFO) - N/A]]+Table66[[#This Row],[Year 6 (Specified in RFO) - N/A]]</f>
        <v>0</v>
      </c>
      <c r="S1362" s="402">
        <f ca="1">Table66[[#This Row],[Year 1  (Proposed)]]+Table66[[#This Row],[Year 2 (Proposed)]]+Table66[[#This Row],[Year 3 (Proposed)]]+Table66[[#This Row],[Year 4 (Proposed)]]+Table66[[#This Row],[Year 5 (Proposed)]]+Table66[[#This Row],[Year 6 (Proposed)]]</f>
        <v>0</v>
      </c>
      <c r="T1362" s="403" t="b">
        <f ca="1">Table66[[#This Row],[Total Specifed in RFO - N/A]]=Table66[[#This Row],[Total Proposed]]</f>
        <v>1</v>
      </c>
      <c r="U1362" s="439"/>
      <c r="V1362" s="441">
        <f ca="1">Table66[[#This Row],[Year 6 (Specified in RFO) - N/A]]-Table66[[#This Row],[Column1]]</f>
        <v>0</v>
      </c>
    </row>
    <row r="1363" spans="1:22" ht="16.5" thickBot="1">
      <c r="A1363" s="227"/>
      <c r="B1363" s="319"/>
      <c r="C1363" s="319"/>
      <c r="D1363" s="320"/>
      <c r="E1363" s="320"/>
      <c r="F1363" s="190"/>
      <c r="G13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3" s="190"/>
      <c r="I13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3" s="190"/>
      <c r="K13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3" s="190"/>
      <c r="M13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3" s="190"/>
      <c r="O13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3" s="190"/>
      <c r="Q13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3" s="192">
        <f ca="1">Table66[[#This Row],[Year 1 (Specified in RFO) - N/A]]+Table66[[#This Row],[Year 2 (Specified in RFO) - N/A]]+Table66[[#This Row],[Year 3 (Specified in RFO) - N/A]]+Table66[[#This Row],[Year 4 (Specified in RFO) - N/A]]+Table66[[#This Row],[Year 5 (Specified in RFO) - N/A]]+Table66[[#This Row],[Year 6 (Specified in RFO) - N/A]]</f>
        <v>0</v>
      </c>
      <c r="S1363" s="402">
        <f ca="1">Table66[[#This Row],[Year 1  (Proposed)]]+Table66[[#This Row],[Year 2 (Proposed)]]+Table66[[#This Row],[Year 3 (Proposed)]]+Table66[[#This Row],[Year 4 (Proposed)]]+Table66[[#This Row],[Year 5 (Proposed)]]+Table66[[#This Row],[Year 6 (Proposed)]]</f>
        <v>0</v>
      </c>
      <c r="T1363" s="403" t="b">
        <f ca="1">Table66[[#This Row],[Total Specifed in RFO - N/A]]=Table66[[#This Row],[Total Proposed]]</f>
        <v>1</v>
      </c>
      <c r="U1363" s="439"/>
      <c r="V1363" s="441">
        <f ca="1">Table66[[#This Row],[Year 6 (Specified in RFO) - N/A]]-Table66[[#This Row],[Column1]]</f>
        <v>0</v>
      </c>
    </row>
    <row r="1364" spans="1:22" ht="16.5" thickBot="1">
      <c r="A1364" s="227"/>
      <c r="B1364" s="319"/>
      <c r="C1364" s="319"/>
      <c r="D1364" s="320"/>
      <c r="E1364" s="320"/>
      <c r="F1364" s="190"/>
      <c r="G13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4" s="190"/>
      <c r="I13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4" s="190"/>
      <c r="K13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4" s="190"/>
      <c r="M13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4" s="190"/>
      <c r="O13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4" s="190"/>
      <c r="Q13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4" s="192">
        <f ca="1">Table66[[#This Row],[Year 1 (Specified in RFO) - N/A]]+Table66[[#This Row],[Year 2 (Specified in RFO) - N/A]]+Table66[[#This Row],[Year 3 (Specified in RFO) - N/A]]+Table66[[#This Row],[Year 4 (Specified in RFO) - N/A]]+Table66[[#This Row],[Year 5 (Specified in RFO) - N/A]]+Table66[[#This Row],[Year 6 (Specified in RFO) - N/A]]</f>
        <v>0</v>
      </c>
      <c r="S1364" s="402">
        <f ca="1">Table66[[#This Row],[Year 1  (Proposed)]]+Table66[[#This Row],[Year 2 (Proposed)]]+Table66[[#This Row],[Year 3 (Proposed)]]+Table66[[#This Row],[Year 4 (Proposed)]]+Table66[[#This Row],[Year 5 (Proposed)]]+Table66[[#This Row],[Year 6 (Proposed)]]</f>
        <v>0</v>
      </c>
      <c r="T1364" s="403" t="b">
        <f ca="1">Table66[[#This Row],[Total Specifed in RFO - N/A]]=Table66[[#This Row],[Total Proposed]]</f>
        <v>1</v>
      </c>
      <c r="U1364" s="439"/>
      <c r="V1364" s="441">
        <f ca="1">Table66[[#This Row],[Year 6 (Specified in RFO) - N/A]]-Table66[[#This Row],[Column1]]</f>
        <v>0</v>
      </c>
    </row>
    <row r="1365" spans="1:22" ht="16.5" thickBot="1">
      <c r="A1365" s="227"/>
      <c r="B1365" s="319"/>
      <c r="C1365" s="319"/>
      <c r="D1365" s="320"/>
      <c r="E1365" s="320"/>
      <c r="F1365" s="190"/>
      <c r="G13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5" s="190"/>
      <c r="I13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5" s="190"/>
      <c r="K13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5" s="190"/>
      <c r="M13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5" s="190"/>
      <c r="O13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5" s="190"/>
      <c r="Q13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5" s="192">
        <f ca="1">Table66[[#This Row],[Year 1 (Specified in RFO) - N/A]]+Table66[[#This Row],[Year 2 (Specified in RFO) - N/A]]+Table66[[#This Row],[Year 3 (Specified in RFO) - N/A]]+Table66[[#This Row],[Year 4 (Specified in RFO) - N/A]]+Table66[[#This Row],[Year 5 (Specified in RFO) - N/A]]+Table66[[#This Row],[Year 6 (Specified in RFO) - N/A]]</f>
        <v>0</v>
      </c>
      <c r="S1365" s="402">
        <f ca="1">Table66[[#This Row],[Year 1  (Proposed)]]+Table66[[#This Row],[Year 2 (Proposed)]]+Table66[[#This Row],[Year 3 (Proposed)]]+Table66[[#This Row],[Year 4 (Proposed)]]+Table66[[#This Row],[Year 5 (Proposed)]]+Table66[[#This Row],[Year 6 (Proposed)]]</f>
        <v>0</v>
      </c>
      <c r="T1365" s="403" t="b">
        <f ca="1">Table66[[#This Row],[Total Specifed in RFO - N/A]]=Table66[[#This Row],[Total Proposed]]</f>
        <v>1</v>
      </c>
      <c r="U1365" s="439"/>
      <c r="V1365" s="441">
        <f ca="1">Table66[[#This Row],[Year 6 (Specified in RFO) - N/A]]-Table66[[#This Row],[Column1]]</f>
        <v>0</v>
      </c>
    </row>
    <row r="1366" spans="1:22" ht="16.5" thickBot="1">
      <c r="A1366" s="227"/>
      <c r="B1366" s="319"/>
      <c r="C1366" s="319"/>
      <c r="D1366" s="320"/>
      <c r="E1366" s="320"/>
      <c r="F1366" s="190"/>
      <c r="G13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6" s="190"/>
      <c r="I13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6" s="190"/>
      <c r="K13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6" s="190"/>
      <c r="M13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6" s="190"/>
      <c r="O13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6" s="190"/>
      <c r="Q13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6" s="192">
        <f ca="1">Table66[[#This Row],[Year 1 (Specified in RFO) - N/A]]+Table66[[#This Row],[Year 2 (Specified in RFO) - N/A]]+Table66[[#This Row],[Year 3 (Specified in RFO) - N/A]]+Table66[[#This Row],[Year 4 (Specified in RFO) - N/A]]+Table66[[#This Row],[Year 5 (Specified in RFO) - N/A]]+Table66[[#This Row],[Year 6 (Specified in RFO) - N/A]]</f>
        <v>0</v>
      </c>
      <c r="S1366" s="402">
        <f ca="1">Table66[[#This Row],[Year 1  (Proposed)]]+Table66[[#This Row],[Year 2 (Proposed)]]+Table66[[#This Row],[Year 3 (Proposed)]]+Table66[[#This Row],[Year 4 (Proposed)]]+Table66[[#This Row],[Year 5 (Proposed)]]+Table66[[#This Row],[Year 6 (Proposed)]]</f>
        <v>0</v>
      </c>
      <c r="T1366" s="403" t="b">
        <f ca="1">Table66[[#This Row],[Total Specifed in RFO - N/A]]=Table66[[#This Row],[Total Proposed]]</f>
        <v>1</v>
      </c>
      <c r="U1366" s="439"/>
      <c r="V1366" s="441">
        <f ca="1">Table66[[#This Row],[Year 6 (Specified in RFO) - N/A]]-Table66[[#This Row],[Column1]]</f>
        <v>0</v>
      </c>
    </row>
    <row r="1367" spans="1:22" ht="16.5" thickBot="1">
      <c r="A1367" s="227"/>
      <c r="B1367" s="319"/>
      <c r="C1367" s="319"/>
      <c r="D1367" s="320"/>
      <c r="E1367" s="320"/>
      <c r="F1367" s="190"/>
      <c r="G13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7" s="190"/>
      <c r="I13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7" s="190"/>
      <c r="K13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7" s="190"/>
      <c r="M13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7" s="190"/>
      <c r="O13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7" s="190"/>
      <c r="Q13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7" s="192">
        <f ca="1">Table66[[#This Row],[Year 1 (Specified in RFO) - N/A]]+Table66[[#This Row],[Year 2 (Specified in RFO) - N/A]]+Table66[[#This Row],[Year 3 (Specified in RFO) - N/A]]+Table66[[#This Row],[Year 4 (Specified in RFO) - N/A]]+Table66[[#This Row],[Year 5 (Specified in RFO) - N/A]]+Table66[[#This Row],[Year 6 (Specified in RFO) - N/A]]</f>
        <v>0</v>
      </c>
      <c r="S1367" s="402">
        <f ca="1">Table66[[#This Row],[Year 1  (Proposed)]]+Table66[[#This Row],[Year 2 (Proposed)]]+Table66[[#This Row],[Year 3 (Proposed)]]+Table66[[#This Row],[Year 4 (Proposed)]]+Table66[[#This Row],[Year 5 (Proposed)]]+Table66[[#This Row],[Year 6 (Proposed)]]</f>
        <v>0</v>
      </c>
      <c r="T1367" s="403" t="b">
        <f ca="1">Table66[[#This Row],[Total Specifed in RFO - N/A]]=Table66[[#This Row],[Total Proposed]]</f>
        <v>1</v>
      </c>
      <c r="U1367" s="439"/>
      <c r="V1367" s="441">
        <f ca="1">Table66[[#This Row],[Year 6 (Specified in RFO) - N/A]]-Table66[[#This Row],[Column1]]</f>
        <v>0</v>
      </c>
    </row>
    <row r="1368" spans="1:22" ht="16.5" thickBot="1">
      <c r="A1368" s="227"/>
      <c r="B1368" s="319"/>
      <c r="C1368" s="319"/>
      <c r="D1368" s="320"/>
      <c r="E1368" s="320"/>
      <c r="F1368" s="190"/>
      <c r="G13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8" s="190"/>
      <c r="I13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8" s="190"/>
      <c r="K13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8" s="190"/>
      <c r="M13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8" s="190"/>
      <c r="O13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8" s="190"/>
      <c r="Q13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8" s="192">
        <f ca="1">Table66[[#This Row],[Year 1 (Specified in RFO) - N/A]]+Table66[[#This Row],[Year 2 (Specified in RFO) - N/A]]+Table66[[#This Row],[Year 3 (Specified in RFO) - N/A]]+Table66[[#This Row],[Year 4 (Specified in RFO) - N/A]]+Table66[[#This Row],[Year 5 (Specified in RFO) - N/A]]+Table66[[#This Row],[Year 6 (Specified in RFO) - N/A]]</f>
        <v>0</v>
      </c>
      <c r="S1368" s="402">
        <f ca="1">Table66[[#This Row],[Year 1  (Proposed)]]+Table66[[#This Row],[Year 2 (Proposed)]]+Table66[[#This Row],[Year 3 (Proposed)]]+Table66[[#This Row],[Year 4 (Proposed)]]+Table66[[#This Row],[Year 5 (Proposed)]]+Table66[[#This Row],[Year 6 (Proposed)]]</f>
        <v>0</v>
      </c>
      <c r="T1368" s="403" t="b">
        <f ca="1">Table66[[#This Row],[Total Specifed in RFO - N/A]]=Table66[[#This Row],[Total Proposed]]</f>
        <v>1</v>
      </c>
      <c r="U1368" s="439"/>
      <c r="V1368" s="441">
        <f ca="1">Table66[[#This Row],[Year 6 (Specified in RFO) - N/A]]-Table66[[#This Row],[Column1]]</f>
        <v>0</v>
      </c>
    </row>
    <row r="1369" spans="1:22" ht="16.5" thickBot="1">
      <c r="A1369" s="227"/>
      <c r="B1369" s="319"/>
      <c r="C1369" s="319"/>
      <c r="D1369" s="320"/>
      <c r="E1369" s="320"/>
      <c r="F1369" s="190"/>
      <c r="G13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9" s="190"/>
      <c r="I13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9" s="190"/>
      <c r="K13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9" s="190"/>
      <c r="M13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9" s="190"/>
      <c r="O13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9" s="190"/>
      <c r="Q13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9" s="192">
        <f ca="1">Table66[[#This Row],[Year 1 (Specified in RFO) - N/A]]+Table66[[#This Row],[Year 2 (Specified in RFO) - N/A]]+Table66[[#This Row],[Year 3 (Specified in RFO) - N/A]]+Table66[[#This Row],[Year 4 (Specified in RFO) - N/A]]+Table66[[#This Row],[Year 5 (Specified in RFO) - N/A]]+Table66[[#This Row],[Year 6 (Specified in RFO) - N/A]]</f>
        <v>0</v>
      </c>
      <c r="S1369" s="402">
        <f ca="1">Table66[[#This Row],[Year 1  (Proposed)]]+Table66[[#This Row],[Year 2 (Proposed)]]+Table66[[#This Row],[Year 3 (Proposed)]]+Table66[[#This Row],[Year 4 (Proposed)]]+Table66[[#This Row],[Year 5 (Proposed)]]+Table66[[#This Row],[Year 6 (Proposed)]]</f>
        <v>0</v>
      </c>
      <c r="T1369" s="403" t="b">
        <f ca="1">Table66[[#This Row],[Total Specifed in RFO - N/A]]=Table66[[#This Row],[Total Proposed]]</f>
        <v>1</v>
      </c>
      <c r="U1369" s="439"/>
      <c r="V1369" s="441">
        <f ca="1">Table66[[#This Row],[Year 6 (Specified in RFO) - N/A]]-Table66[[#This Row],[Column1]]</f>
        <v>0</v>
      </c>
    </row>
    <row r="1370" spans="1:22" ht="16.5" thickBot="1">
      <c r="A1370" s="227"/>
      <c r="B1370" s="319"/>
      <c r="C1370" s="319"/>
      <c r="D1370" s="320"/>
      <c r="E1370" s="320"/>
      <c r="F1370" s="190"/>
      <c r="G13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0" s="190"/>
      <c r="I13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0" s="190"/>
      <c r="K13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0" s="190"/>
      <c r="M13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0" s="190"/>
      <c r="O13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0" s="190"/>
      <c r="Q13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0" s="192">
        <f ca="1">Table66[[#This Row],[Year 1 (Specified in RFO) - N/A]]+Table66[[#This Row],[Year 2 (Specified in RFO) - N/A]]+Table66[[#This Row],[Year 3 (Specified in RFO) - N/A]]+Table66[[#This Row],[Year 4 (Specified in RFO) - N/A]]+Table66[[#This Row],[Year 5 (Specified in RFO) - N/A]]+Table66[[#This Row],[Year 6 (Specified in RFO) - N/A]]</f>
        <v>0</v>
      </c>
      <c r="S1370" s="402">
        <f ca="1">Table66[[#This Row],[Year 1  (Proposed)]]+Table66[[#This Row],[Year 2 (Proposed)]]+Table66[[#This Row],[Year 3 (Proposed)]]+Table66[[#This Row],[Year 4 (Proposed)]]+Table66[[#This Row],[Year 5 (Proposed)]]+Table66[[#This Row],[Year 6 (Proposed)]]</f>
        <v>0</v>
      </c>
      <c r="T1370" s="403" t="b">
        <f ca="1">Table66[[#This Row],[Total Specifed in RFO - N/A]]=Table66[[#This Row],[Total Proposed]]</f>
        <v>1</v>
      </c>
      <c r="U1370" s="439"/>
      <c r="V1370" s="441">
        <f ca="1">Table66[[#This Row],[Year 6 (Specified in RFO) - N/A]]-Table66[[#This Row],[Column1]]</f>
        <v>0</v>
      </c>
    </row>
    <row r="1371" spans="1:22" ht="16.5" thickBot="1">
      <c r="A1371" s="227"/>
      <c r="B1371" s="319"/>
      <c r="C1371" s="319"/>
      <c r="D1371" s="320"/>
      <c r="E1371" s="320"/>
      <c r="F1371" s="190"/>
      <c r="G13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1" s="190"/>
      <c r="I13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1" s="190"/>
      <c r="K13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1" s="190"/>
      <c r="M13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1" s="190"/>
      <c r="O13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1" s="190"/>
      <c r="Q13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1" s="192">
        <f ca="1">Table66[[#This Row],[Year 1 (Specified in RFO) - N/A]]+Table66[[#This Row],[Year 2 (Specified in RFO) - N/A]]+Table66[[#This Row],[Year 3 (Specified in RFO) - N/A]]+Table66[[#This Row],[Year 4 (Specified in RFO) - N/A]]+Table66[[#This Row],[Year 5 (Specified in RFO) - N/A]]+Table66[[#This Row],[Year 6 (Specified in RFO) - N/A]]</f>
        <v>0</v>
      </c>
      <c r="S1371" s="402">
        <f ca="1">Table66[[#This Row],[Year 1  (Proposed)]]+Table66[[#This Row],[Year 2 (Proposed)]]+Table66[[#This Row],[Year 3 (Proposed)]]+Table66[[#This Row],[Year 4 (Proposed)]]+Table66[[#This Row],[Year 5 (Proposed)]]+Table66[[#This Row],[Year 6 (Proposed)]]</f>
        <v>0</v>
      </c>
      <c r="T1371" s="403" t="b">
        <f ca="1">Table66[[#This Row],[Total Specifed in RFO - N/A]]=Table66[[#This Row],[Total Proposed]]</f>
        <v>1</v>
      </c>
      <c r="U1371" s="439"/>
      <c r="V1371" s="441">
        <f ca="1">Table66[[#This Row],[Year 6 (Specified in RFO) - N/A]]-Table66[[#This Row],[Column1]]</f>
        <v>0</v>
      </c>
    </row>
    <row r="1372" spans="1:22" ht="16.5" thickBot="1">
      <c r="A1372" s="227"/>
      <c r="B1372" s="319"/>
      <c r="C1372" s="319"/>
      <c r="D1372" s="320"/>
      <c r="E1372" s="320"/>
      <c r="F1372" s="190"/>
      <c r="G13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2" s="190"/>
      <c r="I13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2" s="190"/>
      <c r="K13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2" s="190"/>
      <c r="M13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2" s="190"/>
      <c r="O13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2" s="190"/>
      <c r="Q13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2" s="192">
        <f ca="1">Table66[[#This Row],[Year 1 (Specified in RFO) - N/A]]+Table66[[#This Row],[Year 2 (Specified in RFO) - N/A]]+Table66[[#This Row],[Year 3 (Specified in RFO) - N/A]]+Table66[[#This Row],[Year 4 (Specified in RFO) - N/A]]+Table66[[#This Row],[Year 5 (Specified in RFO) - N/A]]+Table66[[#This Row],[Year 6 (Specified in RFO) - N/A]]</f>
        <v>0</v>
      </c>
      <c r="S1372" s="402">
        <f ca="1">Table66[[#This Row],[Year 1  (Proposed)]]+Table66[[#This Row],[Year 2 (Proposed)]]+Table66[[#This Row],[Year 3 (Proposed)]]+Table66[[#This Row],[Year 4 (Proposed)]]+Table66[[#This Row],[Year 5 (Proposed)]]+Table66[[#This Row],[Year 6 (Proposed)]]</f>
        <v>0</v>
      </c>
      <c r="T1372" s="403" t="b">
        <f ca="1">Table66[[#This Row],[Total Specifed in RFO - N/A]]=Table66[[#This Row],[Total Proposed]]</f>
        <v>1</v>
      </c>
      <c r="U1372" s="439"/>
      <c r="V1372" s="441">
        <f ca="1">Table66[[#This Row],[Year 6 (Specified in RFO) - N/A]]-Table66[[#This Row],[Column1]]</f>
        <v>0</v>
      </c>
    </row>
    <row r="1373" spans="1:22" ht="16.5" thickBot="1">
      <c r="A1373" s="227"/>
      <c r="B1373" s="319"/>
      <c r="C1373" s="319"/>
      <c r="D1373" s="320"/>
      <c r="E1373" s="320"/>
      <c r="F1373" s="190"/>
      <c r="G13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3" s="190"/>
      <c r="I13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3" s="190"/>
      <c r="K13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3" s="190"/>
      <c r="M13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3" s="190"/>
      <c r="O13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3" s="190"/>
      <c r="Q13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3" s="192">
        <f ca="1">Table66[[#This Row],[Year 1 (Specified in RFO) - N/A]]+Table66[[#This Row],[Year 2 (Specified in RFO) - N/A]]+Table66[[#This Row],[Year 3 (Specified in RFO) - N/A]]+Table66[[#This Row],[Year 4 (Specified in RFO) - N/A]]+Table66[[#This Row],[Year 5 (Specified in RFO) - N/A]]+Table66[[#This Row],[Year 6 (Specified in RFO) - N/A]]</f>
        <v>0</v>
      </c>
      <c r="S1373" s="402">
        <f ca="1">Table66[[#This Row],[Year 1  (Proposed)]]+Table66[[#This Row],[Year 2 (Proposed)]]+Table66[[#This Row],[Year 3 (Proposed)]]+Table66[[#This Row],[Year 4 (Proposed)]]+Table66[[#This Row],[Year 5 (Proposed)]]+Table66[[#This Row],[Year 6 (Proposed)]]</f>
        <v>0</v>
      </c>
      <c r="T1373" s="403" t="b">
        <f ca="1">Table66[[#This Row],[Total Specifed in RFO - N/A]]=Table66[[#This Row],[Total Proposed]]</f>
        <v>1</v>
      </c>
      <c r="U1373" s="439"/>
      <c r="V1373" s="441">
        <f ca="1">Table66[[#This Row],[Year 6 (Specified in RFO) - N/A]]-Table66[[#This Row],[Column1]]</f>
        <v>0</v>
      </c>
    </row>
    <row r="1374" spans="1:22" ht="16.5" thickBot="1">
      <c r="A1374" s="227"/>
      <c r="B1374" s="319"/>
      <c r="C1374" s="319"/>
      <c r="D1374" s="320"/>
      <c r="E1374" s="320"/>
      <c r="F1374" s="190"/>
      <c r="G13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4" s="190"/>
      <c r="I13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4" s="190"/>
      <c r="K13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4" s="190"/>
      <c r="M13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4" s="190"/>
      <c r="O13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4" s="190"/>
      <c r="Q13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4" s="192">
        <f ca="1">Table66[[#This Row],[Year 1 (Specified in RFO) - N/A]]+Table66[[#This Row],[Year 2 (Specified in RFO) - N/A]]+Table66[[#This Row],[Year 3 (Specified in RFO) - N/A]]+Table66[[#This Row],[Year 4 (Specified in RFO) - N/A]]+Table66[[#This Row],[Year 5 (Specified in RFO) - N/A]]+Table66[[#This Row],[Year 6 (Specified in RFO) - N/A]]</f>
        <v>0</v>
      </c>
      <c r="S1374" s="402">
        <f ca="1">Table66[[#This Row],[Year 1  (Proposed)]]+Table66[[#This Row],[Year 2 (Proposed)]]+Table66[[#This Row],[Year 3 (Proposed)]]+Table66[[#This Row],[Year 4 (Proposed)]]+Table66[[#This Row],[Year 5 (Proposed)]]+Table66[[#This Row],[Year 6 (Proposed)]]</f>
        <v>0</v>
      </c>
      <c r="T1374" s="403" t="b">
        <f ca="1">Table66[[#This Row],[Total Specifed in RFO - N/A]]=Table66[[#This Row],[Total Proposed]]</f>
        <v>1</v>
      </c>
      <c r="U1374" s="439"/>
      <c r="V1374" s="441">
        <f ca="1">Table66[[#This Row],[Year 6 (Specified in RFO) - N/A]]-Table66[[#This Row],[Column1]]</f>
        <v>0</v>
      </c>
    </row>
    <row r="1375" spans="1:22" ht="16.5" thickBot="1">
      <c r="A1375" s="227"/>
      <c r="B1375" s="319"/>
      <c r="C1375" s="319"/>
      <c r="D1375" s="320"/>
      <c r="E1375" s="320"/>
      <c r="F1375" s="190"/>
      <c r="G13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5" s="190"/>
      <c r="I13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5" s="190"/>
      <c r="K13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5" s="190"/>
      <c r="M13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5" s="190"/>
      <c r="O13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5" s="190"/>
      <c r="Q13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5" s="192">
        <f ca="1">Table66[[#This Row],[Year 1 (Specified in RFO) - N/A]]+Table66[[#This Row],[Year 2 (Specified in RFO) - N/A]]+Table66[[#This Row],[Year 3 (Specified in RFO) - N/A]]+Table66[[#This Row],[Year 4 (Specified in RFO) - N/A]]+Table66[[#This Row],[Year 5 (Specified in RFO) - N/A]]+Table66[[#This Row],[Year 6 (Specified in RFO) - N/A]]</f>
        <v>0</v>
      </c>
      <c r="S1375" s="402">
        <f ca="1">Table66[[#This Row],[Year 1  (Proposed)]]+Table66[[#This Row],[Year 2 (Proposed)]]+Table66[[#This Row],[Year 3 (Proposed)]]+Table66[[#This Row],[Year 4 (Proposed)]]+Table66[[#This Row],[Year 5 (Proposed)]]+Table66[[#This Row],[Year 6 (Proposed)]]</f>
        <v>0</v>
      </c>
      <c r="T1375" s="403" t="b">
        <f ca="1">Table66[[#This Row],[Total Specifed in RFO - N/A]]=Table66[[#This Row],[Total Proposed]]</f>
        <v>1</v>
      </c>
      <c r="U1375" s="439"/>
      <c r="V1375" s="441">
        <f ca="1">Table66[[#This Row],[Year 6 (Specified in RFO) - N/A]]-Table66[[#This Row],[Column1]]</f>
        <v>0</v>
      </c>
    </row>
    <row r="1376" spans="1:22" ht="16.5" thickBot="1">
      <c r="A1376" s="227"/>
      <c r="B1376" s="319"/>
      <c r="C1376" s="319"/>
      <c r="D1376" s="320"/>
      <c r="E1376" s="320"/>
      <c r="F1376" s="190"/>
      <c r="G13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6" s="190"/>
      <c r="I13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6" s="190"/>
      <c r="K13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6" s="190"/>
      <c r="M13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6" s="190"/>
      <c r="O13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6" s="190"/>
      <c r="Q13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6" s="192">
        <f ca="1">Table66[[#This Row],[Year 1 (Specified in RFO) - N/A]]+Table66[[#This Row],[Year 2 (Specified in RFO) - N/A]]+Table66[[#This Row],[Year 3 (Specified in RFO) - N/A]]+Table66[[#This Row],[Year 4 (Specified in RFO) - N/A]]+Table66[[#This Row],[Year 5 (Specified in RFO) - N/A]]+Table66[[#This Row],[Year 6 (Specified in RFO) - N/A]]</f>
        <v>0</v>
      </c>
      <c r="S1376" s="402">
        <f ca="1">Table66[[#This Row],[Year 1  (Proposed)]]+Table66[[#This Row],[Year 2 (Proposed)]]+Table66[[#This Row],[Year 3 (Proposed)]]+Table66[[#This Row],[Year 4 (Proposed)]]+Table66[[#This Row],[Year 5 (Proposed)]]+Table66[[#This Row],[Year 6 (Proposed)]]</f>
        <v>0</v>
      </c>
      <c r="T1376" s="403" t="b">
        <f ca="1">Table66[[#This Row],[Total Specifed in RFO - N/A]]=Table66[[#This Row],[Total Proposed]]</f>
        <v>1</v>
      </c>
      <c r="U1376" s="439"/>
      <c r="V1376" s="441">
        <f ca="1">Table66[[#This Row],[Year 6 (Specified in RFO) - N/A]]-Table66[[#This Row],[Column1]]</f>
        <v>0</v>
      </c>
    </row>
    <row r="1377" spans="1:22" ht="16.5" thickBot="1">
      <c r="A1377" s="227"/>
      <c r="B1377" s="319"/>
      <c r="C1377" s="319"/>
      <c r="D1377" s="320"/>
      <c r="E1377" s="320"/>
      <c r="F1377" s="190"/>
      <c r="G13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7" s="190"/>
      <c r="I13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7" s="190"/>
      <c r="K13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7" s="190"/>
      <c r="M13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7" s="190"/>
      <c r="O13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7" s="190"/>
      <c r="Q13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7" s="192">
        <f ca="1">Table66[[#This Row],[Year 1 (Specified in RFO) - N/A]]+Table66[[#This Row],[Year 2 (Specified in RFO) - N/A]]+Table66[[#This Row],[Year 3 (Specified in RFO) - N/A]]+Table66[[#This Row],[Year 4 (Specified in RFO) - N/A]]+Table66[[#This Row],[Year 5 (Specified in RFO) - N/A]]+Table66[[#This Row],[Year 6 (Specified in RFO) - N/A]]</f>
        <v>0</v>
      </c>
      <c r="S1377" s="402">
        <f ca="1">Table66[[#This Row],[Year 1  (Proposed)]]+Table66[[#This Row],[Year 2 (Proposed)]]+Table66[[#This Row],[Year 3 (Proposed)]]+Table66[[#This Row],[Year 4 (Proposed)]]+Table66[[#This Row],[Year 5 (Proposed)]]+Table66[[#This Row],[Year 6 (Proposed)]]</f>
        <v>0</v>
      </c>
      <c r="T1377" s="403" t="b">
        <f ca="1">Table66[[#This Row],[Total Specifed in RFO - N/A]]=Table66[[#This Row],[Total Proposed]]</f>
        <v>1</v>
      </c>
      <c r="U1377" s="439"/>
      <c r="V1377" s="441">
        <f ca="1">Table66[[#This Row],[Year 6 (Specified in RFO) - N/A]]-Table66[[#This Row],[Column1]]</f>
        <v>0</v>
      </c>
    </row>
    <row r="1378" spans="1:22" ht="16.5" thickBot="1">
      <c r="A1378" s="227"/>
      <c r="B1378" s="319"/>
      <c r="C1378" s="319"/>
      <c r="D1378" s="320"/>
      <c r="E1378" s="320"/>
      <c r="F1378" s="190"/>
      <c r="G13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8" s="190"/>
      <c r="I13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8" s="190"/>
      <c r="K13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8" s="190"/>
      <c r="M13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8" s="190"/>
      <c r="O13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8" s="190"/>
      <c r="Q13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8" s="192">
        <f ca="1">Table66[[#This Row],[Year 1 (Specified in RFO) - N/A]]+Table66[[#This Row],[Year 2 (Specified in RFO) - N/A]]+Table66[[#This Row],[Year 3 (Specified in RFO) - N/A]]+Table66[[#This Row],[Year 4 (Specified in RFO) - N/A]]+Table66[[#This Row],[Year 5 (Specified in RFO) - N/A]]+Table66[[#This Row],[Year 6 (Specified in RFO) - N/A]]</f>
        <v>0</v>
      </c>
      <c r="S1378" s="402">
        <f ca="1">Table66[[#This Row],[Year 1  (Proposed)]]+Table66[[#This Row],[Year 2 (Proposed)]]+Table66[[#This Row],[Year 3 (Proposed)]]+Table66[[#This Row],[Year 4 (Proposed)]]+Table66[[#This Row],[Year 5 (Proposed)]]+Table66[[#This Row],[Year 6 (Proposed)]]</f>
        <v>0</v>
      </c>
      <c r="T1378" s="403" t="b">
        <f ca="1">Table66[[#This Row],[Total Specifed in RFO - N/A]]=Table66[[#This Row],[Total Proposed]]</f>
        <v>1</v>
      </c>
      <c r="U1378" s="439"/>
      <c r="V1378" s="441">
        <f ca="1">Table66[[#This Row],[Year 6 (Specified in RFO) - N/A]]-Table66[[#This Row],[Column1]]</f>
        <v>0</v>
      </c>
    </row>
    <row r="1379" spans="1:22" ht="16.5" thickBot="1">
      <c r="A1379" s="227"/>
      <c r="B1379" s="319"/>
      <c r="C1379" s="319"/>
      <c r="D1379" s="320"/>
      <c r="E1379" s="320"/>
      <c r="F1379" s="190"/>
      <c r="G13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9" s="190"/>
      <c r="I13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9" s="190"/>
      <c r="K13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9" s="190"/>
      <c r="M13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9" s="190"/>
      <c r="O13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9" s="190"/>
      <c r="Q13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9" s="192">
        <f ca="1">Table66[[#This Row],[Year 1 (Specified in RFO) - N/A]]+Table66[[#This Row],[Year 2 (Specified in RFO) - N/A]]+Table66[[#This Row],[Year 3 (Specified in RFO) - N/A]]+Table66[[#This Row],[Year 4 (Specified in RFO) - N/A]]+Table66[[#This Row],[Year 5 (Specified in RFO) - N/A]]+Table66[[#This Row],[Year 6 (Specified in RFO) - N/A]]</f>
        <v>0</v>
      </c>
      <c r="S1379" s="402">
        <f ca="1">Table66[[#This Row],[Year 1  (Proposed)]]+Table66[[#This Row],[Year 2 (Proposed)]]+Table66[[#This Row],[Year 3 (Proposed)]]+Table66[[#This Row],[Year 4 (Proposed)]]+Table66[[#This Row],[Year 5 (Proposed)]]+Table66[[#This Row],[Year 6 (Proposed)]]</f>
        <v>0</v>
      </c>
      <c r="T1379" s="403" t="b">
        <f ca="1">Table66[[#This Row],[Total Specifed in RFO - N/A]]=Table66[[#This Row],[Total Proposed]]</f>
        <v>1</v>
      </c>
      <c r="U1379" s="439"/>
      <c r="V1379" s="441">
        <f ca="1">Table66[[#This Row],[Year 6 (Specified in RFO) - N/A]]-Table66[[#This Row],[Column1]]</f>
        <v>0</v>
      </c>
    </row>
    <row r="1380" spans="1:22" ht="16.5" thickBot="1">
      <c r="A1380" s="227"/>
      <c r="B1380" s="319"/>
      <c r="C1380" s="319"/>
      <c r="D1380" s="320"/>
      <c r="E1380" s="320"/>
      <c r="F1380" s="190"/>
      <c r="G13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0" s="190"/>
      <c r="I13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0" s="190"/>
      <c r="K13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0" s="190"/>
      <c r="M13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0" s="190"/>
      <c r="O13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0" s="190"/>
      <c r="Q13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0" s="192">
        <f ca="1">Table66[[#This Row],[Year 1 (Specified in RFO) - N/A]]+Table66[[#This Row],[Year 2 (Specified in RFO) - N/A]]+Table66[[#This Row],[Year 3 (Specified in RFO) - N/A]]+Table66[[#This Row],[Year 4 (Specified in RFO) - N/A]]+Table66[[#This Row],[Year 5 (Specified in RFO) - N/A]]+Table66[[#This Row],[Year 6 (Specified in RFO) - N/A]]</f>
        <v>0</v>
      </c>
      <c r="S1380" s="402">
        <f ca="1">Table66[[#This Row],[Year 1  (Proposed)]]+Table66[[#This Row],[Year 2 (Proposed)]]+Table66[[#This Row],[Year 3 (Proposed)]]+Table66[[#This Row],[Year 4 (Proposed)]]+Table66[[#This Row],[Year 5 (Proposed)]]+Table66[[#This Row],[Year 6 (Proposed)]]</f>
        <v>0</v>
      </c>
      <c r="T1380" s="403" t="b">
        <f ca="1">Table66[[#This Row],[Total Specifed in RFO - N/A]]=Table66[[#This Row],[Total Proposed]]</f>
        <v>1</v>
      </c>
      <c r="U1380" s="439"/>
      <c r="V1380" s="441">
        <f ca="1">Table66[[#This Row],[Year 6 (Specified in RFO) - N/A]]-Table66[[#This Row],[Column1]]</f>
        <v>0</v>
      </c>
    </row>
    <row r="1381" spans="1:22" ht="16.5" thickBot="1">
      <c r="A1381" s="227"/>
      <c r="B1381" s="319"/>
      <c r="C1381" s="319"/>
      <c r="D1381" s="320"/>
      <c r="E1381" s="320"/>
      <c r="F1381" s="190"/>
      <c r="G13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1" s="190"/>
      <c r="I13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1" s="190"/>
      <c r="K13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1" s="190"/>
      <c r="M13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1" s="190"/>
      <c r="O13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1" s="190"/>
      <c r="Q13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1" s="192">
        <f ca="1">Table66[[#This Row],[Year 1 (Specified in RFO) - N/A]]+Table66[[#This Row],[Year 2 (Specified in RFO) - N/A]]+Table66[[#This Row],[Year 3 (Specified in RFO) - N/A]]+Table66[[#This Row],[Year 4 (Specified in RFO) - N/A]]+Table66[[#This Row],[Year 5 (Specified in RFO) - N/A]]+Table66[[#This Row],[Year 6 (Specified in RFO) - N/A]]</f>
        <v>0</v>
      </c>
      <c r="S1381" s="402">
        <f ca="1">Table66[[#This Row],[Year 1  (Proposed)]]+Table66[[#This Row],[Year 2 (Proposed)]]+Table66[[#This Row],[Year 3 (Proposed)]]+Table66[[#This Row],[Year 4 (Proposed)]]+Table66[[#This Row],[Year 5 (Proposed)]]+Table66[[#This Row],[Year 6 (Proposed)]]</f>
        <v>0</v>
      </c>
      <c r="T1381" s="403" t="b">
        <f ca="1">Table66[[#This Row],[Total Specifed in RFO - N/A]]=Table66[[#This Row],[Total Proposed]]</f>
        <v>1</v>
      </c>
      <c r="U1381" s="439"/>
      <c r="V1381" s="441">
        <f ca="1">Table66[[#This Row],[Year 6 (Specified in RFO) - N/A]]-Table66[[#This Row],[Column1]]</f>
        <v>0</v>
      </c>
    </row>
    <row r="1382" spans="1:22" ht="16.5" thickBot="1">
      <c r="A1382" s="227"/>
      <c r="B1382" s="319"/>
      <c r="C1382" s="319"/>
      <c r="D1382" s="320"/>
      <c r="E1382" s="320"/>
      <c r="F1382" s="190"/>
      <c r="G13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2" s="190"/>
      <c r="I13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2" s="190"/>
      <c r="K13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2" s="190"/>
      <c r="M13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2" s="190"/>
      <c r="O13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2" s="190"/>
      <c r="Q13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2" s="192">
        <f ca="1">Table66[[#This Row],[Year 1 (Specified in RFO) - N/A]]+Table66[[#This Row],[Year 2 (Specified in RFO) - N/A]]+Table66[[#This Row],[Year 3 (Specified in RFO) - N/A]]+Table66[[#This Row],[Year 4 (Specified in RFO) - N/A]]+Table66[[#This Row],[Year 5 (Specified in RFO) - N/A]]+Table66[[#This Row],[Year 6 (Specified in RFO) - N/A]]</f>
        <v>0</v>
      </c>
      <c r="S1382" s="402">
        <f ca="1">Table66[[#This Row],[Year 1  (Proposed)]]+Table66[[#This Row],[Year 2 (Proposed)]]+Table66[[#This Row],[Year 3 (Proposed)]]+Table66[[#This Row],[Year 4 (Proposed)]]+Table66[[#This Row],[Year 5 (Proposed)]]+Table66[[#This Row],[Year 6 (Proposed)]]</f>
        <v>0</v>
      </c>
      <c r="T1382" s="403" t="b">
        <f ca="1">Table66[[#This Row],[Total Specifed in RFO - N/A]]=Table66[[#This Row],[Total Proposed]]</f>
        <v>1</v>
      </c>
      <c r="U1382" s="439"/>
      <c r="V1382" s="441">
        <f ca="1">Table66[[#This Row],[Year 6 (Specified in RFO) - N/A]]-Table66[[#This Row],[Column1]]</f>
        <v>0</v>
      </c>
    </row>
    <row r="1383" spans="1:22" ht="16.5" thickBot="1">
      <c r="A1383" s="227"/>
      <c r="B1383" s="319"/>
      <c r="C1383" s="319"/>
      <c r="D1383" s="320"/>
      <c r="E1383" s="320"/>
      <c r="F1383" s="190"/>
      <c r="G13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3" s="190"/>
      <c r="I13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3" s="190"/>
      <c r="K13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3" s="190"/>
      <c r="M13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3" s="190"/>
      <c r="O13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3" s="190"/>
      <c r="Q13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3" s="192">
        <f ca="1">Table66[[#This Row],[Year 1 (Specified in RFO) - N/A]]+Table66[[#This Row],[Year 2 (Specified in RFO) - N/A]]+Table66[[#This Row],[Year 3 (Specified in RFO) - N/A]]+Table66[[#This Row],[Year 4 (Specified in RFO) - N/A]]+Table66[[#This Row],[Year 5 (Specified in RFO) - N/A]]+Table66[[#This Row],[Year 6 (Specified in RFO) - N/A]]</f>
        <v>0</v>
      </c>
      <c r="S1383" s="402">
        <f ca="1">Table66[[#This Row],[Year 1  (Proposed)]]+Table66[[#This Row],[Year 2 (Proposed)]]+Table66[[#This Row],[Year 3 (Proposed)]]+Table66[[#This Row],[Year 4 (Proposed)]]+Table66[[#This Row],[Year 5 (Proposed)]]+Table66[[#This Row],[Year 6 (Proposed)]]</f>
        <v>0</v>
      </c>
      <c r="T1383" s="403" t="b">
        <f ca="1">Table66[[#This Row],[Total Specifed in RFO - N/A]]=Table66[[#This Row],[Total Proposed]]</f>
        <v>1</v>
      </c>
      <c r="U1383" s="439"/>
      <c r="V1383" s="441">
        <f ca="1">Table66[[#This Row],[Year 6 (Specified in RFO) - N/A]]-Table66[[#This Row],[Column1]]</f>
        <v>0</v>
      </c>
    </row>
    <row r="1384" spans="1:22" ht="16.5" thickBot="1">
      <c r="A1384" s="227"/>
      <c r="B1384" s="319"/>
      <c r="C1384" s="319"/>
      <c r="D1384" s="320"/>
      <c r="E1384" s="320"/>
      <c r="F1384" s="190"/>
      <c r="G13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4" s="190"/>
      <c r="I13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4" s="190"/>
      <c r="K13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4" s="190"/>
      <c r="M13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4" s="190"/>
      <c r="O13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4" s="190"/>
      <c r="Q13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4" s="192">
        <f ca="1">Table66[[#This Row],[Year 1 (Specified in RFO) - N/A]]+Table66[[#This Row],[Year 2 (Specified in RFO) - N/A]]+Table66[[#This Row],[Year 3 (Specified in RFO) - N/A]]+Table66[[#This Row],[Year 4 (Specified in RFO) - N/A]]+Table66[[#This Row],[Year 5 (Specified in RFO) - N/A]]+Table66[[#This Row],[Year 6 (Specified in RFO) - N/A]]</f>
        <v>0</v>
      </c>
      <c r="S1384" s="402">
        <f ca="1">Table66[[#This Row],[Year 1  (Proposed)]]+Table66[[#This Row],[Year 2 (Proposed)]]+Table66[[#This Row],[Year 3 (Proposed)]]+Table66[[#This Row],[Year 4 (Proposed)]]+Table66[[#This Row],[Year 5 (Proposed)]]+Table66[[#This Row],[Year 6 (Proposed)]]</f>
        <v>0</v>
      </c>
      <c r="T1384" s="403" t="b">
        <f ca="1">Table66[[#This Row],[Total Specifed in RFO - N/A]]=Table66[[#This Row],[Total Proposed]]</f>
        <v>1</v>
      </c>
      <c r="U1384" s="439"/>
      <c r="V1384" s="441">
        <f ca="1">Table66[[#This Row],[Year 6 (Specified in RFO) - N/A]]-Table66[[#This Row],[Column1]]</f>
        <v>0</v>
      </c>
    </row>
    <row r="1385" spans="1:22" ht="16.5" thickBot="1">
      <c r="A1385" s="227"/>
      <c r="B1385" s="319"/>
      <c r="C1385" s="319"/>
      <c r="D1385" s="320"/>
      <c r="E1385" s="320"/>
      <c r="F1385" s="190"/>
      <c r="G13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5" s="190"/>
      <c r="I13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5" s="190"/>
      <c r="K13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5" s="190"/>
      <c r="M13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5" s="190"/>
      <c r="O13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5" s="190"/>
      <c r="Q13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5" s="192">
        <f ca="1">Table66[[#This Row],[Year 1 (Specified in RFO) - N/A]]+Table66[[#This Row],[Year 2 (Specified in RFO) - N/A]]+Table66[[#This Row],[Year 3 (Specified in RFO) - N/A]]+Table66[[#This Row],[Year 4 (Specified in RFO) - N/A]]+Table66[[#This Row],[Year 5 (Specified in RFO) - N/A]]+Table66[[#This Row],[Year 6 (Specified in RFO) - N/A]]</f>
        <v>0</v>
      </c>
      <c r="S1385" s="402">
        <f ca="1">Table66[[#This Row],[Year 1  (Proposed)]]+Table66[[#This Row],[Year 2 (Proposed)]]+Table66[[#This Row],[Year 3 (Proposed)]]+Table66[[#This Row],[Year 4 (Proposed)]]+Table66[[#This Row],[Year 5 (Proposed)]]+Table66[[#This Row],[Year 6 (Proposed)]]</f>
        <v>0</v>
      </c>
      <c r="T1385" s="403" t="b">
        <f ca="1">Table66[[#This Row],[Total Specifed in RFO - N/A]]=Table66[[#This Row],[Total Proposed]]</f>
        <v>1</v>
      </c>
      <c r="U1385" s="439"/>
      <c r="V1385" s="441">
        <f ca="1">Table66[[#This Row],[Year 6 (Specified in RFO) - N/A]]-Table66[[#This Row],[Column1]]</f>
        <v>0</v>
      </c>
    </row>
    <row r="1386" spans="1:22" ht="16.5" thickBot="1">
      <c r="A1386" s="227"/>
      <c r="B1386" s="319"/>
      <c r="C1386" s="319"/>
      <c r="D1386" s="320"/>
      <c r="E1386" s="320"/>
      <c r="F1386" s="190"/>
      <c r="G13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6" s="190"/>
      <c r="I13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6" s="190"/>
      <c r="K13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6" s="190"/>
      <c r="M13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6" s="190"/>
      <c r="O13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6" s="190"/>
      <c r="Q13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6" s="192">
        <f ca="1">Table66[[#This Row],[Year 1 (Specified in RFO) - N/A]]+Table66[[#This Row],[Year 2 (Specified in RFO) - N/A]]+Table66[[#This Row],[Year 3 (Specified in RFO) - N/A]]+Table66[[#This Row],[Year 4 (Specified in RFO) - N/A]]+Table66[[#This Row],[Year 5 (Specified in RFO) - N/A]]+Table66[[#This Row],[Year 6 (Specified in RFO) - N/A]]</f>
        <v>0</v>
      </c>
      <c r="S1386" s="402">
        <f ca="1">Table66[[#This Row],[Year 1  (Proposed)]]+Table66[[#This Row],[Year 2 (Proposed)]]+Table66[[#This Row],[Year 3 (Proposed)]]+Table66[[#This Row],[Year 4 (Proposed)]]+Table66[[#This Row],[Year 5 (Proposed)]]+Table66[[#This Row],[Year 6 (Proposed)]]</f>
        <v>0</v>
      </c>
      <c r="T1386" s="403" t="b">
        <f ca="1">Table66[[#This Row],[Total Specifed in RFO - N/A]]=Table66[[#This Row],[Total Proposed]]</f>
        <v>1</v>
      </c>
      <c r="U1386" s="439"/>
      <c r="V1386" s="441">
        <f ca="1">Table66[[#This Row],[Year 6 (Specified in RFO) - N/A]]-Table66[[#This Row],[Column1]]</f>
        <v>0</v>
      </c>
    </row>
    <row r="1387" spans="1:22" ht="16.5" thickBot="1">
      <c r="A1387" s="227"/>
      <c r="B1387" s="319"/>
      <c r="C1387" s="319"/>
      <c r="D1387" s="320"/>
      <c r="E1387" s="320"/>
      <c r="F1387" s="190"/>
      <c r="G13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7" s="190"/>
      <c r="I13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7" s="190"/>
      <c r="K13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7" s="190"/>
      <c r="M13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7" s="190"/>
      <c r="O13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7" s="190"/>
      <c r="Q13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7" s="192">
        <f ca="1">Table66[[#This Row],[Year 1 (Specified in RFO) - N/A]]+Table66[[#This Row],[Year 2 (Specified in RFO) - N/A]]+Table66[[#This Row],[Year 3 (Specified in RFO) - N/A]]+Table66[[#This Row],[Year 4 (Specified in RFO) - N/A]]+Table66[[#This Row],[Year 5 (Specified in RFO) - N/A]]+Table66[[#This Row],[Year 6 (Specified in RFO) - N/A]]</f>
        <v>0</v>
      </c>
      <c r="S1387" s="402">
        <f ca="1">Table66[[#This Row],[Year 1  (Proposed)]]+Table66[[#This Row],[Year 2 (Proposed)]]+Table66[[#This Row],[Year 3 (Proposed)]]+Table66[[#This Row],[Year 4 (Proposed)]]+Table66[[#This Row],[Year 5 (Proposed)]]+Table66[[#This Row],[Year 6 (Proposed)]]</f>
        <v>0</v>
      </c>
      <c r="T1387" s="403" t="b">
        <f ca="1">Table66[[#This Row],[Total Specifed in RFO - N/A]]=Table66[[#This Row],[Total Proposed]]</f>
        <v>1</v>
      </c>
      <c r="U1387" s="439"/>
      <c r="V1387" s="441">
        <f ca="1">Table66[[#This Row],[Year 6 (Specified in RFO) - N/A]]-Table66[[#This Row],[Column1]]</f>
        <v>0</v>
      </c>
    </row>
    <row r="1388" spans="1:22" ht="16.5" thickBot="1">
      <c r="A1388" s="227"/>
      <c r="B1388" s="319"/>
      <c r="C1388" s="319"/>
      <c r="D1388" s="320"/>
      <c r="E1388" s="320"/>
      <c r="F1388" s="190"/>
      <c r="G13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8" s="190"/>
      <c r="I13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8" s="190"/>
      <c r="K13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8" s="190"/>
      <c r="M13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8" s="190"/>
      <c r="O13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8" s="190"/>
      <c r="Q13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8" s="192">
        <f ca="1">Table66[[#This Row],[Year 1 (Specified in RFO) - N/A]]+Table66[[#This Row],[Year 2 (Specified in RFO) - N/A]]+Table66[[#This Row],[Year 3 (Specified in RFO) - N/A]]+Table66[[#This Row],[Year 4 (Specified in RFO) - N/A]]+Table66[[#This Row],[Year 5 (Specified in RFO) - N/A]]+Table66[[#This Row],[Year 6 (Specified in RFO) - N/A]]</f>
        <v>0</v>
      </c>
      <c r="S1388" s="402">
        <f ca="1">Table66[[#This Row],[Year 1  (Proposed)]]+Table66[[#This Row],[Year 2 (Proposed)]]+Table66[[#This Row],[Year 3 (Proposed)]]+Table66[[#This Row],[Year 4 (Proposed)]]+Table66[[#This Row],[Year 5 (Proposed)]]+Table66[[#This Row],[Year 6 (Proposed)]]</f>
        <v>0</v>
      </c>
      <c r="T1388" s="403" t="b">
        <f ca="1">Table66[[#This Row],[Total Specifed in RFO - N/A]]=Table66[[#This Row],[Total Proposed]]</f>
        <v>1</v>
      </c>
      <c r="U1388" s="439"/>
      <c r="V1388" s="441">
        <f ca="1">Table66[[#This Row],[Year 6 (Specified in RFO) - N/A]]-Table66[[#This Row],[Column1]]</f>
        <v>0</v>
      </c>
    </row>
    <row r="1389" spans="1:22" ht="16.5" thickBot="1">
      <c r="A1389" s="227"/>
      <c r="B1389" s="319"/>
      <c r="C1389" s="319"/>
      <c r="D1389" s="320"/>
      <c r="E1389" s="320"/>
      <c r="F1389" s="190"/>
      <c r="G13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9" s="190"/>
      <c r="I13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9" s="190"/>
      <c r="K13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9" s="190"/>
      <c r="M13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9" s="190"/>
      <c r="O13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9" s="190"/>
      <c r="Q13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9" s="192">
        <f ca="1">Table66[[#This Row],[Year 1 (Specified in RFO) - N/A]]+Table66[[#This Row],[Year 2 (Specified in RFO) - N/A]]+Table66[[#This Row],[Year 3 (Specified in RFO) - N/A]]+Table66[[#This Row],[Year 4 (Specified in RFO) - N/A]]+Table66[[#This Row],[Year 5 (Specified in RFO) - N/A]]+Table66[[#This Row],[Year 6 (Specified in RFO) - N/A]]</f>
        <v>0</v>
      </c>
      <c r="S1389" s="402">
        <f ca="1">Table66[[#This Row],[Year 1  (Proposed)]]+Table66[[#This Row],[Year 2 (Proposed)]]+Table66[[#This Row],[Year 3 (Proposed)]]+Table66[[#This Row],[Year 4 (Proposed)]]+Table66[[#This Row],[Year 5 (Proposed)]]+Table66[[#This Row],[Year 6 (Proposed)]]</f>
        <v>0</v>
      </c>
      <c r="T1389" s="403" t="b">
        <f ca="1">Table66[[#This Row],[Total Specifed in RFO - N/A]]=Table66[[#This Row],[Total Proposed]]</f>
        <v>1</v>
      </c>
      <c r="U1389" s="439"/>
      <c r="V1389" s="441">
        <f ca="1">Table66[[#This Row],[Year 6 (Specified in RFO) - N/A]]-Table66[[#This Row],[Column1]]</f>
        <v>0</v>
      </c>
    </row>
    <row r="1390" spans="1:22" ht="16.5" thickBot="1">
      <c r="A1390" s="227"/>
      <c r="B1390" s="319"/>
      <c r="C1390" s="319"/>
      <c r="D1390" s="320"/>
      <c r="E1390" s="320"/>
      <c r="F1390" s="190"/>
      <c r="G13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0" s="190"/>
      <c r="I13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0" s="190"/>
      <c r="K13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0" s="190"/>
      <c r="M13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0" s="190"/>
      <c r="O13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0" s="190"/>
      <c r="Q13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0" s="192">
        <f ca="1">Table66[[#This Row],[Year 1 (Specified in RFO) - N/A]]+Table66[[#This Row],[Year 2 (Specified in RFO) - N/A]]+Table66[[#This Row],[Year 3 (Specified in RFO) - N/A]]+Table66[[#This Row],[Year 4 (Specified in RFO) - N/A]]+Table66[[#This Row],[Year 5 (Specified in RFO) - N/A]]+Table66[[#This Row],[Year 6 (Specified in RFO) - N/A]]</f>
        <v>0</v>
      </c>
      <c r="S1390" s="402">
        <f ca="1">Table66[[#This Row],[Year 1  (Proposed)]]+Table66[[#This Row],[Year 2 (Proposed)]]+Table66[[#This Row],[Year 3 (Proposed)]]+Table66[[#This Row],[Year 4 (Proposed)]]+Table66[[#This Row],[Year 5 (Proposed)]]+Table66[[#This Row],[Year 6 (Proposed)]]</f>
        <v>0</v>
      </c>
      <c r="T1390" s="403" t="b">
        <f ca="1">Table66[[#This Row],[Total Specifed in RFO - N/A]]=Table66[[#This Row],[Total Proposed]]</f>
        <v>1</v>
      </c>
      <c r="U1390" s="439"/>
      <c r="V1390" s="441">
        <f ca="1">Table66[[#This Row],[Year 6 (Specified in RFO) - N/A]]-Table66[[#This Row],[Column1]]</f>
        <v>0</v>
      </c>
    </row>
    <row r="1391" spans="1:22" ht="16.5" thickBot="1">
      <c r="A1391" s="227"/>
      <c r="B1391" s="319"/>
      <c r="C1391" s="319"/>
      <c r="D1391" s="320"/>
      <c r="E1391" s="320"/>
      <c r="F1391" s="190"/>
      <c r="G13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1" s="190"/>
      <c r="I13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1" s="190"/>
      <c r="K13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1" s="190"/>
      <c r="M13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1" s="190"/>
      <c r="O13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1" s="190"/>
      <c r="Q13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1" s="192">
        <f ca="1">Table66[[#This Row],[Year 1 (Specified in RFO) - N/A]]+Table66[[#This Row],[Year 2 (Specified in RFO) - N/A]]+Table66[[#This Row],[Year 3 (Specified in RFO) - N/A]]+Table66[[#This Row],[Year 4 (Specified in RFO) - N/A]]+Table66[[#This Row],[Year 5 (Specified in RFO) - N/A]]+Table66[[#This Row],[Year 6 (Specified in RFO) - N/A]]</f>
        <v>0</v>
      </c>
      <c r="S1391" s="402">
        <f ca="1">Table66[[#This Row],[Year 1  (Proposed)]]+Table66[[#This Row],[Year 2 (Proposed)]]+Table66[[#This Row],[Year 3 (Proposed)]]+Table66[[#This Row],[Year 4 (Proposed)]]+Table66[[#This Row],[Year 5 (Proposed)]]+Table66[[#This Row],[Year 6 (Proposed)]]</f>
        <v>0</v>
      </c>
      <c r="T1391" s="403" t="b">
        <f ca="1">Table66[[#This Row],[Total Specifed in RFO - N/A]]=Table66[[#This Row],[Total Proposed]]</f>
        <v>1</v>
      </c>
      <c r="U1391" s="439"/>
      <c r="V1391" s="441">
        <f ca="1">Table66[[#This Row],[Year 6 (Specified in RFO) - N/A]]-Table66[[#This Row],[Column1]]</f>
        <v>0</v>
      </c>
    </row>
    <row r="1392" spans="1:22" ht="16.5" thickBot="1">
      <c r="A1392" s="227"/>
      <c r="B1392" s="319"/>
      <c r="C1392" s="319"/>
      <c r="D1392" s="320"/>
      <c r="E1392" s="320"/>
      <c r="F1392" s="190"/>
      <c r="G13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2" s="190"/>
      <c r="I13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2" s="190"/>
      <c r="K13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2" s="190"/>
      <c r="M13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2" s="190"/>
      <c r="O13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2" s="190"/>
      <c r="Q13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2" s="192">
        <f ca="1">Table66[[#This Row],[Year 1 (Specified in RFO) - N/A]]+Table66[[#This Row],[Year 2 (Specified in RFO) - N/A]]+Table66[[#This Row],[Year 3 (Specified in RFO) - N/A]]+Table66[[#This Row],[Year 4 (Specified in RFO) - N/A]]+Table66[[#This Row],[Year 5 (Specified in RFO) - N/A]]+Table66[[#This Row],[Year 6 (Specified in RFO) - N/A]]</f>
        <v>0</v>
      </c>
      <c r="S1392" s="402">
        <f ca="1">Table66[[#This Row],[Year 1  (Proposed)]]+Table66[[#This Row],[Year 2 (Proposed)]]+Table66[[#This Row],[Year 3 (Proposed)]]+Table66[[#This Row],[Year 4 (Proposed)]]+Table66[[#This Row],[Year 5 (Proposed)]]+Table66[[#This Row],[Year 6 (Proposed)]]</f>
        <v>0</v>
      </c>
      <c r="T1392" s="403" t="b">
        <f ca="1">Table66[[#This Row],[Total Specifed in RFO - N/A]]=Table66[[#This Row],[Total Proposed]]</f>
        <v>1</v>
      </c>
      <c r="U1392" s="439"/>
      <c r="V1392" s="441">
        <f ca="1">Table66[[#This Row],[Year 6 (Specified in RFO) - N/A]]-Table66[[#This Row],[Column1]]</f>
        <v>0</v>
      </c>
    </row>
    <row r="1393" spans="1:22" ht="16.5" thickBot="1">
      <c r="A1393" s="227"/>
      <c r="B1393" s="319"/>
      <c r="C1393" s="319"/>
      <c r="D1393" s="320"/>
      <c r="E1393" s="320"/>
      <c r="F1393" s="190"/>
      <c r="G13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3" s="190"/>
      <c r="I13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3" s="190"/>
      <c r="K13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3" s="190"/>
      <c r="M13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3" s="190"/>
      <c r="O13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3" s="190"/>
      <c r="Q13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3" s="192">
        <f ca="1">Table66[[#This Row],[Year 1 (Specified in RFO) - N/A]]+Table66[[#This Row],[Year 2 (Specified in RFO) - N/A]]+Table66[[#This Row],[Year 3 (Specified in RFO) - N/A]]+Table66[[#This Row],[Year 4 (Specified in RFO) - N/A]]+Table66[[#This Row],[Year 5 (Specified in RFO) - N/A]]+Table66[[#This Row],[Year 6 (Specified in RFO) - N/A]]</f>
        <v>0</v>
      </c>
      <c r="S1393" s="402">
        <f ca="1">Table66[[#This Row],[Year 1  (Proposed)]]+Table66[[#This Row],[Year 2 (Proposed)]]+Table66[[#This Row],[Year 3 (Proposed)]]+Table66[[#This Row],[Year 4 (Proposed)]]+Table66[[#This Row],[Year 5 (Proposed)]]+Table66[[#This Row],[Year 6 (Proposed)]]</f>
        <v>0</v>
      </c>
      <c r="T1393" s="403" t="b">
        <f ca="1">Table66[[#This Row],[Total Specifed in RFO - N/A]]=Table66[[#This Row],[Total Proposed]]</f>
        <v>1</v>
      </c>
      <c r="U1393" s="439"/>
      <c r="V1393" s="441">
        <f ca="1">Table66[[#This Row],[Year 6 (Specified in RFO) - N/A]]-Table66[[#This Row],[Column1]]</f>
        <v>0</v>
      </c>
    </row>
    <row r="1394" spans="1:22" ht="16.5" thickBot="1">
      <c r="A1394" s="227"/>
      <c r="B1394" s="319"/>
      <c r="C1394" s="319"/>
      <c r="D1394" s="320"/>
      <c r="E1394" s="320"/>
      <c r="F1394" s="190"/>
      <c r="G13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4" s="190"/>
      <c r="I13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4" s="190"/>
      <c r="K13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4" s="190"/>
      <c r="M13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4" s="190"/>
      <c r="O13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4" s="190"/>
      <c r="Q13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4" s="192">
        <f ca="1">Table66[[#This Row],[Year 1 (Specified in RFO) - N/A]]+Table66[[#This Row],[Year 2 (Specified in RFO) - N/A]]+Table66[[#This Row],[Year 3 (Specified in RFO) - N/A]]+Table66[[#This Row],[Year 4 (Specified in RFO) - N/A]]+Table66[[#This Row],[Year 5 (Specified in RFO) - N/A]]+Table66[[#This Row],[Year 6 (Specified in RFO) - N/A]]</f>
        <v>0</v>
      </c>
      <c r="S1394" s="402">
        <f ca="1">Table66[[#This Row],[Year 1  (Proposed)]]+Table66[[#This Row],[Year 2 (Proposed)]]+Table66[[#This Row],[Year 3 (Proposed)]]+Table66[[#This Row],[Year 4 (Proposed)]]+Table66[[#This Row],[Year 5 (Proposed)]]+Table66[[#This Row],[Year 6 (Proposed)]]</f>
        <v>0</v>
      </c>
      <c r="T1394" s="403" t="b">
        <f ca="1">Table66[[#This Row],[Total Specifed in RFO - N/A]]=Table66[[#This Row],[Total Proposed]]</f>
        <v>1</v>
      </c>
      <c r="U1394" s="439"/>
      <c r="V1394" s="441">
        <f ca="1">Table66[[#This Row],[Year 6 (Specified in RFO) - N/A]]-Table66[[#This Row],[Column1]]</f>
        <v>0</v>
      </c>
    </row>
    <row r="1395" spans="1:22" ht="16.5" thickBot="1">
      <c r="A1395" s="227"/>
      <c r="B1395" s="319"/>
      <c r="C1395" s="319"/>
      <c r="D1395" s="320"/>
      <c r="E1395" s="320"/>
      <c r="F1395" s="190"/>
      <c r="G13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5" s="190"/>
      <c r="I13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5" s="190"/>
      <c r="K13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5" s="190"/>
      <c r="M13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5" s="190"/>
      <c r="O13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5" s="190"/>
      <c r="Q13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5" s="192">
        <f ca="1">Table66[[#This Row],[Year 1 (Specified in RFO) - N/A]]+Table66[[#This Row],[Year 2 (Specified in RFO) - N/A]]+Table66[[#This Row],[Year 3 (Specified in RFO) - N/A]]+Table66[[#This Row],[Year 4 (Specified in RFO) - N/A]]+Table66[[#This Row],[Year 5 (Specified in RFO) - N/A]]+Table66[[#This Row],[Year 6 (Specified in RFO) - N/A]]</f>
        <v>0</v>
      </c>
      <c r="S1395" s="402">
        <f ca="1">Table66[[#This Row],[Year 1  (Proposed)]]+Table66[[#This Row],[Year 2 (Proposed)]]+Table66[[#This Row],[Year 3 (Proposed)]]+Table66[[#This Row],[Year 4 (Proposed)]]+Table66[[#This Row],[Year 5 (Proposed)]]+Table66[[#This Row],[Year 6 (Proposed)]]</f>
        <v>0</v>
      </c>
      <c r="T1395" s="403" t="b">
        <f ca="1">Table66[[#This Row],[Total Specifed in RFO - N/A]]=Table66[[#This Row],[Total Proposed]]</f>
        <v>1</v>
      </c>
      <c r="U1395" s="439"/>
      <c r="V1395" s="441">
        <f ca="1">Table66[[#This Row],[Year 6 (Specified in RFO) - N/A]]-Table66[[#This Row],[Column1]]</f>
        <v>0</v>
      </c>
    </row>
    <row r="1396" spans="1:22" ht="16.5" thickBot="1">
      <c r="A1396" s="227"/>
      <c r="B1396" s="319"/>
      <c r="C1396" s="319"/>
      <c r="D1396" s="320"/>
      <c r="E1396" s="320"/>
      <c r="F1396" s="190"/>
      <c r="G13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6" s="190"/>
      <c r="I13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6" s="190"/>
      <c r="K13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6" s="190"/>
      <c r="M13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6" s="190"/>
      <c r="O13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6" s="190"/>
      <c r="Q13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6" s="192">
        <f ca="1">Table66[[#This Row],[Year 1 (Specified in RFO) - N/A]]+Table66[[#This Row],[Year 2 (Specified in RFO) - N/A]]+Table66[[#This Row],[Year 3 (Specified in RFO) - N/A]]+Table66[[#This Row],[Year 4 (Specified in RFO) - N/A]]+Table66[[#This Row],[Year 5 (Specified in RFO) - N/A]]+Table66[[#This Row],[Year 6 (Specified in RFO) - N/A]]</f>
        <v>0</v>
      </c>
      <c r="S1396" s="402">
        <f ca="1">Table66[[#This Row],[Year 1  (Proposed)]]+Table66[[#This Row],[Year 2 (Proposed)]]+Table66[[#This Row],[Year 3 (Proposed)]]+Table66[[#This Row],[Year 4 (Proposed)]]+Table66[[#This Row],[Year 5 (Proposed)]]+Table66[[#This Row],[Year 6 (Proposed)]]</f>
        <v>0</v>
      </c>
      <c r="T1396" s="403" t="b">
        <f ca="1">Table66[[#This Row],[Total Specifed in RFO - N/A]]=Table66[[#This Row],[Total Proposed]]</f>
        <v>1</v>
      </c>
      <c r="U1396" s="439"/>
      <c r="V1396" s="441">
        <f ca="1">Table66[[#This Row],[Year 6 (Specified in RFO) - N/A]]-Table66[[#This Row],[Column1]]</f>
        <v>0</v>
      </c>
    </row>
    <row r="1397" spans="1:22" ht="16.5" thickBot="1">
      <c r="A1397" s="227"/>
      <c r="B1397" s="319"/>
      <c r="C1397" s="319"/>
      <c r="D1397" s="320"/>
      <c r="E1397" s="320"/>
      <c r="F1397" s="190"/>
      <c r="G13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7" s="190"/>
      <c r="I13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7" s="190"/>
      <c r="K13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7" s="190"/>
      <c r="M13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7" s="190"/>
      <c r="O13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7" s="190"/>
      <c r="Q13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7" s="192">
        <f ca="1">Table66[[#This Row],[Year 1 (Specified in RFO) - N/A]]+Table66[[#This Row],[Year 2 (Specified in RFO) - N/A]]+Table66[[#This Row],[Year 3 (Specified in RFO) - N/A]]+Table66[[#This Row],[Year 4 (Specified in RFO) - N/A]]+Table66[[#This Row],[Year 5 (Specified in RFO) - N/A]]+Table66[[#This Row],[Year 6 (Specified in RFO) - N/A]]</f>
        <v>0</v>
      </c>
      <c r="S1397" s="402">
        <f ca="1">Table66[[#This Row],[Year 1  (Proposed)]]+Table66[[#This Row],[Year 2 (Proposed)]]+Table66[[#This Row],[Year 3 (Proposed)]]+Table66[[#This Row],[Year 4 (Proposed)]]+Table66[[#This Row],[Year 5 (Proposed)]]+Table66[[#This Row],[Year 6 (Proposed)]]</f>
        <v>0</v>
      </c>
      <c r="T1397" s="403" t="b">
        <f ca="1">Table66[[#This Row],[Total Specifed in RFO - N/A]]=Table66[[#This Row],[Total Proposed]]</f>
        <v>1</v>
      </c>
      <c r="U1397" s="439"/>
      <c r="V1397" s="441">
        <f ca="1">Table66[[#This Row],[Year 6 (Specified in RFO) - N/A]]-Table66[[#This Row],[Column1]]</f>
        <v>0</v>
      </c>
    </row>
    <row r="1398" spans="1:22" ht="16.5" thickBot="1">
      <c r="A1398" s="227"/>
      <c r="B1398" s="319"/>
      <c r="C1398" s="319"/>
      <c r="D1398" s="320"/>
      <c r="E1398" s="320"/>
      <c r="F1398" s="190"/>
      <c r="G13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8" s="190"/>
      <c r="I13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8" s="190"/>
      <c r="K13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8" s="190"/>
      <c r="M13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8" s="190"/>
      <c r="O13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8" s="190"/>
      <c r="Q13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8" s="192">
        <f ca="1">Table66[[#This Row],[Year 1 (Specified in RFO) - N/A]]+Table66[[#This Row],[Year 2 (Specified in RFO) - N/A]]+Table66[[#This Row],[Year 3 (Specified in RFO) - N/A]]+Table66[[#This Row],[Year 4 (Specified in RFO) - N/A]]+Table66[[#This Row],[Year 5 (Specified in RFO) - N/A]]+Table66[[#This Row],[Year 6 (Specified in RFO) - N/A]]</f>
        <v>0</v>
      </c>
      <c r="S1398" s="402">
        <f ca="1">Table66[[#This Row],[Year 1  (Proposed)]]+Table66[[#This Row],[Year 2 (Proposed)]]+Table66[[#This Row],[Year 3 (Proposed)]]+Table66[[#This Row],[Year 4 (Proposed)]]+Table66[[#This Row],[Year 5 (Proposed)]]+Table66[[#This Row],[Year 6 (Proposed)]]</f>
        <v>0</v>
      </c>
      <c r="T1398" s="403" t="b">
        <f ca="1">Table66[[#This Row],[Total Specifed in RFO - N/A]]=Table66[[#This Row],[Total Proposed]]</f>
        <v>1</v>
      </c>
      <c r="U1398" s="439"/>
      <c r="V1398" s="441">
        <f ca="1">Table66[[#This Row],[Year 6 (Specified in RFO) - N/A]]-Table66[[#This Row],[Column1]]</f>
        <v>0</v>
      </c>
    </row>
    <row r="1399" spans="1:22" ht="16.5" thickBot="1">
      <c r="A1399" s="227"/>
      <c r="B1399" s="319"/>
      <c r="C1399" s="319"/>
      <c r="D1399" s="320"/>
      <c r="E1399" s="320"/>
      <c r="F1399" s="190"/>
      <c r="G13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9" s="190"/>
      <c r="I13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9" s="190"/>
      <c r="K13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9" s="190"/>
      <c r="M13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9" s="190"/>
      <c r="O13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9" s="190"/>
      <c r="Q13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9" s="192">
        <f ca="1">Table66[[#This Row],[Year 1 (Specified in RFO) - N/A]]+Table66[[#This Row],[Year 2 (Specified in RFO) - N/A]]+Table66[[#This Row],[Year 3 (Specified in RFO) - N/A]]+Table66[[#This Row],[Year 4 (Specified in RFO) - N/A]]+Table66[[#This Row],[Year 5 (Specified in RFO) - N/A]]+Table66[[#This Row],[Year 6 (Specified in RFO) - N/A]]</f>
        <v>0</v>
      </c>
      <c r="S1399" s="402">
        <f ca="1">Table66[[#This Row],[Year 1  (Proposed)]]+Table66[[#This Row],[Year 2 (Proposed)]]+Table66[[#This Row],[Year 3 (Proposed)]]+Table66[[#This Row],[Year 4 (Proposed)]]+Table66[[#This Row],[Year 5 (Proposed)]]+Table66[[#This Row],[Year 6 (Proposed)]]</f>
        <v>0</v>
      </c>
      <c r="T1399" s="403" t="b">
        <f ca="1">Table66[[#This Row],[Total Specifed in RFO - N/A]]=Table66[[#This Row],[Total Proposed]]</f>
        <v>1</v>
      </c>
      <c r="U1399" s="439"/>
      <c r="V1399" s="441">
        <f ca="1">Table66[[#This Row],[Year 6 (Specified in RFO) - N/A]]-Table66[[#This Row],[Column1]]</f>
        <v>0</v>
      </c>
    </row>
    <row r="1400" spans="1:22" ht="16.5" thickBot="1">
      <c r="A1400" s="227"/>
      <c r="B1400" s="319"/>
      <c r="C1400" s="319"/>
      <c r="D1400" s="320"/>
      <c r="E1400" s="320"/>
      <c r="F1400" s="190"/>
      <c r="G14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0" s="190"/>
      <c r="I14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0" s="190"/>
      <c r="K14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0" s="190"/>
      <c r="M14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0" s="190"/>
      <c r="O14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0" s="190"/>
      <c r="Q14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0" s="192">
        <f ca="1">Table66[[#This Row],[Year 1 (Specified in RFO) - N/A]]+Table66[[#This Row],[Year 2 (Specified in RFO) - N/A]]+Table66[[#This Row],[Year 3 (Specified in RFO) - N/A]]+Table66[[#This Row],[Year 4 (Specified in RFO) - N/A]]+Table66[[#This Row],[Year 5 (Specified in RFO) - N/A]]+Table66[[#This Row],[Year 6 (Specified in RFO) - N/A]]</f>
        <v>0</v>
      </c>
      <c r="S1400" s="402">
        <f ca="1">Table66[[#This Row],[Year 1  (Proposed)]]+Table66[[#This Row],[Year 2 (Proposed)]]+Table66[[#This Row],[Year 3 (Proposed)]]+Table66[[#This Row],[Year 4 (Proposed)]]+Table66[[#This Row],[Year 5 (Proposed)]]+Table66[[#This Row],[Year 6 (Proposed)]]</f>
        <v>0</v>
      </c>
      <c r="T1400" s="403" t="b">
        <f ca="1">Table66[[#This Row],[Total Specifed in RFO - N/A]]=Table66[[#This Row],[Total Proposed]]</f>
        <v>1</v>
      </c>
      <c r="U1400" s="439"/>
      <c r="V1400" s="441">
        <f ca="1">Table66[[#This Row],[Year 6 (Specified in RFO) - N/A]]-Table66[[#This Row],[Column1]]</f>
        <v>0</v>
      </c>
    </row>
    <row r="1401" spans="1:22" ht="16.5" thickBot="1">
      <c r="A1401" s="227"/>
      <c r="B1401" s="319"/>
      <c r="C1401" s="319"/>
      <c r="D1401" s="320"/>
      <c r="E1401" s="320"/>
      <c r="F1401" s="190"/>
      <c r="G14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1" s="190"/>
      <c r="I14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1" s="190"/>
      <c r="K14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1" s="190"/>
      <c r="M14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1" s="190"/>
      <c r="O14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1" s="190"/>
      <c r="Q14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1" s="192">
        <f ca="1">Table66[[#This Row],[Year 1 (Specified in RFO) - N/A]]+Table66[[#This Row],[Year 2 (Specified in RFO) - N/A]]+Table66[[#This Row],[Year 3 (Specified in RFO) - N/A]]+Table66[[#This Row],[Year 4 (Specified in RFO) - N/A]]+Table66[[#This Row],[Year 5 (Specified in RFO) - N/A]]+Table66[[#This Row],[Year 6 (Specified in RFO) - N/A]]</f>
        <v>0</v>
      </c>
      <c r="S1401" s="402">
        <f ca="1">Table66[[#This Row],[Year 1  (Proposed)]]+Table66[[#This Row],[Year 2 (Proposed)]]+Table66[[#This Row],[Year 3 (Proposed)]]+Table66[[#This Row],[Year 4 (Proposed)]]+Table66[[#This Row],[Year 5 (Proposed)]]+Table66[[#This Row],[Year 6 (Proposed)]]</f>
        <v>0</v>
      </c>
      <c r="T1401" s="403" t="b">
        <f ca="1">Table66[[#This Row],[Total Specifed in RFO - N/A]]=Table66[[#This Row],[Total Proposed]]</f>
        <v>1</v>
      </c>
      <c r="U1401" s="439"/>
      <c r="V1401" s="441">
        <f ca="1">Table66[[#This Row],[Year 6 (Specified in RFO) - N/A]]-Table66[[#This Row],[Column1]]</f>
        <v>0</v>
      </c>
    </row>
    <row r="1402" spans="1:22" ht="16.5" thickBot="1">
      <c r="A1402" s="227"/>
      <c r="B1402" s="319"/>
      <c r="C1402" s="319"/>
      <c r="D1402" s="320"/>
      <c r="E1402" s="320"/>
      <c r="F1402" s="190"/>
      <c r="G14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2" s="190"/>
      <c r="I14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2" s="190"/>
      <c r="K14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2" s="190"/>
      <c r="M14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2" s="190"/>
      <c r="O14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2" s="190"/>
      <c r="Q14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2" s="192">
        <f ca="1">Table66[[#This Row],[Year 1 (Specified in RFO) - N/A]]+Table66[[#This Row],[Year 2 (Specified in RFO) - N/A]]+Table66[[#This Row],[Year 3 (Specified in RFO) - N/A]]+Table66[[#This Row],[Year 4 (Specified in RFO) - N/A]]+Table66[[#This Row],[Year 5 (Specified in RFO) - N/A]]+Table66[[#This Row],[Year 6 (Specified in RFO) - N/A]]</f>
        <v>0</v>
      </c>
      <c r="S1402" s="402">
        <f ca="1">Table66[[#This Row],[Year 1  (Proposed)]]+Table66[[#This Row],[Year 2 (Proposed)]]+Table66[[#This Row],[Year 3 (Proposed)]]+Table66[[#This Row],[Year 4 (Proposed)]]+Table66[[#This Row],[Year 5 (Proposed)]]+Table66[[#This Row],[Year 6 (Proposed)]]</f>
        <v>0</v>
      </c>
      <c r="T1402" s="403" t="b">
        <f ca="1">Table66[[#This Row],[Total Specifed in RFO - N/A]]=Table66[[#This Row],[Total Proposed]]</f>
        <v>1</v>
      </c>
      <c r="U1402" s="439"/>
      <c r="V1402" s="441">
        <f ca="1">Table66[[#This Row],[Year 6 (Specified in RFO) - N/A]]-Table66[[#This Row],[Column1]]</f>
        <v>0</v>
      </c>
    </row>
    <row r="1403" spans="1:22" ht="16.5" thickBot="1">
      <c r="A1403" s="227"/>
      <c r="B1403" s="319"/>
      <c r="C1403" s="319"/>
      <c r="D1403" s="320"/>
      <c r="E1403" s="320"/>
      <c r="F1403" s="190"/>
      <c r="G14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3" s="190"/>
      <c r="I14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3" s="190"/>
      <c r="K14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3" s="190"/>
      <c r="M14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3" s="190"/>
      <c r="O14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3" s="190"/>
      <c r="Q14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3" s="192">
        <f ca="1">Table66[[#This Row],[Year 1 (Specified in RFO) - N/A]]+Table66[[#This Row],[Year 2 (Specified in RFO) - N/A]]+Table66[[#This Row],[Year 3 (Specified in RFO) - N/A]]+Table66[[#This Row],[Year 4 (Specified in RFO) - N/A]]+Table66[[#This Row],[Year 5 (Specified in RFO) - N/A]]+Table66[[#This Row],[Year 6 (Specified in RFO) - N/A]]</f>
        <v>0</v>
      </c>
      <c r="S1403" s="402">
        <f ca="1">Table66[[#This Row],[Year 1  (Proposed)]]+Table66[[#This Row],[Year 2 (Proposed)]]+Table66[[#This Row],[Year 3 (Proposed)]]+Table66[[#This Row],[Year 4 (Proposed)]]+Table66[[#This Row],[Year 5 (Proposed)]]+Table66[[#This Row],[Year 6 (Proposed)]]</f>
        <v>0</v>
      </c>
      <c r="T1403" s="403" t="b">
        <f ca="1">Table66[[#This Row],[Total Specifed in RFO - N/A]]=Table66[[#This Row],[Total Proposed]]</f>
        <v>1</v>
      </c>
      <c r="U1403" s="439"/>
      <c r="V1403" s="441">
        <f ca="1">Table66[[#This Row],[Year 6 (Specified in RFO) - N/A]]-Table66[[#This Row],[Column1]]</f>
        <v>0</v>
      </c>
    </row>
    <row r="1404" spans="1:22" ht="16.5" thickBot="1">
      <c r="A1404" s="227"/>
      <c r="B1404" s="319"/>
      <c r="C1404" s="319"/>
      <c r="D1404" s="320"/>
      <c r="E1404" s="320"/>
      <c r="F1404" s="190"/>
      <c r="G14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4" s="190"/>
      <c r="I14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4" s="190"/>
      <c r="K14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4" s="190"/>
      <c r="M14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4" s="190"/>
      <c r="O14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4" s="190"/>
      <c r="Q14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4" s="192">
        <f ca="1">Table66[[#This Row],[Year 1 (Specified in RFO) - N/A]]+Table66[[#This Row],[Year 2 (Specified in RFO) - N/A]]+Table66[[#This Row],[Year 3 (Specified in RFO) - N/A]]+Table66[[#This Row],[Year 4 (Specified in RFO) - N/A]]+Table66[[#This Row],[Year 5 (Specified in RFO) - N/A]]+Table66[[#This Row],[Year 6 (Specified in RFO) - N/A]]</f>
        <v>0</v>
      </c>
      <c r="S1404" s="402">
        <f ca="1">Table66[[#This Row],[Year 1  (Proposed)]]+Table66[[#This Row],[Year 2 (Proposed)]]+Table66[[#This Row],[Year 3 (Proposed)]]+Table66[[#This Row],[Year 4 (Proposed)]]+Table66[[#This Row],[Year 5 (Proposed)]]+Table66[[#This Row],[Year 6 (Proposed)]]</f>
        <v>0</v>
      </c>
      <c r="T1404" s="403" t="b">
        <f ca="1">Table66[[#This Row],[Total Specifed in RFO - N/A]]=Table66[[#This Row],[Total Proposed]]</f>
        <v>1</v>
      </c>
      <c r="U1404" s="439"/>
      <c r="V1404" s="441">
        <f ca="1">Table66[[#This Row],[Year 6 (Specified in RFO) - N/A]]-Table66[[#This Row],[Column1]]</f>
        <v>0</v>
      </c>
    </row>
    <row r="1405" spans="1:22" ht="16.5" thickBot="1">
      <c r="A1405" s="227"/>
      <c r="B1405" s="319"/>
      <c r="C1405" s="319"/>
      <c r="D1405" s="320"/>
      <c r="E1405" s="320"/>
      <c r="F1405" s="190"/>
      <c r="G14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5" s="190"/>
      <c r="I14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5" s="190"/>
      <c r="K14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5" s="190"/>
      <c r="M14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5" s="190"/>
      <c r="O14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5" s="190"/>
      <c r="Q14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5" s="192">
        <f ca="1">Table66[[#This Row],[Year 1 (Specified in RFO) - N/A]]+Table66[[#This Row],[Year 2 (Specified in RFO) - N/A]]+Table66[[#This Row],[Year 3 (Specified in RFO) - N/A]]+Table66[[#This Row],[Year 4 (Specified in RFO) - N/A]]+Table66[[#This Row],[Year 5 (Specified in RFO) - N/A]]+Table66[[#This Row],[Year 6 (Specified in RFO) - N/A]]</f>
        <v>0</v>
      </c>
      <c r="S1405" s="402">
        <f ca="1">Table66[[#This Row],[Year 1  (Proposed)]]+Table66[[#This Row],[Year 2 (Proposed)]]+Table66[[#This Row],[Year 3 (Proposed)]]+Table66[[#This Row],[Year 4 (Proposed)]]+Table66[[#This Row],[Year 5 (Proposed)]]+Table66[[#This Row],[Year 6 (Proposed)]]</f>
        <v>0</v>
      </c>
      <c r="T1405" s="403" t="b">
        <f ca="1">Table66[[#This Row],[Total Specifed in RFO - N/A]]=Table66[[#This Row],[Total Proposed]]</f>
        <v>1</v>
      </c>
      <c r="U1405" s="439"/>
      <c r="V1405" s="441">
        <f ca="1">Table66[[#This Row],[Year 6 (Specified in RFO) - N/A]]-Table66[[#This Row],[Column1]]</f>
        <v>0</v>
      </c>
    </row>
    <row r="1406" spans="1:22" ht="16.5" thickBot="1">
      <c r="A1406" s="227"/>
      <c r="B1406" s="319"/>
      <c r="C1406" s="319"/>
      <c r="D1406" s="320"/>
      <c r="E1406" s="320"/>
      <c r="F1406" s="190"/>
      <c r="G14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6" s="190"/>
      <c r="I14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6" s="190"/>
      <c r="K14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6" s="190"/>
      <c r="M14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6" s="190"/>
      <c r="O14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6" s="190"/>
      <c r="Q14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6" s="192">
        <f ca="1">Table66[[#This Row],[Year 1 (Specified in RFO) - N/A]]+Table66[[#This Row],[Year 2 (Specified in RFO) - N/A]]+Table66[[#This Row],[Year 3 (Specified in RFO) - N/A]]+Table66[[#This Row],[Year 4 (Specified in RFO) - N/A]]+Table66[[#This Row],[Year 5 (Specified in RFO) - N/A]]+Table66[[#This Row],[Year 6 (Specified in RFO) - N/A]]</f>
        <v>0</v>
      </c>
      <c r="S1406" s="402">
        <f ca="1">Table66[[#This Row],[Year 1  (Proposed)]]+Table66[[#This Row],[Year 2 (Proposed)]]+Table66[[#This Row],[Year 3 (Proposed)]]+Table66[[#This Row],[Year 4 (Proposed)]]+Table66[[#This Row],[Year 5 (Proposed)]]+Table66[[#This Row],[Year 6 (Proposed)]]</f>
        <v>0</v>
      </c>
      <c r="T1406" s="403" t="b">
        <f ca="1">Table66[[#This Row],[Total Specifed in RFO - N/A]]=Table66[[#This Row],[Total Proposed]]</f>
        <v>1</v>
      </c>
      <c r="U1406" s="439"/>
      <c r="V1406" s="441">
        <f ca="1">Table66[[#This Row],[Year 6 (Specified in RFO) - N/A]]-Table66[[#This Row],[Column1]]</f>
        <v>0</v>
      </c>
    </row>
    <row r="1407" spans="1:22" ht="16.5" thickBot="1">
      <c r="A1407" s="227"/>
      <c r="B1407" s="319"/>
      <c r="C1407" s="319"/>
      <c r="D1407" s="320"/>
      <c r="E1407" s="320"/>
      <c r="F1407" s="190"/>
      <c r="G14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7" s="190"/>
      <c r="I14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7" s="190"/>
      <c r="K14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7" s="190"/>
      <c r="M14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7" s="190"/>
      <c r="O14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7" s="190"/>
      <c r="Q14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7" s="192">
        <f ca="1">Table66[[#This Row],[Year 1 (Specified in RFO) - N/A]]+Table66[[#This Row],[Year 2 (Specified in RFO) - N/A]]+Table66[[#This Row],[Year 3 (Specified in RFO) - N/A]]+Table66[[#This Row],[Year 4 (Specified in RFO) - N/A]]+Table66[[#This Row],[Year 5 (Specified in RFO) - N/A]]+Table66[[#This Row],[Year 6 (Specified in RFO) - N/A]]</f>
        <v>0</v>
      </c>
      <c r="S1407" s="402">
        <f ca="1">Table66[[#This Row],[Year 1  (Proposed)]]+Table66[[#This Row],[Year 2 (Proposed)]]+Table66[[#This Row],[Year 3 (Proposed)]]+Table66[[#This Row],[Year 4 (Proposed)]]+Table66[[#This Row],[Year 5 (Proposed)]]+Table66[[#This Row],[Year 6 (Proposed)]]</f>
        <v>0</v>
      </c>
      <c r="T1407" s="403" t="b">
        <f ca="1">Table66[[#This Row],[Total Specifed in RFO - N/A]]=Table66[[#This Row],[Total Proposed]]</f>
        <v>1</v>
      </c>
      <c r="U1407" s="439"/>
      <c r="V1407" s="441">
        <f ca="1">Table66[[#This Row],[Year 6 (Specified in RFO) - N/A]]-Table66[[#This Row],[Column1]]</f>
        <v>0</v>
      </c>
    </row>
    <row r="1408" spans="1:22" ht="16.5" thickBot="1">
      <c r="A1408" s="227"/>
      <c r="B1408" s="319"/>
      <c r="C1408" s="319"/>
      <c r="D1408" s="320"/>
      <c r="E1408" s="320"/>
      <c r="F1408" s="190"/>
      <c r="G14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8" s="190"/>
      <c r="I14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8" s="190"/>
      <c r="K14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8" s="190"/>
      <c r="M14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8" s="190"/>
      <c r="O14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8" s="190"/>
      <c r="Q14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8" s="192">
        <f ca="1">Table66[[#This Row],[Year 1 (Specified in RFO) - N/A]]+Table66[[#This Row],[Year 2 (Specified in RFO) - N/A]]+Table66[[#This Row],[Year 3 (Specified in RFO) - N/A]]+Table66[[#This Row],[Year 4 (Specified in RFO) - N/A]]+Table66[[#This Row],[Year 5 (Specified in RFO) - N/A]]+Table66[[#This Row],[Year 6 (Specified in RFO) - N/A]]</f>
        <v>0</v>
      </c>
      <c r="S1408" s="402">
        <f ca="1">Table66[[#This Row],[Year 1  (Proposed)]]+Table66[[#This Row],[Year 2 (Proposed)]]+Table66[[#This Row],[Year 3 (Proposed)]]+Table66[[#This Row],[Year 4 (Proposed)]]+Table66[[#This Row],[Year 5 (Proposed)]]+Table66[[#This Row],[Year 6 (Proposed)]]</f>
        <v>0</v>
      </c>
      <c r="T1408" s="403" t="b">
        <f ca="1">Table66[[#This Row],[Total Specifed in RFO - N/A]]=Table66[[#This Row],[Total Proposed]]</f>
        <v>1</v>
      </c>
      <c r="U1408" s="439"/>
      <c r="V1408" s="441">
        <f ca="1">Table66[[#This Row],[Year 6 (Specified in RFO) - N/A]]-Table66[[#This Row],[Column1]]</f>
        <v>0</v>
      </c>
    </row>
    <row r="1409" spans="1:22" ht="16.5" thickBot="1">
      <c r="A1409" s="227"/>
      <c r="B1409" s="319"/>
      <c r="C1409" s="319"/>
      <c r="D1409" s="320"/>
      <c r="E1409" s="320"/>
      <c r="F1409" s="190"/>
      <c r="G14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9" s="190"/>
      <c r="I14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9" s="190"/>
      <c r="K14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9" s="190"/>
      <c r="M14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9" s="190"/>
      <c r="O14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9" s="190"/>
      <c r="Q14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9" s="192">
        <f ca="1">Table66[[#This Row],[Year 1 (Specified in RFO) - N/A]]+Table66[[#This Row],[Year 2 (Specified in RFO) - N/A]]+Table66[[#This Row],[Year 3 (Specified in RFO) - N/A]]+Table66[[#This Row],[Year 4 (Specified in RFO) - N/A]]+Table66[[#This Row],[Year 5 (Specified in RFO) - N/A]]+Table66[[#This Row],[Year 6 (Specified in RFO) - N/A]]</f>
        <v>0</v>
      </c>
      <c r="S1409" s="402">
        <f ca="1">Table66[[#This Row],[Year 1  (Proposed)]]+Table66[[#This Row],[Year 2 (Proposed)]]+Table66[[#This Row],[Year 3 (Proposed)]]+Table66[[#This Row],[Year 4 (Proposed)]]+Table66[[#This Row],[Year 5 (Proposed)]]+Table66[[#This Row],[Year 6 (Proposed)]]</f>
        <v>0</v>
      </c>
      <c r="T1409" s="403" t="b">
        <f ca="1">Table66[[#This Row],[Total Specifed in RFO - N/A]]=Table66[[#This Row],[Total Proposed]]</f>
        <v>1</v>
      </c>
      <c r="U1409" s="439"/>
      <c r="V1409" s="441">
        <f ca="1">Table66[[#This Row],[Year 6 (Specified in RFO) - N/A]]-Table66[[#This Row],[Column1]]</f>
        <v>0</v>
      </c>
    </row>
    <row r="1410" spans="1:22" ht="16.5" thickBot="1">
      <c r="A1410" s="227"/>
      <c r="B1410" s="319"/>
      <c r="C1410" s="319"/>
      <c r="D1410" s="320"/>
      <c r="E1410" s="320"/>
      <c r="F1410" s="190"/>
      <c r="G14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0" s="190"/>
      <c r="I14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0" s="190"/>
      <c r="K14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0" s="190"/>
      <c r="M14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0" s="190"/>
      <c r="O14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0" s="190"/>
      <c r="Q14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0" s="192">
        <f ca="1">Table66[[#This Row],[Year 1 (Specified in RFO) - N/A]]+Table66[[#This Row],[Year 2 (Specified in RFO) - N/A]]+Table66[[#This Row],[Year 3 (Specified in RFO) - N/A]]+Table66[[#This Row],[Year 4 (Specified in RFO) - N/A]]+Table66[[#This Row],[Year 5 (Specified in RFO) - N/A]]+Table66[[#This Row],[Year 6 (Specified in RFO) - N/A]]</f>
        <v>0</v>
      </c>
      <c r="S1410" s="402">
        <f ca="1">Table66[[#This Row],[Year 1  (Proposed)]]+Table66[[#This Row],[Year 2 (Proposed)]]+Table66[[#This Row],[Year 3 (Proposed)]]+Table66[[#This Row],[Year 4 (Proposed)]]+Table66[[#This Row],[Year 5 (Proposed)]]+Table66[[#This Row],[Year 6 (Proposed)]]</f>
        <v>0</v>
      </c>
      <c r="T1410" s="403" t="b">
        <f ca="1">Table66[[#This Row],[Total Specifed in RFO - N/A]]=Table66[[#This Row],[Total Proposed]]</f>
        <v>1</v>
      </c>
      <c r="U1410" s="439"/>
      <c r="V1410" s="441">
        <f ca="1">Table66[[#This Row],[Year 6 (Specified in RFO) - N/A]]-Table66[[#This Row],[Column1]]</f>
        <v>0</v>
      </c>
    </row>
    <row r="1411" spans="1:22" ht="16.5" thickBot="1">
      <c r="A1411" s="227"/>
      <c r="B1411" s="319"/>
      <c r="C1411" s="319"/>
      <c r="D1411" s="320"/>
      <c r="E1411" s="320"/>
      <c r="F1411" s="190"/>
      <c r="G14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1" s="190"/>
      <c r="I14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1" s="190"/>
      <c r="K14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1" s="190"/>
      <c r="M14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1" s="190"/>
      <c r="O14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1" s="190"/>
      <c r="Q14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1" s="192">
        <f ca="1">Table66[[#This Row],[Year 1 (Specified in RFO) - N/A]]+Table66[[#This Row],[Year 2 (Specified in RFO) - N/A]]+Table66[[#This Row],[Year 3 (Specified in RFO) - N/A]]+Table66[[#This Row],[Year 4 (Specified in RFO) - N/A]]+Table66[[#This Row],[Year 5 (Specified in RFO) - N/A]]+Table66[[#This Row],[Year 6 (Specified in RFO) - N/A]]</f>
        <v>0</v>
      </c>
      <c r="S1411" s="402">
        <f ca="1">Table66[[#This Row],[Year 1  (Proposed)]]+Table66[[#This Row],[Year 2 (Proposed)]]+Table66[[#This Row],[Year 3 (Proposed)]]+Table66[[#This Row],[Year 4 (Proposed)]]+Table66[[#This Row],[Year 5 (Proposed)]]+Table66[[#This Row],[Year 6 (Proposed)]]</f>
        <v>0</v>
      </c>
      <c r="T1411" s="403" t="b">
        <f ca="1">Table66[[#This Row],[Total Specifed in RFO - N/A]]=Table66[[#This Row],[Total Proposed]]</f>
        <v>1</v>
      </c>
      <c r="U1411" s="439"/>
      <c r="V1411" s="441">
        <f ca="1">Table66[[#This Row],[Year 6 (Specified in RFO) - N/A]]-Table66[[#This Row],[Column1]]</f>
        <v>0</v>
      </c>
    </row>
    <row r="1412" spans="1:22" ht="16.5" thickBot="1">
      <c r="A1412" s="227"/>
      <c r="B1412" s="319"/>
      <c r="C1412" s="319"/>
      <c r="D1412" s="320"/>
      <c r="E1412" s="320"/>
      <c r="F1412" s="190"/>
      <c r="G14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2" s="190"/>
      <c r="I14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2" s="190"/>
      <c r="K14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2" s="190"/>
      <c r="M14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2" s="190"/>
      <c r="O14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2" s="190"/>
      <c r="Q14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2" s="192">
        <f ca="1">Table66[[#This Row],[Year 1 (Specified in RFO) - N/A]]+Table66[[#This Row],[Year 2 (Specified in RFO) - N/A]]+Table66[[#This Row],[Year 3 (Specified in RFO) - N/A]]+Table66[[#This Row],[Year 4 (Specified in RFO) - N/A]]+Table66[[#This Row],[Year 5 (Specified in RFO) - N/A]]+Table66[[#This Row],[Year 6 (Specified in RFO) - N/A]]</f>
        <v>0</v>
      </c>
      <c r="S1412" s="402">
        <f ca="1">Table66[[#This Row],[Year 1  (Proposed)]]+Table66[[#This Row],[Year 2 (Proposed)]]+Table66[[#This Row],[Year 3 (Proposed)]]+Table66[[#This Row],[Year 4 (Proposed)]]+Table66[[#This Row],[Year 5 (Proposed)]]+Table66[[#This Row],[Year 6 (Proposed)]]</f>
        <v>0</v>
      </c>
      <c r="T1412" s="403" t="b">
        <f ca="1">Table66[[#This Row],[Total Specifed in RFO - N/A]]=Table66[[#This Row],[Total Proposed]]</f>
        <v>1</v>
      </c>
      <c r="U1412" s="439"/>
      <c r="V1412" s="441">
        <f ca="1">Table66[[#This Row],[Year 6 (Specified in RFO) - N/A]]-Table66[[#This Row],[Column1]]</f>
        <v>0</v>
      </c>
    </row>
    <row r="1413" spans="1:22" ht="16.5" thickBot="1">
      <c r="A1413" s="227"/>
      <c r="B1413" s="319"/>
      <c r="C1413" s="319"/>
      <c r="D1413" s="320"/>
      <c r="E1413" s="320"/>
      <c r="F1413" s="190"/>
      <c r="G14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3" s="190"/>
      <c r="I14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3" s="190"/>
      <c r="K14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3" s="190"/>
      <c r="M14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3" s="190"/>
      <c r="O14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3" s="190"/>
      <c r="Q14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3" s="192">
        <f ca="1">Table66[[#This Row],[Year 1 (Specified in RFO) - N/A]]+Table66[[#This Row],[Year 2 (Specified in RFO) - N/A]]+Table66[[#This Row],[Year 3 (Specified in RFO) - N/A]]+Table66[[#This Row],[Year 4 (Specified in RFO) - N/A]]+Table66[[#This Row],[Year 5 (Specified in RFO) - N/A]]+Table66[[#This Row],[Year 6 (Specified in RFO) - N/A]]</f>
        <v>0</v>
      </c>
      <c r="S1413" s="402">
        <f ca="1">Table66[[#This Row],[Year 1  (Proposed)]]+Table66[[#This Row],[Year 2 (Proposed)]]+Table66[[#This Row],[Year 3 (Proposed)]]+Table66[[#This Row],[Year 4 (Proposed)]]+Table66[[#This Row],[Year 5 (Proposed)]]+Table66[[#This Row],[Year 6 (Proposed)]]</f>
        <v>0</v>
      </c>
      <c r="T1413" s="403" t="b">
        <f ca="1">Table66[[#This Row],[Total Specifed in RFO - N/A]]=Table66[[#This Row],[Total Proposed]]</f>
        <v>1</v>
      </c>
      <c r="U1413" s="439"/>
      <c r="V1413" s="441">
        <f ca="1">Table66[[#This Row],[Year 6 (Specified in RFO) - N/A]]-Table66[[#This Row],[Column1]]</f>
        <v>0</v>
      </c>
    </row>
    <row r="1414" spans="1:22" ht="16.5" thickBot="1">
      <c r="A1414" s="227"/>
      <c r="B1414" s="319"/>
      <c r="C1414" s="319"/>
      <c r="D1414" s="320"/>
      <c r="E1414" s="320"/>
      <c r="F1414" s="190"/>
      <c r="G14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4" s="190"/>
      <c r="I14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4" s="190"/>
      <c r="K14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4" s="190"/>
      <c r="M14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4" s="190"/>
      <c r="O14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4" s="190"/>
      <c r="Q14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4" s="192">
        <f ca="1">Table66[[#This Row],[Year 1 (Specified in RFO) - N/A]]+Table66[[#This Row],[Year 2 (Specified in RFO) - N/A]]+Table66[[#This Row],[Year 3 (Specified in RFO) - N/A]]+Table66[[#This Row],[Year 4 (Specified in RFO) - N/A]]+Table66[[#This Row],[Year 5 (Specified in RFO) - N/A]]+Table66[[#This Row],[Year 6 (Specified in RFO) - N/A]]</f>
        <v>0</v>
      </c>
      <c r="S1414" s="402">
        <f ca="1">Table66[[#This Row],[Year 1  (Proposed)]]+Table66[[#This Row],[Year 2 (Proposed)]]+Table66[[#This Row],[Year 3 (Proposed)]]+Table66[[#This Row],[Year 4 (Proposed)]]+Table66[[#This Row],[Year 5 (Proposed)]]+Table66[[#This Row],[Year 6 (Proposed)]]</f>
        <v>0</v>
      </c>
      <c r="T1414" s="403" t="b">
        <f ca="1">Table66[[#This Row],[Total Specifed in RFO - N/A]]=Table66[[#This Row],[Total Proposed]]</f>
        <v>1</v>
      </c>
      <c r="U1414" s="439"/>
      <c r="V1414" s="441">
        <f ca="1">Table66[[#This Row],[Year 6 (Specified in RFO) - N/A]]-Table66[[#This Row],[Column1]]</f>
        <v>0</v>
      </c>
    </row>
    <row r="1415" spans="1:22" ht="16.5" thickBot="1">
      <c r="A1415" s="227"/>
      <c r="B1415" s="319"/>
      <c r="C1415" s="319"/>
      <c r="D1415" s="320"/>
      <c r="E1415" s="320"/>
      <c r="F1415" s="190"/>
      <c r="G14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5" s="190"/>
      <c r="I14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5" s="190"/>
      <c r="K14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5" s="190"/>
      <c r="M14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5" s="190"/>
      <c r="O14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5" s="190"/>
      <c r="Q14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5" s="192">
        <f ca="1">Table66[[#This Row],[Year 1 (Specified in RFO) - N/A]]+Table66[[#This Row],[Year 2 (Specified in RFO) - N/A]]+Table66[[#This Row],[Year 3 (Specified in RFO) - N/A]]+Table66[[#This Row],[Year 4 (Specified in RFO) - N/A]]+Table66[[#This Row],[Year 5 (Specified in RFO) - N/A]]+Table66[[#This Row],[Year 6 (Specified in RFO) - N/A]]</f>
        <v>0</v>
      </c>
      <c r="S1415" s="402">
        <f ca="1">Table66[[#This Row],[Year 1  (Proposed)]]+Table66[[#This Row],[Year 2 (Proposed)]]+Table66[[#This Row],[Year 3 (Proposed)]]+Table66[[#This Row],[Year 4 (Proposed)]]+Table66[[#This Row],[Year 5 (Proposed)]]+Table66[[#This Row],[Year 6 (Proposed)]]</f>
        <v>0</v>
      </c>
      <c r="T1415" s="403" t="b">
        <f ca="1">Table66[[#This Row],[Total Specifed in RFO - N/A]]=Table66[[#This Row],[Total Proposed]]</f>
        <v>1</v>
      </c>
      <c r="U1415" s="439"/>
      <c r="V1415" s="441">
        <f ca="1">Table66[[#This Row],[Year 6 (Specified in RFO) - N/A]]-Table66[[#This Row],[Column1]]</f>
        <v>0</v>
      </c>
    </row>
    <row r="1416" spans="1:22" ht="16.5" thickBot="1">
      <c r="A1416" s="227"/>
      <c r="B1416" s="319"/>
      <c r="C1416" s="319"/>
      <c r="D1416" s="320"/>
      <c r="E1416" s="320"/>
      <c r="F1416" s="190"/>
      <c r="G14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6" s="190"/>
      <c r="I14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6" s="190"/>
      <c r="K14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6" s="190"/>
      <c r="M14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6" s="190"/>
      <c r="O14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6" s="190"/>
      <c r="Q14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6" s="192">
        <f ca="1">Table66[[#This Row],[Year 1 (Specified in RFO) - N/A]]+Table66[[#This Row],[Year 2 (Specified in RFO) - N/A]]+Table66[[#This Row],[Year 3 (Specified in RFO) - N/A]]+Table66[[#This Row],[Year 4 (Specified in RFO) - N/A]]+Table66[[#This Row],[Year 5 (Specified in RFO) - N/A]]+Table66[[#This Row],[Year 6 (Specified in RFO) - N/A]]</f>
        <v>0</v>
      </c>
      <c r="S1416" s="402">
        <f ca="1">Table66[[#This Row],[Year 1  (Proposed)]]+Table66[[#This Row],[Year 2 (Proposed)]]+Table66[[#This Row],[Year 3 (Proposed)]]+Table66[[#This Row],[Year 4 (Proposed)]]+Table66[[#This Row],[Year 5 (Proposed)]]+Table66[[#This Row],[Year 6 (Proposed)]]</f>
        <v>0</v>
      </c>
      <c r="T1416" s="403" t="b">
        <f ca="1">Table66[[#This Row],[Total Specifed in RFO - N/A]]=Table66[[#This Row],[Total Proposed]]</f>
        <v>1</v>
      </c>
      <c r="U1416" s="439"/>
      <c r="V1416" s="441">
        <f ca="1">Table66[[#This Row],[Year 6 (Specified in RFO) - N/A]]-Table66[[#This Row],[Column1]]</f>
        <v>0</v>
      </c>
    </row>
    <row r="1417" spans="1:22" ht="16.5" thickBot="1">
      <c r="A1417" s="227"/>
      <c r="B1417" s="319"/>
      <c r="C1417" s="319"/>
      <c r="D1417" s="320"/>
      <c r="E1417" s="320"/>
      <c r="F1417" s="190"/>
      <c r="G14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7" s="190"/>
      <c r="I14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7" s="190"/>
      <c r="K14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7" s="190"/>
      <c r="M14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7" s="190"/>
      <c r="O14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7" s="190"/>
      <c r="Q14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7" s="192">
        <f ca="1">Table66[[#This Row],[Year 1 (Specified in RFO) - N/A]]+Table66[[#This Row],[Year 2 (Specified in RFO) - N/A]]+Table66[[#This Row],[Year 3 (Specified in RFO) - N/A]]+Table66[[#This Row],[Year 4 (Specified in RFO) - N/A]]+Table66[[#This Row],[Year 5 (Specified in RFO) - N/A]]+Table66[[#This Row],[Year 6 (Specified in RFO) - N/A]]</f>
        <v>0</v>
      </c>
      <c r="S1417" s="402">
        <f ca="1">Table66[[#This Row],[Year 1  (Proposed)]]+Table66[[#This Row],[Year 2 (Proposed)]]+Table66[[#This Row],[Year 3 (Proposed)]]+Table66[[#This Row],[Year 4 (Proposed)]]+Table66[[#This Row],[Year 5 (Proposed)]]+Table66[[#This Row],[Year 6 (Proposed)]]</f>
        <v>0</v>
      </c>
      <c r="T1417" s="403" t="b">
        <f ca="1">Table66[[#This Row],[Total Specifed in RFO - N/A]]=Table66[[#This Row],[Total Proposed]]</f>
        <v>1</v>
      </c>
      <c r="U1417" s="439"/>
      <c r="V1417" s="441">
        <f ca="1">Table66[[#This Row],[Year 6 (Specified in RFO) - N/A]]-Table66[[#This Row],[Column1]]</f>
        <v>0</v>
      </c>
    </row>
    <row r="1418" spans="1:22" ht="16.5" thickBot="1">
      <c r="A1418" s="227"/>
      <c r="B1418" s="319"/>
      <c r="C1418" s="319"/>
      <c r="D1418" s="320"/>
      <c r="E1418" s="320"/>
      <c r="F1418" s="190"/>
      <c r="G14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8" s="190"/>
      <c r="I14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8" s="190"/>
      <c r="K14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8" s="190"/>
      <c r="M14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8" s="190"/>
      <c r="O14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8" s="190"/>
      <c r="Q14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8" s="192">
        <f ca="1">Table66[[#This Row],[Year 1 (Specified in RFO) - N/A]]+Table66[[#This Row],[Year 2 (Specified in RFO) - N/A]]+Table66[[#This Row],[Year 3 (Specified in RFO) - N/A]]+Table66[[#This Row],[Year 4 (Specified in RFO) - N/A]]+Table66[[#This Row],[Year 5 (Specified in RFO) - N/A]]+Table66[[#This Row],[Year 6 (Specified in RFO) - N/A]]</f>
        <v>0</v>
      </c>
      <c r="S1418" s="402">
        <f ca="1">Table66[[#This Row],[Year 1  (Proposed)]]+Table66[[#This Row],[Year 2 (Proposed)]]+Table66[[#This Row],[Year 3 (Proposed)]]+Table66[[#This Row],[Year 4 (Proposed)]]+Table66[[#This Row],[Year 5 (Proposed)]]+Table66[[#This Row],[Year 6 (Proposed)]]</f>
        <v>0</v>
      </c>
      <c r="T1418" s="403" t="b">
        <f ca="1">Table66[[#This Row],[Total Specifed in RFO - N/A]]=Table66[[#This Row],[Total Proposed]]</f>
        <v>1</v>
      </c>
      <c r="U1418" s="439"/>
      <c r="V1418" s="441">
        <f ca="1">Table66[[#This Row],[Year 6 (Specified in RFO) - N/A]]-Table66[[#This Row],[Column1]]</f>
        <v>0</v>
      </c>
    </row>
    <row r="1419" spans="1:22" ht="16.5" thickBot="1">
      <c r="A1419" s="227"/>
      <c r="B1419" s="319"/>
      <c r="C1419" s="319"/>
      <c r="D1419" s="320"/>
      <c r="E1419" s="320"/>
      <c r="F1419" s="190"/>
      <c r="G14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9" s="190"/>
      <c r="I14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9" s="190"/>
      <c r="K14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9" s="190"/>
      <c r="M14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9" s="190"/>
      <c r="O14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9" s="190"/>
      <c r="Q14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9" s="192">
        <f ca="1">Table66[[#This Row],[Year 1 (Specified in RFO) - N/A]]+Table66[[#This Row],[Year 2 (Specified in RFO) - N/A]]+Table66[[#This Row],[Year 3 (Specified in RFO) - N/A]]+Table66[[#This Row],[Year 4 (Specified in RFO) - N/A]]+Table66[[#This Row],[Year 5 (Specified in RFO) - N/A]]+Table66[[#This Row],[Year 6 (Specified in RFO) - N/A]]</f>
        <v>0</v>
      </c>
      <c r="S1419" s="402">
        <f ca="1">Table66[[#This Row],[Year 1  (Proposed)]]+Table66[[#This Row],[Year 2 (Proposed)]]+Table66[[#This Row],[Year 3 (Proposed)]]+Table66[[#This Row],[Year 4 (Proposed)]]+Table66[[#This Row],[Year 5 (Proposed)]]+Table66[[#This Row],[Year 6 (Proposed)]]</f>
        <v>0</v>
      </c>
      <c r="T1419" s="403" t="b">
        <f ca="1">Table66[[#This Row],[Total Specifed in RFO - N/A]]=Table66[[#This Row],[Total Proposed]]</f>
        <v>1</v>
      </c>
      <c r="U1419" s="439"/>
      <c r="V1419" s="441">
        <f ca="1">Table66[[#This Row],[Year 6 (Specified in RFO) - N/A]]-Table66[[#This Row],[Column1]]</f>
        <v>0</v>
      </c>
    </row>
    <row r="1420" spans="1:22" ht="16.5" thickBot="1">
      <c r="A1420" s="227"/>
      <c r="B1420" s="319"/>
      <c r="C1420" s="319"/>
      <c r="D1420" s="320"/>
      <c r="E1420" s="320"/>
      <c r="F1420" s="190"/>
      <c r="G14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0" s="190"/>
      <c r="I14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0" s="190"/>
      <c r="K14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0" s="190"/>
      <c r="M14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0" s="190"/>
      <c r="O14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0" s="190"/>
      <c r="Q14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0" s="192">
        <f ca="1">Table66[[#This Row],[Year 1 (Specified in RFO) - N/A]]+Table66[[#This Row],[Year 2 (Specified in RFO) - N/A]]+Table66[[#This Row],[Year 3 (Specified in RFO) - N/A]]+Table66[[#This Row],[Year 4 (Specified in RFO) - N/A]]+Table66[[#This Row],[Year 5 (Specified in RFO) - N/A]]+Table66[[#This Row],[Year 6 (Specified in RFO) - N/A]]</f>
        <v>0</v>
      </c>
      <c r="S1420" s="402">
        <f ca="1">Table66[[#This Row],[Year 1  (Proposed)]]+Table66[[#This Row],[Year 2 (Proposed)]]+Table66[[#This Row],[Year 3 (Proposed)]]+Table66[[#This Row],[Year 4 (Proposed)]]+Table66[[#This Row],[Year 5 (Proposed)]]+Table66[[#This Row],[Year 6 (Proposed)]]</f>
        <v>0</v>
      </c>
      <c r="T1420" s="403" t="b">
        <f ca="1">Table66[[#This Row],[Total Specifed in RFO - N/A]]=Table66[[#This Row],[Total Proposed]]</f>
        <v>1</v>
      </c>
      <c r="U1420" s="439"/>
      <c r="V1420" s="441">
        <f ca="1">Table66[[#This Row],[Year 6 (Specified in RFO) - N/A]]-Table66[[#This Row],[Column1]]</f>
        <v>0</v>
      </c>
    </row>
    <row r="1421" spans="1:22" ht="16.5" thickBot="1">
      <c r="A1421" s="227"/>
      <c r="B1421" s="319"/>
      <c r="C1421" s="319"/>
      <c r="D1421" s="320"/>
      <c r="E1421" s="320"/>
      <c r="F1421" s="190"/>
      <c r="G14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1" s="190"/>
      <c r="I14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1" s="190"/>
      <c r="K14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1" s="190"/>
      <c r="M14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1" s="190"/>
      <c r="O14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1" s="190"/>
      <c r="Q14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1" s="192">
        <f ca="1">Table66[[#This Row],[Year 1 (Specified in RFO) - N/A]]+Table66[[#This Row],[Year 2 (Specified in RFO) - N/A]]+Table66[[#This Row],[Year 3 (Specified in RFO) - N/A]]+Table66[[#This Row],[Year 4 (Specified in RFO) - N/A]]+Table66[[#This Row],[Year 5 (Specified in RFO) - N/A]]+Table66[[#This Row],[Year 6 (Specified in RFO) - N/A]]</f>
        <v>0</v>
      </c>
      <c r="S1421" s="402">
        <f ca="1">Table66[[#This Row],[Year 1  (Proposed)]]+Table66[[#This Row],[Year 2 (Proposed)]]+Table66[[#This Row],[Year 3 (Proposed)]]+Table66[[#This Row],[Year 4 (Proposed)]]+Table66[[#This Row],[Year 5 (Proposed)]]+Table66[[#This Row],[Year 6 (Proposed)]]</f>
        <v>0</v>
      </c>
      <c r="T1421" s="403" t="b">
        <f ca="1">Table66[[#This Row],[Total Specifed in RFO - N/A]]=Table66[[#This Row],[Total Proposed]]</f>
        <v>1</v>
      </c>
      <c r="U1421" s="439"/>
      <c r="V1421" s="441">
        <f ca="1">Table66[[#This Row],[Year 6 (Specified in RFO) - N/A]]-Table66[[#This Row],[Column1]]</f>
        <v>0</v>
      </c>
    </row>
    <row r="1422" spans="1:22" ht="16.5" thickBot="1">
      <c r="A1422" s="227"/>
      <c r="B1422" s="319"/>
      <c r="C1422" s="319"/>
      <c r="D1422" s="320"/>
      <c r="E1422" s="320"/>
      <c r="F1422" s="190"/>
      <c r="G14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2" s="190"/>
      <c r="I14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2" s="190"/>
      <c r="K14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2" s="190"/>
      <c r="M14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2" s="190"/>
      <c r="O14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2" s="190"/>
      <c r="Q14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2" s="192">
        <f ca="1">Table66[[#This Row],[Year 1 (Specified in RFO) - N/A]]+Table66[[#This Row],[Year 2 (Specified in RFO) - N/A]]+Table66[[#This Row],[Year 3 (Specified in RFO) - N/A]]+Table66[[#This Row],[Year 4 (Specified in RFO) - N/A]]+Table66[[#This Row],[Year 5 (Specified in RFO) - N/A]]+Table66[[#This Row],[Year 6 (Specified in RFO) - N/A]]</f>
        <v>0</v>
      </c>
      <c r="S1422" s="402">
        <f ca="1">Table66[[#This Row],[Year 1  (Proposed)]]+Table66[[#This Row],[Year 2 (Proposed)]]+Table66[[#This Row],[Year 3 (Proposed)]]+Table66[[#This Row],[Year 4 (Proposed)]]+Table66[[#This Row],[Year 5 (Proposed)]]+Table66[[#This Row],[Year 6 (Proposed)]]</f>
        <v>0</v>
      </c>
      <c r="T1422" s="403" t="b">
        <f ca="1">Table66[[#This Row],[Total Specifed in RFO - N/A]]=Table66[[#This Row],[Total Proposed]]</f>
        <v>1</v>
      </c>
      <c r="U1422" s="439"/>
      <c r="V1422" s="441">
        <f ca="1">Table66[[#This Row],[Year 6 (Specified in RFO) - N/A]]-Table66[[#This Row],[Column1]]</f>
        <v>0</v>
      </c>
    </row>
    <row r="1423" spans="1:22" ht="16.5" thickBot="1">
      <c r="A1423" s="227"/>
      <c r="B1423" s="319"/>
      <c r="C1423" s="319"/>
      <c r="D1423" s="320"/>
      <c r="E1423" s="320"/>
      <c r="F1423" s="190"/>
      <c r="G14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3" s="190"/>
      <c r="I14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3" s="190"/>
      <c r="K14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3" s="190"/>
      <c r="M14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3" s="190"/>
      <c r="O14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3" s="190"/>
      <c r="Q14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3" s="192">
        <f ca="1">Table66[[#This Row],[Year 1 (Specified in RFO) - N/A]]+Table66[[#This Row],[Year 2 (Specified in RFO) - N/A]]+Table66[[#This Row],[Year 3 (Specified in RFO) - N/A]]+Table66[[#This Row],[Year 4 (Specified in RFO) - N/A]]+Table66[[#This Row],[Year 5 (Specified in RFO) - N/A]]+Table66[[#This Row],[Year 6 (Specified in RFO) - N/A]]</f>
        <v>0</v>
      </c>
      <c r="S1423" s="402">
        <f ca="1">Table66[[#This Row],[Year 1  (Proposed)]]+Table66[[#This Row],[Year 2 (Proposed)]]+Table66[[#This Row],[Year 3 (Proposed)]]+Table66[[#This Row],[Year 4 (Proposed)]]+Table66[[#This Row],[Year 5 (Proposed)]]+Table66[[#This Row],[Year 6 (Proposed)]]</f>
        <v>0</v>
      </c>
      <c r="T1423" s="403" t="b">
        <f ca="1">Table66[[#This Row],[Total Specifed in RFO - N/A]]=Table66[[#This Row],[Total Proposed]]</f>
        <v>1</v>
      </c>
      <c r="U1423" s="439"/>
      <c r="V1423" s="441">
        <f ca="1">Table66[[#This Row],[Year 6 (Specified in RFO) - N/A]]-Table66[[#This Row],[Column1]]</f>
        <v>0</v>
      </c>
    </row>
    <row r="1424" spans="1:22" ht="16.5" thickBot="1">
      <c r="A1424" s="227"/>
      <c r="B1424" s="319"/>
      <c r="C1424" s="319"/>
      <c r="D1424" s="320"/>
      <c r="E1424" s="320"/>
      <c r="F1424" s="190"/>
      <c r="G14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4" s="190"/>
      <c r="I14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4" s="190"/>
      <c r="K14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4" s="190"/>
      <c r="M14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4" s="190"/>
      <c r="O14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4" s="190"/>
      <c r="Q14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4" s="192">
        <f ca="1">Table66[[#This Row],[Year 1 (Specified in RFO) - N/A]]+Table66[[#This Row],[Year 2 (Specified in RFO) - N/A]]+Table66[[#This Row],[Year 3 (Specified in RFO) - N/A]]+Table66[[#This Row],[Year 4 (Specified in RFO) - N/A]]+Table66[[#This Row],[Year 5 (Specified in RFO) - N/A]]+Table66[[#This Row],[Year 6 (Specified in RFO) - N/A]]</f>
        <v>0</v>
      </c>
      <c r="S1424" s="402">
        <f ca="1">Table66[[#This Row],[Year 1  (Proposed)]]+Table66[[#This Row],[Year 2 (Proposed)]]+Table66[[#This Row],[Year 3 (Proposed)]]+Table66[[#This Row],[Year 4 (Proposed)]]+Table66[[#This Row],[Year 5 (Proposed)]]+Table66[[#This Row],[Year 6 (Proposed)]]</f>
        <v>0</v>
      </c>
      <c r="T1424" s="403" t="b">
        <f ca="1">Table66[[#This Row],[Total Specifed in RFO - N/A]]=Table66[[#This Row],[Total Proposed]]</f>
        <v>1</v>
      </c>
      <c r="U1424" s="439"/>
      <c r="V1424" s="441">
        <f ca="1">Table66[[#This Row],[Year 6 (Specified in RFO) - N/A]]-Table66[[#This Row],[Column1]]</f>
        <v>0</v>
      </c>
    </row>
    <row r="1425" spans="1:22" ht="16.5" thickBot="1">
      <c r="A1425" s="227"/>
      <c r="B1425" s="319"/>
      <c r="C1425" s="319"/>
      <c r="D1425" s="320"/>
      <c r="E1425" s="320"/>
      <c r="F1425" s="190"/>
      <c r="G14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5" s="190"/>
      <c r="I14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5" s="190"/>
      <c r="K14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5" s="190"/>
      <c r="M14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5" s="190"/>
      <c r="O14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5" s="190"/>
      <c r="Q14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5" s="192">
        <f ca="1">Table66[[#This Row],[Year 1 (Specified in RFO) - N/A]]+Table66[[#This Row],[Year 2 (Specified in RFO) - N/A]]+Table66[[#This Row],[Year 3 (Specified in RFO) - N/A]]+Table66[[#This Row],[Year 4 (Specified in RFO) - N/A]]+Table66[[#This Row],[Year 5 (Specified in RFO) - N/A]]+Table66[[#This Row],[Year 6 (Specified in RFO) - N/A]]</f>
        <v>0</v>
      </c>
      <c r="S1425" s="402">
        <f ca="1">Table66[[#This Row],[Year 1  (Proposed)]]+Table66[[#This Row],[Year 2 (Proposed)]]+Table66[[#This Row],[Year 3 (Proposed)]]+Table66[[#This Row],[Year 4 (Proposed)]]+Table66[[#This Row],[Year 5 (Proposed)]]+Table66[[#This Row],[Year 6 (Proposed)]]</f>
        <v>0</v>
      </c>
      <c r="T1425" s="403" t="b">
        <f ca="1">Table66[[#This Row],[Total Specifed in RFO - N/A]]=Table66[[#This Row],[Total Proposed]]</f>
        <v>1</v>
      </c>
      <c r="U1425" s="439"/>
      <c r="V1425" s="441">
        <f ca="1">Table66[[#This Row],[Year 6 (Specified in RFO) - N/A]]-Table66[[#This Row],[Column1]]</f>
        <v>0</v>
      </c>
    </row>
    <row r="1426" spans="1:22" ht="16.5" thickBot="1">
      <c r="A1426" s="227"/>
      <c r="B1426" s="319"/>
      <c r="C1426" s="319"/>
      <c r="D1426" s="320"/>
      <c r="E1426" s="320"/>
      <c r="F1426" s="190"/>
      <c r="G14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6" s="190"/>
      <c r="I14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6" s="190"/>
      <c r="K14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6" s="190"/>
      <c r="M14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6" s="190"/>
      <c r="O14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6" s="190"/>
      <c r="Q14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6" s="192">
        <f ca="1">Table66[[#This Row],[Year 1 (Specified in RFO) - N/A]]+Table66[[#This Row],[Year 2 (Specified in RFO) - N/A]]+Table66[[#This Row],[Year 3 (Specified in RFO) - N/A]]+Table66[[#This Row],[Year 4 (Specified in RFO) - N/A]]+Table66[[#This Row],[Year 5 (Specified in RFO) - N/A]]+Table66[[#This Row],[Year 6 (Specified in RFO) - N/A]]</f>
        <v>0</v>
      </c>
      <c r="S1426" s="402">
        <f ca="1">Table66[[#This Row],[Year 1  (Proposed)]]+Table66[[#This Row],[Year 2 (Proposed)]]+Table66[[#This Row],[Year 3 (Proposed)]]+Table66[[#This Row],[Year 4 (Proposed)]]+Table66[[#This Row],[Year 5 (Proposed)]]+Table66[[#This Row],[Year 6 (Proposed)]]</f>
        <v>0</v>
      </c>
      <c r="T1426" s="403" t="b">
        <f ca="1">Table66[[#This Row],[Total Specifed in RFO - N/A]]=Table66[[#This Row],[Total Proposed]]</f>
        <v>1</v>
      </c>
      <c r="U1426" s="439"/>
      <c r="V1426" s="441">
        <f ca="1">Table66[[#This Row],[Year 6 (Specified in RFO) - N/A]]-Table66[[#This Row],[Column1]]</f>
        <v>0</v>
      </c>
    </row>
    <row r="1427" spans="1:22" ht="16.5" thickBot="1">
      <c r="A1427" s="227"/>
      <c r="B1427" s="319"/>
      <c r="C1427" s="319"/>
      <c r="D1427" s="320"/>
      <c r="E1427" s="320"/>
      <c r="F1427" s="190"/>
      <c r="G14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7" s="190"/>
      <c r="I14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7" s="190"/>
      <c r="K14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7" s="190"/>
      <c r="M14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7" s="190"/>
      <c r="O14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7" s="190"/>
      <c r="Q14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7" s="192">
        <f ca="1">Table66[[#This Row],[Year 1 (Specified in RFO) - N/A]]+Table66[[#This Row],[Year 2 (Specified in RFO) - N/A]]+Table66[[#This Row],[Year 3 (Specified in RFO) - N/A]]+Table66[[#This Row],[Year 4 (Specified in RFO) - N/A]]+Table66[[#This Row],[Year 5 (Specified in RFO) - N/A]]+Table66[[#This Row],[Year 6 (Specified in RFO) - N/A]]</f>
        <v>0</v>
      </c>
      <c r="S1427" s="402">
        <f ca="1">Table66[[#This Row],[Year 1  (Proposed)]]+Table66[[#This Row],[Year 2 (Proposed)]]+Table66[[#This Row],[Year 3 (Proposed)]]+Table66[[#This Row],[Year 4 (Proposed)]]+Table66[[#This Row],[Year 5 (Proposed)]]+Table66[[#This Row],[Year 6 (Proposed)]]</f>
        <v>0</v>
      </c>
      <c r="T1427" s="403" t="b">
        <f ca="1">Table66[[#This Row],[Total Specifed in RFO - N/A]]=Table66[[#This Row],[Total Proposed]]</f>
        <v>1</v>
      </c>
      <c r="U1427" s="439"/>
      <c r="V1427" s="441">
        <f ca="1">Table66[[#This Row],[Year 6 (Specified in RFO) - N/A]]-Table66[[#This Row],[Column1]]</f>
        <v>0</v>
      </c>
    </row>
    <row r="1428" spans="1:22" ht="16.5" thickBot="1">
      <c r="A1428" s="227"/>
      <c r="B1428" s="319"/>
      <c r="C1428" s="319"/>
      <c r="D1428" s="320"/>
      <c r="E1428" s="320"/>
      <c r="F1428" s="190"/>
      <c r="G14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8" s="190"/>
      <c r="I14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8" s="190"/>
      <c r="K14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8" s="190"/>
      <c r="M14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8" s="190"/>
      <c r="O14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8" s="190"/>
      <c r="Q14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8" s="192">
        <f ca="1">Table66[[#This Row],[Year 1 (Specified in RFO) - N/A]]+Table66[[#This Row],[Year 2 (Specified in RFO) - N/A]]+Table66[[#This Row],[Year 3 (Specified in RFO) - N/A]]+Table66[[#This Row],[Year 4 (Specified in RFO) - N/A]]+Table66[[#This Row],[Year 5 (Specified in RFO) - N/A]]+Table66[[#This Row],[Year 6 (Specified in RFO) - N/A]]</f>
        <v>0</v>
      </c>
      <c r="S1428" s="402">
        <f ca="1">Table66[[#This Row],[Year 1  (Proposed)]]+Table66[[#This Row],[Year 2 (Proposed)]]+Table66[[#This Row],[Year 3 (Proposed)]]+Table66[[#This Row],[Year 4 (Proposed)]]+Table66[[#This Row],[Year 5 (Proposed)]]+Table66[[#This Row],[Year 6 (Proposed)]]</f>
        <v>0</v>
      </c>
      <c r="T1428" s="403" t="b">
        <f ca="1">Table66[[#This Row],[Total Specifed in RFO - N/A]]=Table66[[#This Row],[Total Proposed]]</f>
        <v>1</v>
      </c>
      <c r="U1428" s="439"/>
      <c r="V1428" s="441">
        <f ca="1">Table66[[#This Row],[Year 6 (Specified in RFO) - N/A]]-Table66[[#This Row],[Column1]]</f>
        <v>0</v>
      </c>
    </row>
    <row r="1429" spans="1:22" ht="16.5" thickBot="1">
      <c r="A1429" s="227"/>
      <c r="B1429" s="319"/>
      <c r="C1429" s="319"/>
      <c r="D1429" s="320"/>
      <c r="E1429" s="320"/>
      <c r="F1429" s="190"/>
      <c r="G14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9" s="190"/>
      <c r="I14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9" s="190"/>
      <c r="K14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9" s="190"/>
      <c r="M14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9" s="190"/>
      <c r="O14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9" s="190"/>
      <c r="Q14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9" s="192">
        <f ca="1">Table66[[#This Row],[Year 1 (Specified in RFO) - N/A]]+Table66[[#This Row],[Year 2 (Specified in RFO) - N/A]]+Table66[[#This Row],[Year 3 (Specified in RFO) - N/A]]+Table66[[#This Row],[Year 4 (Specified in RFO) - N/A]]+Table66[[#This Row],[Year 5 (Specified in RFO) - N/A]]+Table66[[#This Row],[Year 6 (Specified in RFO) - N/A]]</f>
        <v>0</v>
      </c>
      <c r="S1429" s="402">
        <f ca="1">Table66[[#This Row],[Year 1  (Proposed)]]+Table66[[#This Row],[Year 2 (Proposed)]]+Table66[[#This Row],[Year 3 (Proposed)]]+Table66[[#This Row],[Year 4 (Proposed)]]+Table66[[#This Row],[Year 5 (Proposed)]]+Table66[[#This Row],[Year 6 (Proposed)]]</f>
        <v>0</v>
      </c>
      <c r="T1429" s="403" t="b">
        <f ca="1">Table66[[#This Row],[Total Specifed in RFO - N/A]]=Table66[[#This Row],[Total Proposed]]</f>
        <v>1</v>
      </c>
      <c r="U1429" s="439"/>
      <c r="V1429" s="441">
        <f ca="1">Table66[[#This Row],[Year 6 (Specified in RFO) - N/A]]-Table66[[#This Row],[Column1]]</f>
        <v>0</v>
      </c>
    </row>
    <row r="1430" spans="1:22" ht="16.5" thickBot="1">
      <c r="A1430" s="227"/>
      <c r="B1430" s="319"/>
      <c r="C1430" s="319"/>
      <c r="D1430" s="320"/>
      <c r="E1430" s="320"/>
      <c r="F1430" s="190"/>
      <c r="G14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0" s="190"/>
      <c r="I14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0" s="190"/>
      <c r="K14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0" s="190"/>
      <c r="M14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0" s="190"/>
      <c r="O14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0" s="190"/>
      <c r="Q14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0" s="192">
        <f ca="1">Table66[[#This Row],[Year 1 (Specified in RFO) - N/A]]+Table66[[#This Row],[Year 2 (Specified in RFO) - N/A]]+Table66[[#This Row],[Year 3 (Specified in RFO) - N/A]]+Table66[[#This Row],[Year 4 (Specified in RFO) - N/A]]+Table66[[#This Row],[Year 5 (Specified in RFO) - N/A]]+Table66[[#This Row],[Year 6 (Specified in RFO) - N/A]]</f>
        <v>0</v>
      </c>
      <c r="S1430" s="402">
        <f ca="1">Table66[[#This Row],[Year 1  (Proposed)]]+Table66[[#This Row],[Year 2 (Proposed)]]+Table66[[#This Row],[Year 3 (Proposed)]]+Table66[[#This Row],[Year 4 (Proposed)]]+Table66[[#This Row],[Year 5 (Proposed)]]+Table66[[#This Row],[Year 6 (Proposed)]]</f>
        <v>0</v>
      </c>
      <c r="T1430" s="403" t="b">
        <f ca="1">Table66[[#This Row],[Total Specifed in RFO - N/A]]=Table66[[#This Row],[Total Proposed]]</f>
        <v>1</v>
      </c>
      <c r="U1430" s="439"/>
      <c r="V1430" s="441">
        <f ca="1">Table66[[#This Row],[Year 6 (Specified in RFO) - N/A]]-Table66[[#This Row],[Column1]]</f>
        <v>0</v>
      </c>
    </row>
    <row r="1431" spans="1:22" ht="16.5" thickBot="1">
      <c r="A1431" s="227"/>
      <c r="B1431" s="319"/>
      <c r="C1431" s="319"/>
      <c r="D1431" s="320"/>
      <c r="E1431" s="320"/>
      <c r="F1431" s="190"/>
      <c r="G14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1" s="190"/>
      <c r="I14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1" s="190"/>
      <c r="K14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1" s="190"/>
      <c r="M14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1" s="190"/>
      <c r="O14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1" s="190"/>
      <c r="Q14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1" s="192">
        <f ca="1">Table66[[#This Row],[Year 1 (Specified in RFO) - N/A]]+Table66[[#This Row],[Year 2 (Specified in RFO) - N/A]]+Table66[[#This Row],[Year 3 (Specified in RFO) - N/A]]+Table66[[#This Row],[Year 4 (Specified in RFO) - N/A]]+Table66[[#This Row],[Year 5 (Specified in RFO) - N/A]]+Table66[[#This Row],[Year 6 (Specified in RFO) - N/A]]</f>
        <v>0</v>
      </c>
      <c r="S1431" s="402">
        <f ca="1">Table66[[#This Row],[Year 1  (Proposed)]]+Table66[[#This Row],[Year 2 (Proposed)]]+Table66[[#This Row],[Year 3 (Proposed)]]+Table66[[#This Row],[Year 4 (Proposed)]]+Table66[[#This Row],[Year 5 (Proposed)]]+Table66[[#This Row],[Year 6 (Proposed)]]</f>
        <v>0</v>
      </c>
      <c r="T1431" s="403" t="b">
        <f ca="1">Table66[[#This Row],[Total Specifed in RFO - N/A]]=Table66[[#This Row],[Total Proposed]]</f>
        <v>1</v>
      </c>
      <c r="U1431" s="439"/>
      <c r="V1431" s="441">
        <f ca="1">Table66[[#This Row],[Year 6 (Specified in RFO) - N/A]]-Table66[[#This Row],[Column1]]</f>
        <v>0</v>
      </c>
    </row>
    <row r="1432" spans="1:22" ht="16.5" thickBot="1">
      <c r="A1432" s="227"/>
      <c r="B1432" s="319"/>
      <c r="C1432" s="319"/>
      <c r="D1432" s="320"/>
      <c r="E1432" s="320"/>
      <c r="F1432" s="190"/>
      <c r="G14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2" s="190"/>
      <c r="I14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2" s="190"/>
      <c r="K14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2" s="190"/>
      <c r="M14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2" s="190"/>
      <c r="O14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2" s="190"/>
      <c r="Q14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2" s="192">
        <f ca="1">Table66[[#This Row],[Year 1 (Specified in RFO) - N/A]]+Table66[[#This Row],[Year 2 (Specified in RFO) - N/A]]+Table66[[#This Row],[Year 3 (Specified in RFO) - N/A]]+Table66[[#This Row],[Year 4 (Specified in RFO) - N/A]]+Table66[[#This Row],[Year 5 (Specified in RFO) - N/A]]+Table66[[#This Row],[Year 6 (Specified in RFO) - N/A]]</f>
        <v>0</v>
      </c>
      <c r="S1432" s="402">
        <f ca="1">Table66[[#This Row],[Year 1  (Proposed)]]+Table66[[#This Row],[Year 2 (Proposed)]]+Table66[[#This Row],[Year 3 (Proposed)]]+Table66[[#This Row],[Year 4 (Proposed)]]+Table66[[#This Row],[Year 5 (Proposed)]]+Table66[[#This Row],[Year 6 (Proposed)]]</f>
        <v>0</v>
      </c>
      <c r="T1432" s="403" t="b">
        <f ca="1">Table66[[#This Row],[Total Specifed in RFO - N/A]]=Table66[[#This Row],[Total Proposed]]</f>
        <v>1</v>
      </c>
      <c r="U1432" s="439"/>
      <c r="V1432" s="441">
        <f ca="1">Table66[[#This Row],[Year 6 (Specified in RFO) - N/A]]-Table66[[#This Row],[Column1]]</f>
        <v>0</v>
      </c>
    </row>
    <row r="1433" spans="1:22" ht="16.5" thickBot="1">
      <c r="A1433" s="227"/>
      <c r="B1433" s="319"/>
      <c r="C1433" s="319"/>
      <c r="D1433" s="320"/>
      <c r="E1433" s="320"/>
      <c r="F1433" s="190"/>
      <c r="G14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3" s="190"/>
      <c r="I14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3" s="190"/>
      <c r="K14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3" s="190"/>
      <c r="M14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3" s="190"/>
      <c r="O14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3" s="190"/>
      <c r="Q14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3" s="192">
        <f ca="1">Table66[[#This Row],[Year 1 (Specified in RFO) - N/A]]+Table66[[#This Row],[Year 2 (Specified in RFO) - N/A]]+Table66[[#This Row],[Year 3 (Specified in RFO) - N/A]]+Table66[[#This Row],[Year 4 (Specified in RFO) - N/A]]+Table66[[#This Row],[Year 5 (Specified in RFO) - N/A]]+Table66[[#This Row],[Year 6 (Specified in RFO) - N/A]]</f>
        <v>0</v>
      </c>
      <c r="S1433" s="402">
        <f ca="1">Table66[[#This Row],[Year 1  (Proposed)]]+Table66[[#This Row],[Year 2 (Proposed)]]+Table66[[#This Row],[Year 3 (Proposed)]]+Table66[[#This Row],[Year 4 (Proposed)]]+Table66[[#This Row],[Year 5 (Proposed)]]+Table66[[#This Row],[Year 6 (Proposed)]]</f>
        <v>0</v>
      </c>
      <c r="T1433" s="403" t="b">
        <f ca="1">Table66[[#This Row],[Total Specifed in RFO - N/A]]=Table66[[#This Row],[Total Proposed]]</f>
        <v>1</v>
      </c>
      <c r="U1433" s="439"/>
      <c r="V1433" s="441">
        <f ca="1">Table66[[#This Row],[Year 6 (Specified in RFO) - N/A]]-Table66[[#This Row],[Column1]]</f>
        <v>0</v>
      </c>
    </row>
    <row r="1434" spans="1:22">
      <c r="A1434" s="312"/>
      <c r="B1434" s="321"/>
      <c r="C1434" s="321"/>
      <c r="D1434" s="322"/>
      <c r="E1434" s="322"/>
      <c r="F1434" s="313"/>
      <c r="G14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4" s="313"/>
      <c r="I14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4" s="313"/>
      <c r="K14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4" s="313"/>
      <c r="M1434" s="406"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4" s="313"/>
      <c r="O1434" s="406"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4" s="313"/>
      <c r="Q14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4" s="314">
        <f ca="1">Table66[[#This Row],[Year 1 (Specified in RFO) - N/A]]+Table66[[#This Row],[Year 2 (Specified in RFO) - N/A]]+Table66[[#This Row],[Year 3 (Specified in RFO) - N/A]]+Table66[[#This Row],[Year 4 (Specified in RFO) - N/A]]+Table66[[#This Row],[Year 5 (Specified in RFO) - N/A]]+Table66[[#This Row],[Year 6 (Specified in RFO) - N/A]]</f>
        <v>0</v>
      </c>
      <c r="S1434" s="402">
        <f ca="1">Table66[[#This Row],[Year 1  (Proposed)]]+Table66[[#This Row],[Year 2 (Proposed)]]+Table66[[#This Row],[Year 3 (Proposed)]]+Table66[[#This Row],[Year 4 (Proposed)]]+Table66[[#This Row],[Year 5 (Proposed)]]+Table66[[#This Row],[Year 6 (Proposed)]]</f>
        <v>0</v>
      </c>
      <c r="T1434" s="403" t="b">
        <f ca="1">Table66[[#This Row],[Total Specifed in RFO - N/A]]=Table66[[#This Row],[Total Proposed]]</f>
        <v>1</v>
      </c>
      <c r="U1434" s="439"/>
      <c r="V1434" s="441">
        <f ca="1">Table66[[#This Row],[Year 6 (Specified in RFO) - N/A]]-Table66[[#This Row],[Column1]]</f>
        <v>0</v>
      </c>
    </row>
    <row r="1437" spans="1:22">
      <c r="G1437" s="197">
        <f ca="1">SUM(Table66[Year 1  (Proposed)])</f>
        <v>0</v>
      </c>
      <c r="H1437" s="197"/>
      <c r="I1437" s="197">
        <f ca="1">SUM(Table66[Year 2 (Proposed)])</f>
        <v>0</v>
      </c>
      <c r="J1437" s="197"/>
      <c r="K1437" s="197">
        <f ca="1">SUM(Table66[Year 3 (Proposed)])</f>
        <v>0</v>
      </c>
      <c r="L1437" s="197"/>
      <c r="M1437" s="197">
        <f ca="1">SUM(Table66[Year 4 (Proposed)])</f>
        <v>0</v>
      </c>
      <c r="N1437" s="197"/>
      <c r="O1437" s="197">
        <f ca="1">SUM(Table66[Year 5 (Proposed)])</f>
        <v>0</v>
      </c>
      <c r="P1437" s="197"/>
      <c r="Q1437" s="197">
        <f ca="1">SUM(Table66[Year 6 (Proposed)])</f>
        <v>0</v>
      </c>
      <c r="R1437" s="198">
        <f ca="1">F707+H1437+J1437+L1437+N1437</f>
        <v>0</v>
      </c>
      <c r="S1437" s="198">
        <f ca="1">G1437+I1437+K1437+M1437+O1437+Q1437</f>
        <v>0</v>
      </c>
      <c r="T1437" s="198" t="b">
        <f ca="1">R1437=S1437</f>
        <v>1</v>
      </c>
    </row>
    <row r="1438" spans="1:22">
      <c r="G1438" s="199">
        <f ca="1">G1437-'[1]Cost Summary'!J303</f>
        <v>0</v>
      </c>
      <c r="I1438" s="199">
        <f ca="1">I1437-'[1]Cost Summary'!O303</f>
        <v>0</v>
      </c>
      <c r="K1438" s="199">
        <f ca="1">K1437-'[1]Cost Summary'!T303</f>
        <v>0</v>
      </c>
      <c r="M1438" s="199">
        <f ca="1">M1437-'[1]Cost Summary'!Y303</f>
        <v>0</v>
      </c>
      <c r="O1438" s="199">
        <f ca="1">O1437-'[1]Cost Summary'!AD303</f>
        <v>0</v>
      </c>
      <c r="Q1438" s="199">
        <f ca="1">Q1437-'[1]Cost Summary'!AI303</f>
        <v>0</v>
      </c>
      <c r="S1438" s="199">
        <f ca="1">S1437-'[1]Cost Summary'!AM303</f>
        <v>0</v>
      </c>
    </row>
    <row r="1441" spans="7:18">
      <c r="G1441" s="232" t="s">
        <v>289</v>
      </c>
    </row>
    <row r="1442" spans="7:18">
      <c r="G1442" s="232" t="s">
        <v>290</v>
      </c>
    </row>
    <row r="1443" spans="7:18">
      <c r="R1443" s="199"/>
    </row>
  </sheetData>
  <phoneticPr fontId="40" type="noConversion"/>
  <conditionalFormatting sqref="R3:R60 R62:R706">
    <cfRule type="cellIs" dxfId="44" priority="5" operator="equal">
      <formula>#REF!</formula>
    </cfRule>
  </conditionalFormatting>
  <conditionalFormatting sqref="S3:S60 S62:S1434">
    <cfRule type="cellIs" dxfId="43" priority="1" operator="equal">
      <formula>$R3</formula>
    </cfRule>
    <cfRule type="cellIs" dxfId="42" priority="4" operator="equal">
      <formula>T3</formula>
    </cfRule>
  </conditionalFormatting>
  <conditionalFormatting sqref="T3:T1434">
    <cfRule type="cellIs" dxfId="41" priority="2" operator="equal">
      <formula>FALSE</formula>
    </cfRule>
    <cfRule type="cellIs" dxfId="40" priority="3" operator="equal">
      <formula>TRUE</formula>
    </cfRule>
  </conditionalFormatting>
  <pageMargins left="0.7" right="0.7" top="0.75" bottom="0.75" header="0.3" footer="0.3"/>
  <pageSetup orientation="portrait" horizontalDpi="200" verticalDpi="200" r:id="rId1"/>
  <headerFooter>
    <oddHeader>&amp;A</oddHead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2" tint="-9.9978637043366805E-2"/>
  </sheetPr>
  <dimension ref="A1:M447"/>
  <sheetViews>
    <sheetView zoomScaleNormal="100" workbookViewId="0">
      <selection activeCell="B34" sqref="B34"/>
    </sheetView>
  </sheetViews>
  <sheetFormatPr defaultColWidth="9.140625" defaultRowHeight="15.75"/>
  <cols>
    <col min="1" max="1" width="4.5703125" style="28" customWidth="1"/>
    <col min="2" max="2" width="134.5703125" style="226" customWidth="1"/>
    <col min="3" max="3" width="28.85546875" style="28" bestFit="1" customWidth="1"/>
    <col min="4" max="4" width="20" style="28" customWidth="1"/>
    <col min="5" max="5" width="27" style="229" customWidth="1"/>
    <col min="6" max="6" width="15.85546875" style="220" customWidth="1"/>
    <col min="7" max="8" width="9.140625" style="28"/>
    <col min="9" max="9" width="30" style="28" customWidth="1"/>
    <col min="10" max="11" width="9.140625" style="28"/>
    <col min="12" max="12" width="26" style="28" bestFit="1" customWidth="1"/>
    <col min="13" max="13" width="25.85546875" style="28" bestFit="1" customWidth="1"/>
    <col min="14" max="16384" width="9.140625" style="28"/>
  </cols>
  <sheetData>
    <row r="1" spans="1:13" ht="16.5" thickBot="1">
      <c r="A1" s="200" t="s">
        <v>291</v>
      </c>
      <c r="B1" s="200" t="s">
        <v>292</v>
      </c>
      <c r="C1" s="200" t="s">
        <v>293</v>
      </c>
      <c r="D1" s="200" t="s">
        <v>294</v>
      </c>
      <c r="E1" s="228" t="s">
        <v>118</v>
      </c>
      <c r="F1" s="218"/>
      <c r="G1" s="201" t="s">
        <v>295</v>
      </c>
      <c r="H1" s="202" t="s">
        <v>236</v>
      </c>
      <c r="I1" s="202" t="s">
        <v>118</v>
      </c>
      <c r="J1" s="202" t="s">
        <v>296</v>
      </c>
      <c r="L1" s="280" t="s">
        <v>297</v>
      </c>
      <c r="M1" s="280" t="s">
        <v>298</v>
      </c>
    </row>
    <row r="2" spans="1:13" s="212" customFormat="1" ht="16.5" thickTop="1">
      <c r="A2" s="216">
        <v>1</v>
      </c>
      <c r="B2" s="397" t="s">
        <v>254</v>
      </c>
      <c r="C2" s="332">
        <v>50.86</v>
      </c>
      <c r="D2" s="352" t="s">
        <v>299</v>
      </c>
      <c r="E2" s="401" t="s">
        <v>256</v>
      </c>
      <c r="F2" s="219"/>
      <c r="G2" s="210" t="s">
        <v>257</v>
      </c>
      <c r="H2" s="211" t="s">
        <v>48</v>
      </c>
      <c r="I2" s="211" t="s">
        <v>256</v>
      </c>
      <c r="J2" s="211" t="s">
        <v>28</v>
      </c>
      <c r="L2" s="281">
        <f ca="1">MATCH("Prime Contractor Direct Labor",Cost_Elements[Cost Elements],0)+8</f>
        <v>10</v>
      </c>
      <c r="M2" s="280">
        <v>21</v>
      </c>
    </row>
    <row r="3" spans="1:13" s="212" customFormat="1">
      <c r="A3" s="217">
        <v>2</v>
      </c>
      <c r="B3" s="398" t="s">
        <v>259</v>
      </c>
      <c r="C3" s="333">
        <v>61.96</v>
      </c>
      <c r="D3" s="354" t="s">
        <v>299</v>
      </c>
      <c r="E3" s="401" t="s">
        <v>256</v>
      </c>
      <c r="F3" s="219"/>
      <c r="G3" s="213" t="s">
        <v>300</v>
      </c>
      <c r="H3" s="211" t="s">
        <v>30</v>
      </c>
      <c r="I3" s="211"/>
      <c r="J3" s="211" t="s">
        <v>90</v>
      </c>
      <c r="L3" s="28"/>
      <c r="M3" s="28"/>
    </row>
    <row r="4" spans="1:13" s="212" customFormat="1">
      <c r="A4" s="216">
        <v>3</v>
      </c>
      <c r="B4" s="397" t="s">
        <v>260</v>
      </c>
      <c r="C4" s="332">
        <v>73.81</v>
      </c>
      <c r="D4" s="352" t="s">
        <v>299</v>
      </c>
      <c r="E4" s="401" t="s">
        <v>256</v>
      </c>
      <c r="F4" s="219"/>
      <c r="H4" s="211" t="s">
        <v>96</v>
      </c>
      <c r="I4" s="211"/>
      <c r="L4" s="280" t="s">
        <v>301</v>
      </c>
      <c r="M4" s="280" t="s">
        <v>302</v>
      </c>
    </row>
    <row r="5" spans="1:13" s="212" customFormat="1">
      <c r="A5" s="217">
        <v>4</v>
      </c>
      <c r="B5" s="398" t="s">
        <v>261</v>
      </c>
      <c r="C5" s="333">
        <v>40.270000000000003</v>
      </c>
      <c r="D5" s="354" t="s">
        <v>299</v>
      </c>
      <c r="E5" s="401" t="s">
        <v>256</v>
      </c>
      <c r="F5" s="219"/>
      <c r="I5" s="211"/>
      <c r="L5" s="281">
        <f ca="1">MATCH("Subcontractor Labor Cost",Cost_Elements[Cost Elements],0)+11</f>
        <v>137</v>
      </c>
      <c r="M5" s="281">
        <f ca="1">MATCH("Subcontractor Labor Cost",Cost_Elements[Cost Elements],0)+11</f>
        <v>137</v>
      </c>
    </row>
    <row r="6" spans="1:13" s="212" customFormat="1">
      <c r="A6" s="216">
        <v>5</v>
      </c>
      <c r="B6" s="397" t="s">
        <v>262</v>
      </c>
      <c r="C6" s="332">
        <v>50.45</v>
      </c>
      <c r="D6" s="352" t="s">
        <v>299</v>
      </c>
      <c r="E6" s="401" t="s">
        <v>256</v>
      </c>
      <c r="F6" s="219"/>
      <c r="I6" s="211"/>
      <c r="L6" s="28"/>
      <c r="M6" s="28"/>
    </row>
    <row r="7" spans="1:13" s="212" customFormat="1">
      <c r="A7" s="217">
        <v>6</v>
      </c>
      <c r="B7" s="398" t="s">
        <v>263</v>
      </c>
      <c r="C7" s="333">
        <v>69.959999999999994</v>
      </c>
      <c r="D7" s="354" t="s">
        <v>299</v>
      </c>
      <c r="E7" s="401" t="s">
        <v>256</v>
      </c>
      <c r="F7" s="219"/>
      <c r="L7" s="282" t="s">
        <v>303</v>
      </c>
      <c r="M7" s="283" t="s">
        <v>304</v>
      </c>
    </row>
    <row r="8" spans="1:13" s="212" customFormat="1">
      <c r="A8" s="216">
        <v>7</v>
      </c>
      <c r="B8" s="397" t="s">
        <v>264</v>
      </c>
      <c r="C8" s="332">
        <v>39.56</v>
      </c>
      <c r="D8" s="352" t="s">
        <v>299</v>
      </c>
      <c r="E8" s="401" t="s">
        <v>256</v>
      </c>
      <c r="F8" s="219"/>
      <c r="L8" s="284" t="s">
        <v>303</v>
      </c>
      <c r="M8" s="285">
        <f>COUNTIF(L11:L29,"&lt;&gt;")</f>
        <v>9</v>
      </c>
    </row>
    <row r="9" spans="1:13" s="212" customFormat="1">
      <c r="A9" s="217">
        <v>8</v>
      </c>
      <c r="B9" s="398" t="s">
        <v>265</v>
      </c>
      <c r="C9" s="333">
        <v>49.94</v>
      </c>
      <c r="D9" s="354" t="s">
        <v>299</v>
      </c>
      <c r="E9" s="401" t="s">
        <v>256</v>
      </c>
      <c r="F9" s="219"/>
      <c r="L9" s="28"/>
      <c r="M9" s="28"/>
    </row>
    <row r="10" spans="1:13" s="212" customFormat="1">
      <c r="A10" s="216">
        <v>9</v>
      </c>
      <c r="B10" s="397" t="s">
        <v>266</v>
      </c>
      <c r="C10" s="332">
        <v>49.94</v>
      </c>
      <c r="D10" s="352" t="s">
        <v>299</v>
      </c>
      <c r="E10" s="401" t="s">
        <v>256</v>
      </c>
      <c r="F10" s="219"/>
      <c r="L10" s="282" t="s">
        <v>305</v>
      </c>
      <c r="M10" s="28"/>
    </row>
    <row r="11" spans="1:13" s="212" customFormat="1">
      <c r="A11" s="217">
        <v>10</v>
      </c>
      <c r="B11" s="398" t="s">
        <v>267</v>
      </c>
      <c r="C11" s="333">
        <v>63.52</v>
      </c>
      <c r="D11" s="354" t="s">
        <v>299</v>
      </c>
      <c r="E11" s="401" t="s">
        <v>256</v>
      </c>
      <c r="F11" s="219"/>
      <c r="L11" s="284">
        <v>0</v>
      </c>
      <c r="M11" s="28">
        <v>101</v>
      </c>
    </row>
    <row r="12" spans="1:13" s="212" customFormat="1">
      <c r="A12" s="216">
        <v>11</v>
      </c>
      <c r="B12" s="397" t="s">
        <v>268</v>
      </c>
      <c r="C12" s="332">
        <v>63.52</v>
      </c>
      <c r="D12" s="352" t="s">
        <v>299</v>
      </c>
      <c r="E12" s="401" t="s">
        <v>256</v>
      </c>
      <c r="F12" s="219"/>
      <c r="L12" s="284">
        <v>0</v>
      </c>
      <c r="M12" s="28">
        <v>101</v>
      </c>
    </row>
    <row r="13" spans="1:13" s="212" customFormat="1">
      <c r="A13" s="217">
        <v>12</v>
      </c>
      <c r="B13" s="398" t="s">
        <v>269</v>
      </c>
      <c r="C13" s="333">
        <v>56.59</v>
      </c>
      <c r="D13" s="354" t="s">
        <v>299</v>
      </c>
      <c r="E13" s="401" t="s">
        <v>256</v>
      </c>
      <c r="F13" s="219"/>
      <c r="L13" s="284">
        <v>0</v>
      </c>
      <c r="M13" s="28">
        <v>101</v>
      </c>
    </row>
    <row r="14" spans="1:13" s="212" customFormat="1">
      <c r="A14" s="216">
        <v>13</v>
      </c>
      <c r="B14" s="397" t="s">
        <v>270</v>
      </c>
      <c r="C14" s="332">
        <v>78.14</v>
      </c>
      <c r="D14" s="352" t="s">
        <v>299</v>
      </c>
      <c r="E14" s="401" t="s">
        <v>256</v>
      </c>
      <c r="F14" s="219"/>
      <c r="L14" s="284">
        <v>0</v>
      </c>
      <c r="M14" s="28">
        <v>101</v>
      </c>
    </row>
    <row r="15" spans="1:13" s="212" customFormat="1">
      <c r="A15" s="217">
        <v>14</v>
      </c>
      <c r="B15" s="398" t="s">
        <v>271</v>
      </c>
      <c r="C15" s="333">
        <v>52.55</v>
      </c>
      <c r="D15" s="354" t="s">
        <v>299</v>
      </c>
      <c r="E15" s="401" t="s">
        <v>256</v>
      </c>
      <c r="F15" s="219"/>
      <c r="L15" s="284">
        <v>0</v>
      </c>
      <c r="M15" s="28">
        <v>101</v>
      </c>
    </row>
    <row r="16" spans="1:13" s="212" customFormat="1">
      <c r="A16" s="216">
        <v>15</v>
      </c>
      <c r="B16" s="399" t="s">
        <v>272</v>
      </c>
      <c r="C16" s="334">
        <v>64.39</v>
      </c>
      <c r="D16" s="353"/>
      <c r="E16" s="401" t="s">
        <v>256</v>
      </c>
      <c r="F16" s="219"/>
      <c r="L16" s="284">
        <v>0</v>
      </c>
      <c r="M16" s="28">
        <v>101</v>
      </c>
    </row>
    <row r="17" spans="1:13" s="212" customFormat="1">
      <c r="A17" s="217">
        <v>16</v>
      </c>
      <c r="B17" s="408" t="s">
        <v>273</v>
      </c>
      <c r="C17" s="333">
        <v>51.78</v>
      </c>
      <c r="D17" s="354"/>
      <c r="E17" s="401" t="s">
        <v>256</v>
      </c>
      <c r="F17" s="219"/>
      <c r="L17" s="284">
        <v>0</v>
      </c>
      <c r="M17" s="28">
        <v>101</v>
      </c>
    </row>
    <row r="18" spans="1:13" s="212" customFormat="1">
      <c r="A18" s="216">
        <v>17</v>
      </c>
      <c r="B18" s="399" t="s">
        <v>275</v>
      </c>
      <c r="C18" s="334">
        <v>49.67</v>
      </c>
      <c r="D18" s="353" t="s">
        <v>299</v>
      </c>
      <c r="E18" s="401" t="s">
        <v>256</v>
      </c>
      <c r="F18" s="219"/>
      <c r="L18" s="284">
        <v>0</v>
      </c>
      <c r="M18" s="28">
        <v>101</v>
      </c>
    </row>
    <row r="19" spans="1:13" s="212" customFormat="1">
      <c r="A19" s="217">
        <v>18</v>
      </c>
      <c r="B19" s="398" t="s">
        <v>276</v>
      </c>
      <c r="C19" s="333">
        <v>63.43</v>
      </c>
      <c r="D19" s="354" t="s">
        <v>299</v>
      </c>
      <c r="E19" s="401" t="s">
        <v>256</v>
      </c>
      <c r="F19" s="219"/>
      <c r="L19" s="284">
        <v>0</v>
      </c>
      <c r="M19" s="28">
        <v>101</v>
      </c>
    </row>
    <row r="20" spans="1:13" s="212" customFormat="1">
      <c r="A20" s="216">
        <v>19</v>
      </c>
      <c r="B20" s="399" t="s">
        <v>277</v>
      </c>
      <c r="C20" s="334">
        <v>83.04</v>
      </c>
      <c r="D20" s="353" t="s">
        <v>299</v>
      </c>
      <c r="E20" s="401" t="s">
        <v>256</v>
      </c>
      <c r="F20" s="219"/>
      <c r="L20" s="284"/>
      <c r="M20" s="28"/>
    </row>
    <row r="21" spans="1:13" s="212" customFormat="1">
      <c r="A21" s="217">
        <v>20</v>
      </c>
      <c r="B21" s="408" t="s">
        <v>278</v>
      </c>
      <c r="C21" s="333">
        <v>83.04</v>
      </c>
      <c r="D21" s="354" t="s">
        <v>299</v>
      </c>
      <c r="E21" s="401" t="s">
        <v>256</v>
      </c>
      <c r="F21" s="219"/>
      <c r="L21" s="284"/>
      <c r="M21" s="28"/>
    </row>
    <row r="22" spans="1:13" s="212" customFormat="1">
      <c r="A22" s="216">
        <v>21</v>
      </c>
      <c r="B22" s="399" t="s">
        <v>279</v>
      </c>
      <c r="C22" s="334">
        <v>45.66</v>
      </c>
      <c r="D22" s="353" t="s">
        <v>299</v>
      </c>
      <c r="E22" s="401" t="s">
        <v>256</v>
      </c>
      <c r="F22" s="219"/>
      <c r="L22" s="284"/>
      <c r="M22" s="28"/>
    </row>
    <row r="23" spans="1:13" s="212" customFormat="1">
      <c r="A23" s="217">
        <v>22</v>
      </c>
      <c r="B23" s="398" t="s">
        <v>280</v>
      </c>
      <c r="C23" s="333">
        <v>53.42</v>
      </c>
      <c r="D23" s="354" t="s">
        <v>299</v>
      </c>
      <c r="E23" s="401" t="s">
        <v>256</v>
      </c>
      <c r="F23" s="219"/>
      <c r="L23" s="284"/>
      <c r="M23" s="28"/>
    </row>
    <row r="24" spans="1:13" s="212" customFormat="1">
      <c r="A24" s="216">
        <v>23</v>
      </c>
      <c r="B24" s="399" t="s">
        <v>281</v>
      </c>
      <c r="C24" s="334">
        <v>69.45</v>
      </c>
      <c r="D24" s="353" t="s">
        <v>299</v>
      </c>
      <c r="E24" s="401" t="s">
        <v>256</v>
      </c>
      <c r="F24" s="219"/>
      <c r="L24" s="284"/>
      <c r="M24" s="28"/>
    </row>
    <row r="25" spans="1:13" s="212" customFormat="1">
      <c r="A25" s="217">
        <v>24</v>
      </c>
      <c r="B25" s="398" t="s">
        <v>282</v>
      </c>
      <c r="C25" s="333">
        <v>39.630000000000003</v>
      </c>
      <c r="D25" s="354" t="s">
        <v>299</v>
      </c>
      <c r="E25" s="401" t="s">
        <v>256</v>
      </c>
      <c r="F25" s="219"/>
      <c r="L25" s="284"/>
      <c r="M25" s="28"/>
    </row>
    <row r="26" spans="1:13" s="212" customFormat="1">
      <c r="A26" s="216">
        <v>25</v>
      </c>
      <c r="B26" s="399" t="s">
        <v>283</v>
      </c>
      <c r="C26" s="334">
        <v>53.95</v>
      </c>
      <c r="D26" s="353"/>
      <c r="E26" s="401" t="s">
        <v>256</v>
      </c>
      <c r="F26" s="219"/>
      <c r="L26" s="284"/>
      <c r="M26" s="28"/>
    </row>
    <row r="27" spans="1:13" s="212" customFormat="1">
      <c r="A27" s="217">
        <v>26</v>
      </c>
      <c r="B27" s="398" t="s">
        <v>284</v>
      </c>
      <c r="C27" s="333">
        <v>17.8</v>
      </c>
      <c r="D27" s="354"/>
      <c r="E27" s="401" t="s">
        <v>256</v>
      </c>
      <c r="F27" s="219"/>
      <c r="L27" s="284"/>
      <c r="M27" s="28"/>
    </row>
    <row r="28" spans="1:13" s="212" customFormat="1">
      <c r="A28" s="216">
        <v>27</v>
      </c>
      <c r="B28" s="399" t="s">
        <v>286</v>
      </c>
      <c r="C28" s="334">
        <v>19.420000000000002</v>
      </c>
      <c r="D28" s="353"/>
      <c r="E28" s="401" t="s">
        <v>256</v>
      </c>
      <c r="F28" s="219"/>
      <c r="L28" s="284"/>
      <c r="M28" s="28"/>
    </row>
    <row r="29" spans="1:13" s="212" customFormat="1">
      <c r="A29" s="217">
        <v>28</v>
      </c>
      <c r="B29" s="398" t="s">
        <v>287</v>
      </c>
      <c r="C29" s="333">
        <v>21.79</v>
      </c>
      <c r="D29" s="354"/>
      <c r="E29" s="401" t="s">
        <v>256</v>
      </c>
      <c r="F29" s="219"/>
      <c r="L29" s="284"/>
      <c r="M29" s="28"/>
    </row>
    <row r="30" spans="1:13" s="212" customFormat="1">
      <c r="A30" s="216">
        <v>71</v>
      </c>
      <c r="B30" s="342"/>
      <c r="C30" s="343"/>
      <c r="D30" s="344"/>
      <c r="E30" s="345"/>
      <c r="F30" s="219"/>
    </row>
    <row r="31" spans="1:13" s="212" customFormat="1">
      <c r="A31" s="217">
        <v>72</v>
      </c>
      <c r="B31" s="342"/>
      <c r="C31" s="346"/>
      <c r="D31" s="347"/>
      <c r="E31" s="345"/>
      <c r="F31" s="219"/>
    </row>
    <row r="32" spans="1:13" s="212" customFormat="1">
      <c r="A32" s="216">
        <v>73</v>
      </c>
      <c r="B32" s="342"/>
      <c r="C32" s="343"/>
      <c r="D32" s="344"/>
      <c r="E32" s="345"/>
      <c r="F32" s="219"/>
    </row>
    <row r="33" spans="1:6" s="212" customFormat="1">
      <c r="A33" s="217">
        <v>74</v>
      </c>
      <c r="B33" s="342"/>
      <c r="C33" s="346"/>
      <c r="D33" s="347"/>
      <c r="E33" s="345"/>
      <c r="F33" s="219"/>
    </row>
    <row r="34" spans="1:6" s="212" customFormat="1">
      <c r="A34" s="216">
        <v>75</v>
      </c>
      <c r="B34" s="342"/>
      <c r="C34" s="343"/>
      <c r="D34" s="344"/>
      <c r="E34" s="345"/>
      <c r="F34" s="219"/>
    </row>
    <row r="35" spans="1:6" s="212" customFormat="1">
      <c r="A35" s="217">
        <v>76</v>
      </c>
      <c r="B35" s="342"/>
      <c r="C35" s="346"/>
      <c r="D35" s="347"/>
      <c r="E35" s="345"/>
      <c r="F35" s="219"/>
    </row>
    <row r="36" spans="1:6" s="212" customFormat="1">
      <c r="A36" s="216">
        <v>77</v>
      </c>
      <c r="B36" s="342"/>
      <c r="C36" s="343"/>
      <c r="D36" s="344"/>
      <c r="E36" s="345"/>
      <c r="F36" s="219"/>
    </row>
    <row r="37" spans="1:6" s="212" customFormat="1">
      <c r="A37" s="217">
        <v>78</v>
      </c>
      <c r="B37" s="342"/>
      <c r="C37" s="346"/>
      <c r="D37" s="347"/>
      <c r="E37" s="345"/>
      <c r="F37" s="219"/>
    </row>
    <row r="38" spans="1:6" s="212" customFormat="1">
      <c r="A38" s="216">
        <v>79</v>
      </c>
      <c r="B38" s="342"/>
      <c r="C38" s="343"/>
      <c r="D38" s="344"/>
      <c r="E38" s="345"/>
      <c r="F38" s="219"/>
    </row>
    <row r="39" spans="1:6" s="212" customFormat="1">
      <c r="A39" s="217">
        <v>80</v>
      </c>
      <c r="B39" s="342"/>
      <c r="C39" s="346"/>
      <c r="D39" s="347"/>
      <c r="E39" s="345"/>
      <c r="F39" s="219"/>
    </row>
    <row r="40" spans="1:6" s="212" customFormat="1">
      <c r="A40" s="216">
        <v>81</v>
      </c>
      <c r="B40" s="342"/>
      <c r="C40" s="343"/>
      <c r="D40" s="344"/>
      <c r="E40" s="345"/>
      <c r="F40" s="219"/>
    </row>
    <row r="41" spans="1:6" s="212" customFormat="1">
      <c r="A41" s="217">
        <v>82</v>
      </c>
      <c r="B41" s="342"/>
      <c r="C41" s="346"/>
      <c r="D41" s="347"/>
      <c r="E41" s="345"/>
      <c r="F41" s="219"/>
    </row>
    <row r="42" spans="1:6" s="212" customFormat="1">
      <c r="A42" s="216">
        <v>83</v>
      </c>
      <c r="B42" s="342"/>
      <c r="C42" s="343"/>
      <c r="D42" s="344"/>
      <c r="E42" s="345"/>
      <c r="F42" s="219"/>
    </row>
    <row r="43" spans="1:6" s="212" customFormat="1">
      <c r="A43" s="217">
        <v>84</v>
      </c>
      <c r="B43" s="342"/>
      <c r="C43" s="346"/>
      <c r="D43" s="347"/>
      <c r="E43" s="345"/>
      <c r="F43" s="219"/>
    </row>
    <row r="44" spans="1:6" s="212" customFormat="1">
      <c r="A44" s="216">
        <v>85</v>
      </c>
      <c r="B44" s="342"/>
      <c r="C44" s="343"/>
      <c r="D44" s="344"/>
      <c r="E44" s="345"/>
      <c r="F44" s="219"/>
    </row>
    <row r="45" spans="1:6" s="212" customFormat="1">
      <c r="A45" s="217">
        <v>86</v>
      </c>
      <c r="B45" s="342"/>
      <c r="C45" s="346"/>
      <c r="D45" s="347"/>
      <c r="E45" s="345"/>
      <c r="F45" s="219"/>
    </row>
    <row r="46" spans="1:6" s="212" customFormat="1">
      <c r="A46" s="216">
        <v>87</v>
      </c>
      <c r="B46" s="342"/>
      <c r="C46" s="343"/>
      <c r="D46" s="344"/>
      <c r="E46" s="345"/>
      <c r="F46" s="219"/>
    </row>
    <row r="47" spans="1:6" s="212" customFormat="1">
      <c r="A47" s="217">
        <v>88</v>
      </c>
      <c r="B47" s="342"/>
      <c r="C47" s="346"/>
      <c r="D47" s="347"/>
      <c r="E47" s="345"/>
      <c r="F47" s="219"/>
    </row>
    <row r="48" spans="1:6" s="212" customFormat="1">
      <c r="A48" s="216">
        <v>89</v>
      </c>
      <c r="B48" s="342"/>
      <c r="C48" s="343"/>
      <c r="D48" s="344"/>
      <c r="E48" s="345"/>
      <c r="F48" s="219"/>
    </row>
    <row r="49" spans="1:6" s="212" customFormat="1">
      <c r="A49" s="217">
        <v>90</v>
      </c>
      <c r="B49" s="342"/>
      <c r="C49" s="346"/>
      <c r="D49" s="347"/>
      <c r="E49" s="345"/>
      <c r="F49" s="219"/>
    </row>
    <row r="50" spans="1:6" s="212" customFormat="1">
      <c r="A50" s="216">
        <v>91</v>
      </c>
      <c r="B50" s="342"/>
      <c r="C50" s="343"/>
      <c r="D50" s="344"/>
      <c r="E50" s="345"/>
      <c r="F50" s="219"/>
    </row>
    <row r="51" spans="1:6" s="212" customFormat="1">
      <c r="A51" s="217">
        <v>92</v>
      </c>
      <c r="B51" s="342"/>
      <c r="C51" s="346"/>
      <c r="D51" s="347"/>
      <c r="E51" s="345"/>
      <c r="F51" s="219"/>
    </row>
    <row r="52" spans="1:6" s="212" customFormat="1">
      <c r="A52" s="216">
        <v>93</v>
      </c>
      <c r="B52" s="342"/>
      <c r="C52" s="343"/>
      <c r="D52" s="344"/>
      <c r="E52" s="345"/>
      <c r="F52" s="219"/>
    </row>
    <row r="53" spans="1:6" s="212" customFormat="1">
      <c r="A53" s="217">
        <v>94</v>
      </c>
      <c r="B53" s="342"/>
      <c r="C53" s="346"/>
      <c r="D53" s="347"/>
      <c r="E53" s="345"/>
      <c r="F53" s="219"/>
    </row>
    <row r="54" spans="1:6" s="212" customFormat="1">
      <c r="A54" s="216">
        <v>95</v>
      </c>
      <c r="B54" s="342"/>
      <c r="C54" s="343"/>
      <c r="D54" s="344"/>
      <c r="E54" s="345"/>
      <c r="F54" s="219"/>
    </row>
    <row r="55" spans="1:6" s="212" customFormat="1">
      <c r="A55" s="217">
        <v>96</v>
      </c>
      <c r="B55" s="342"/>
      <c r="C55" s="346"/>
      <c r="D55" s="347"/>
      <c r="E55" s="345"/>
      <c r="F55" s="219"/>
    </row>
    <row r="56" spans="1:6" s="212" customFormat="1">
      <c r="A56" s="216">
        <v>97</v>
      </c>
      <c r="B56" s="342"/>
      <c r="C56" s="343"/>
      <c r="D56" s="344"/>
      <c r="E56" s="345"/>
      <c r="F56" s="219"/>
    </row>
    <row r="57" spans="1:6" s="212" customFormat="1">
      <c r="A57" s="217">
        <v>98</v>
      </c>
      <c r="B57" s="342"/>
      <c r="C57" s="346"/>
      <c r="D57" s="347"/>
      <c r="E57" s="345"/>
      <c r="F57" s="219"/>
    </row>
    <row r="58" spans="1:6" s="212" customFormat="1">
      <c r="A58" s="216">
        <v>99</v>
      </c>
      <c r="B58" s="342"/>
      <c r="C58" s="343"/>
      <c r="D58" s="344"/>
      <c r="E58" s="345"/>
      <c r="F58" s="219"/>
    </row>
    <row r="59" spans="1:6" s="212" customFormat="1">
      <c r="A59" s="217">
        <v>100</v>
      </c>
      <c r="B59" s="342"/>
      <c r="C59" s="346"/>
      <c r="D59" s="347"/>
      <c r="E59" s="345"/>
      <c r="F59" s="219"/>
    </row>
    <row r="60" spans="1:6" s="212" customFormat="1">
      <c r="A60" s="216">
        <v>101</v>
      </c>
      <c r="B60" s="342"/>
      <c r="C60" s="343"/>
      <c r="D60" s="344"/>
      <c r="E60" s="345"/>
      <c r="F60" s="219"/>
    </row>
    <row r="61" spans="1:6" s="212" customFormat="1">
      <c r="A61" s="217">
        <v>102</v>
      </c>
      <c r="B61" s="342"/>
      <c r="C61" s="346"/>
      <c r="D61" s="347"/>
      <c r="E61" s="345"/>
      <c r="F61" s="219"/>
    </row>
    <row r="62" spans="1:6" s="212" customFormat="1">
      <c r="A62" s="216">
        <v>103</v>
      </c>
      <c r="B62" s="342"/>
      <c r="C62" s="343"/>
      <c r="D62" s="344"/>
      <c r="E62" s="345"/>
      <c r="F62" s="219"/>
    </row>
    <row r="63" spans="1:6" s="212" customFormat="1">
      <c r="A63" s="217">
        <v>104</v>
      </c>
      <c r="B63" s="342"/>
      <c r="C63" s="346"/>
      <c r="D63" s="347"/>
      <c r="E63" s="345"/>
      <c r="F63" s="219"/>
    </row>
    <row r="64" spans="1:6" s="212" customFormat="1">
      <c r="A64" s="216">
        <v>105</v>
      </c>
      <c r="B64" s="342"/>
      <c r="C64" s="343"/>
      <c r="D64" s="344"/>
      <c r="E64" s="345"/>
      <c r="F64" s="219"/>
    </row>
    <row r="65" spans="1:6" s="212" customFormat="1">
      <c r="A65" s="217">
        <v>106</v>
      </c>
      <c r="B65" s="342"/>
      <c r="C65" s="346"/>
      <c r="D65" s="347"/>
      <c r="E65" s="345"/>
      <c r="F65" s="219"/>
    </row>
    <row r="66" spans="1:6" s="212" customFormat="1">
      <c r="A66" s="216">
        <v>107</v>
      </c>
      <c r="B66" s="342"/>
      <c r="C66" s="343"/>
      <c r="D66" s="344"/>
      <c r="E66" s="345"/>
      <c r="F66" s="219"/>
    </row>
    <row r="67" spans="1:6" s="212" customFormat="1">
      <c r="A67" s="217">
        <v>108</v>
      </c>
      <c r="B67" s="342"/>
      <c r="C67" s="346"/>
      <c r="D67" s="347"/>
      <c r="E67" s="345"/>
      <c r="F67" s="219"/>
    </row>
    <row r="68" spans="1:6" s="212" customFormat="1">
      <c r="A68" s="216">
        <v>109</v>
      </c>
      <c r="B68" s="342"/>
      <c r="C68" s="343"/>
      <c r="D68" s="344"/>
      <c r="E68" s="345"/>
      <c r="F68" s="219"/>
    </row>
    <row r="69" spans="1:6" s="212" customFormat="1">
      <c r="A69" s="217">
        <v>110</v>
      </c>
      <c r="B69" s="342"/>
      <c r="C69" s="346"/>
      <c r="D69" s="347"/>
      <c r="E69" s="345"/>
      <c r="F69" s="219"/>
    </row>
    <row r="70" spans="1:6" s="212" customFormat="1">
      <c r="A70" s="216">
        <v>111</v>
      </c>
      <c r="B70" s="342"/>
      <c r="C70" s="343"/>
      <c r="D70" s="344"/>
      <c r="E70" s="345"/>
      <c r="F70" s="219"/>
    </row>
    <row r="71" spans="1:6" s="212" customFormat="1">
      <c r="A71" s="217">
        <v>112</v>
      </c>
      <c r="B71" s="342"/>
      <c r="C71" s="346"/>
      <c r="D71" s="347"/>
      <c r="E71" s="345"/>
      <c r="F71" s="219"/>
    </row>
    <row r="72" spans="1:6" s="212" customFormat="1">
      <c r="A72" s="216">
        <v>113</v>
      </c>
      <c r="B72" s="342"/>
      <c r="C72" s="343"/>
      <c r="D72" s="344"/>
      <c r="E72" s="345"/>
      <c r="F72" s="219"/>
    </row>
    <row r="73" spans="1:6" s="212" customFormat="1">
      <c r="A73" s="217">
        <v>114</v>
      </c>
      <c r="B73" s="342"/>
      <c r="C73" s="346"/>
      <c r="D73" s="347"/>
      <c r="E73" s="345"/>
      <c r="F73" s="219"/>
    </row>
    <row r="74" spans="1:6" s="212" customFormat="1">
      <c r="A74" s="216">
        <v>115</v>
      </c>
      <c r="B74" s="342"/>
      <c r="C74" s="343"/>
      <c r="D74" s="344"/>
      <c r="E74" s="345"/>
      <c r="F74" s="219"/>
    </row>
    <row r="75" spans="1:6" s="212" customFormat="1">
      <c r="A75" s="217">
        <v>116</v>
      </c>
      <c r="B75" s="342"/>
      <c r="C75" s="346"/>
      <c r="D75" s="347"/>
      <c r="E75" s="345"/>
      <c r="F75" s="219"/>
    </row>
    <row r="76" spans="1:6" s="212" customFormat="1">
      <c r="A76" s="216">
        <v>117</v>
      </c>
      <c r="B76" s="342"/>
      <c r="C76" s="343"/>
      <c r="D76" s="344"/>
      <c r="E76" s="345"/>
      <c r="F76" s="219"/>
    </row>
    <row r="77" spans="1:6" s="212" customFormat="1">
      <c r="A77" s="217">
        <v>118</v>
      </c>
      <c r="B77" s="342"/>
      <c r="C77" s="346"/>
      <c r="D77" s="347"/>
      <c r="E77" s="345"/>
      <c r="F77" s="219"/>
    </row>
    <row r="78" spans="1:6" s="212" customFormat="1">
      <c r="A78" s="216">
        <v>119</v>
      </c>
      <c r="B78" s="342"/>
      <c r="C78" s="343"/>
      <c r="D78" s="344"/>
      <c r="E78" s="345"/>
      <c r="F78" s="219"/>
    </row>
    <row r="79" spans="1:6" s="212" customFormat="1">
      <c r="A79" s="217">
        <v>120</v>
      </c>
      <c r="B79" s="342"/>
      <c r="C79" s="346"/>
      <c r="D79" s="347"/>
      <c r="E79" s="345"/>
      <c r="F79" s="219"/>
    </row>
    <row r="80" spans="1:6" s="212" customFormat="1">
      <c r="A80" s="216">
        <v>121</v>
      </c>
      <c r="B80" s="342"/>
      <c r="C80" s="343"/>
      <c r="D80" s="344"/>
      <c r="E80" s="345"/>
      <c r="F80" s="219"/>
    </row>
    <row r="81" spans="1:6" s="212" customFormat="1">
      <c r="A81" s="217">
        <v>122</v>
      </c>
      <c r="B81" s="342"/>
      <c r="C81" s="346"/>
      <c r="D81" s="347"/>
      <c r="E81" s="345"/>
      <c r="F81" s="219"/>
    </row>
    <row r="82" spans="1:6" s="212" customFormat="1">
      <c r="A82" s="216">
        <v>123</v>
      </c>
      <c r="B82" s="342"/>
      <c r="C82" s="343"/>
      <c r="D82" s="344"/>
      <c r="E82" s="345"/>
      <c r="F82" s="219"/>
    </row>
    <row r="83" spans="1:6" s="212" customFormat="1">
      <c r="A83" s="217">
        <v>124</v>
      </c>
      <c r="B83" s="342"/>
      <c r="C83" s="346"/>
      <c r="D83" s="347"/>
      <c r="E83" s="345"/>
      <c r="F83" s="219"/>
    </row>
    <row r="84" spans="1:6" s="212" customFormat="1">
      <c r="A84" s="216">
        <v>125</v>
      </c>
      <c r="B84" s="342"/>
      <c r="C84" s="343"/>
      <c r="D84" s="344"/>
      <c r="E84" s="345"/>
      <c r="F84" s="219"/>
    </row>
    <row r="85" spans="1:6" s="212" customFormat="1">
      <c r="A85" s="217">
        <v>126</v>
      </c>
      <c r="B85" s="342"/>
      <c r="C85" s="346"/>
      <c r="D85" s="347"/>
      <c r="E85" s="345"/>
      <c r="F85" s="219"/>
    </row>
    <row r="86" spans="1:6" s="212" customFormat="1">
      <c r="A86" s="216">
        <v>127</v>
      </c>
      <c r="B86" s="342"/>
      <c r="C86" s="343"/>
      <c r="D86" s="344"/>
      <c r="E86" s="345"/>
      <c r="F86" s="219"/>
    </row>
    <row r="87" spans="1:6" s="212" customFormat="1">
      <c r="A87" s="217">
        <v>128</v>
      </c>
      <c r="B87" s="342"/>
      <c r="C87" s="346"/>
      <c r="D87" s="347"/>
      <c r="E87" s="345"/>
      <c r="F87" s="219"/>
    </row>
    <row r="88" spans="1:6" s="212" customFormat="1">
      <c r="A88" s="216">
        <v>129</v>
      </c>
      <c r="B88" s="342"/>
      <c r="C88" s="343"/>
      <c r="D88" s="344"/>
      <c r="E88" s="345"/>
      <c r="F88" s="219"/>
    </row>
    <row r="89" spans="1:6" s="212" customFormat="1">
      <c r="A89" s="217">
        <v>130</v>
      </c>
      <c r="B89" s="342"/>
      <c r="C89" s="346"/>
      <c r="D89" s="347"/>
      <c r="E89" s="345"/>
      <c r="F89" s="219"/>
    </row>
    <row r="90" spans="1:6" s="212" customFormat="1">
      <c r="A90" s="216">
        <v>131</v>
      </c>
      <c r="B90" s="342"/>
      <c r="C90" s="343"/>
      <c r="D90" s="344"/>
      <c r="E90" s="345"/>
      <c r="F90" s="219"/>
    </row>
    <row r="91" spans="1:6" s="212" customFormat="1">
      <c r="A91" s="217">
        <v>132</v>
      </c>
      <c r="B91" s="342"/>
      <c r="C91" s="346"/>
      <c r="D91" s="347"/>
      <c r="E91" s="345"/>
      <c r="F91" s="219"/>
    </row>
    <row r="92" spans="1:6" s="212" customFormat="1">
      <c r="A92" s="216">
        <v>133</v>
      </c>
      <c r="B92" s="342"/>
      <c r="C92" s="343"/>
      <c r="D92" s="344"/>
      <c r="E92" s="345"/>
      <c r="F92" s="219"/>
    </row>
    <row r="93" spans="1:6" s="212" customFormat="1">
      <c r="A93" s="217">
        <v>134</v>
      </c>
      <c r="B93" s="342"/>
      <c r="C93" s="346"/>
      <c r="D93" s="347"/>
      <c r="E93" s="345"/>
      <c r="F93" s="219"/>
    </row>
    <row r="94" spans="1:6" s="212" customFormat="1">
      <c r="A94" s="216">
        <v>135</v>
      </c>
      <c r="B94" s="342"/>
      <c r="C94" s="343"/>
      <c r="D94" s="344"/>
      <c r="E94" s="345"/>
      <c r="F94" s="219"/>
    </row>
    <row r="95" spans="1:6" s="212" customFormat="1">
      <c r="A95" s="217">
        <v>136</v>
      </c>
      <c r="B95" s="342"/>
      <c r="C95" s="346"/>
      <c r="D95" s="347"/>
      <c r="E95" s="345"/>
      <c r="F95" s="219"/>
    </row>
    <row r="96" spans="1:6" s="212" customFormat="1">
      <c r="A96" s="216">
        <v>137</v>
      </c>
      <c r="B96" s="342"/>
      <c r="C96" s="343"/>
      <c r="D96" s="344"/>
      <c r="E96" s="345"/>
      <c r="F96" s="219"/>
    </row>
    <row r="97" spans="1:6" s="212" customFormat="1">
      <c r="A97" s="217">
        <v>138</v>
      </c>
      <c r="B97" s="342"/>
      <c r="C97" s="346"/>
      <c r="D97" s="347"/>
      <c r="E97" s="345"/>
      <c r="F97" s="219"/>
    </row>
    <row r="98" spans="1:6" s="212" customFormat="1">
      <c r="A98" s="216">
        <v>139</v>
      </c>
      <c r="B98" s="342"/>
      <c r="C98" s="343"/>
      <c r="D98" s="344"/>
      <c r="E98" s="345"/>
      <c r="F98" s="219"/>
    </row>
    <row r="99" spans="1:6" s="212" customFormat="1">
      <c r="A99" s="217">
        <v>140</v>
      </c>
      <c r="B99" s="342"/>
      <c r="C99" s="346"/>
      <c r="D99" s="347"/>
      <c r="E99" s="345"/>
      <c r="F99" s="219"/>
    </row>
    <row r="100" spans="1:6" s="212" customFormat="1">
      <c r="A100" s="216">
        <v>141</v>
      </c>
      <c r="B100" s="342"/>
      <c r="C100" s="343"/>
      <c r="D100" s="344"/>
      <c r="E100" s="345"/>
      <c r="F100" s="219"/>
    </row>
    <row r="101" spans="1:6" s="212" customFormat="1">
      <c r="A101" s="217">
        <v>142</v>
      </c>
      <c r="B101" s="342"/>
      <c r="C101" s="346"/>
      <c r="D101" s="347"/>
      <c r="E101" s="345"/>
      <c r="F101" s="219"/>
    </row>
    <row r="102" spans="1:6" s="212" customFormat="1">
      <c r="A102" s="216">
        <v>143</v>
      </c>
      <c r="B102" s="342"/>
      <c r="C102" s="343"/>
      <c r="D102" s="344"/>
      <c r="E102" s="345"/>
      <c r="F102" s="219"/>
    </row>
    <row r="103" spans="1:6" s="212" customFormat="1">
      <c r="A103" s="217">
        <v>144</v>
      </c>
      <c r="B103" s="342"/>
      <c r="C103" s="346"/>
      <c r="D103" s="347"/>
      <c r="E103" s="345"/>
      <c r="F103" s="219"/>
    </row>
    <row r="104" spans="1:6" s="212" customFormat="1">
      <c r="A104" s="216">
        <v>145</v>
      </c>
      <c r="B104" s="342"/>
      <c r="C104" s="343"/>
      <c r="D104" s="344"/>
      <c r="E104" s="345"/>
      <c r="F104" s="219"/>
    </row>
    <row r="105" spans="1:6" s="212" customFormat="1">
      <c r="A105" s="217">
        <v>146</v>
      </c>
      <c r="B105" s="342"/>
      <c r="C105" s="346"/>
      <c r="D105" s="347"/>
      <c r="E105" s="345"/>
      <c r="F105" s="219"/>
    </row>
    <row r="106" spans="1:6" s="212" customFormat="1">
      <c r="A106" s="216">
        <v>147</v>
      </c>
      <c r="B106" s="342"/>
      <c r="C106" s="343"/>
      <c r="D106" s="344"/>
      <c r="E106" s="345"/>
      <c r="F106" s="219"/>
    </row>
    <row r="107" spans="1:6" s="212" customFormat="1">
      <c r="A107" s="217">
        <v>148</v>
      </c>
      <c r="B107" s="342"/>
      <c r="C107" s="346"/>
      <c r="D107" s="347"/>
      <c r="E107" s="345"/>
      <c r="F107" s="219"/>
    </row>
    <row r="108" spans="1:6" s="212" customFormat="1">
      <c r="A108" s="216">
        <v>149</v>
      </c>
      <c r="B108" s="342"/>
      <c r="C108" s="343"/>
      <c r="D108" s="344"/>
      <c r="E108" s="345"/>
      <c r="F108" s="219"/>
    </row>
    <row r="109" spans="1:6" s="212" customFormat="1">
      <c r="A109" s="217">
        <v>150</v>
      </c>
      <c r="B109" s="342"/>
      <c r="C109" s="346"/>
      <c r="D109" s="347"/>
      <c r="E109" s="345"/>
      <c r="F109" s="219"/>
    </row>
    <row r="110" spans="1:6" s="212" customFormat="1">
      <c r="A110" s="216">
        <v>151</v>
      </c>
      <c r="B110" s="342"/>
      <c r="C110" s="343"/>
      <c r="D110" s="344"/>
      <c r="E110" s="345"/>
      <c r="F110" s="219"/>
    </row>
    <row r="111" spans="1:6" s="212" customFormat="1">
      <c r="A111" s="217">
        <v>152</v>
      </c>
      <c r="B111" s="342"/>
      <c r="C111" s="346"/>
      <c r="D111" s="347"/>
      <c r="E111" s="345"/>
      <c r="F111" s="219"/>
    </row>
    <row r="112" spans="1:6">
      <c r="A112" s="216">
        <v>153</v>
      </c>
      <c r="B112" s="342"/>
      <c r="C112" s="343"/>
      <c r="D112" s="344"/>
      <c r="E112" s="345"/>
    </row>
    <row r="113" spans="1:5">
      <c r="A113" s="217">
        <v>154</v>
      </c>
      <c r="B113" s="342"/>
      <c r="C113" s="346"/>
      <c r="D113" s="347"/>
      <c r="E113" s="345"/>
    </row>
    <row r="114" spans="1:5">
      <c r="A114" s="216">
        <v>155</v>
      </c>
      <c r="B114" s="342"/>
      <c r="C114" s="343"/>
      <c r="D114" s="344"/>
      <c r="E114" s="345"/>
    </row>
    <row r="115" spans="1:5">
      <c r="A115" s="217">
        <v>156</v>
      </c>
      <c r="B115" s="342"/>
      <c r="C115" s="346"/>
      <c r="D115" s="347"/>
      <c r="E115" s="345"/>
    </row>
    <row r="116" spans="1:5">
      <c r="A116" s="216">
        <v>157</v>
      </c>
      <c r="B116" s="342"/>
      <c r="C116" s="343"/>
      <c r="D116" s="344"/>
      <c r="E116" s="345"/>
    </row>
    <row r="117" spans="1:5">
      <c r="A117" s="217">
        <v>158</v>
      </c>
      <c r="B117" s="342"/>
      <c r="C117" s="346"/>
      <c r="D117" s="347"/>
      <c r="E117" s="345"/>
    </row>
    <row r="118" spans="1:5">
      <c r="A118" s="216">
        <v>159</v>
      </c>
      <c r="B118" s="342"/>
      <c r="C118" s="343"/>
      <c r="D118" s="344"/>
      <c r="E118" s="345"/>
    </row>
    <row r="119" spans="1:5">
      <c r="A119" s="217">
        <v>160</v>
      </c>
      <c r="B119" s="342"/>
      <c r="C119" s="346"/>
      <c r="D119" s="347"/>
      <c r="E119" s="345"/>
    </row>
    <row r="120" spans="1:5">
      <c r="A120" s="216">
        <v>161</v>
      </c>
      <c r="B120" s="342"/>
      <c r="C120" s="343"/>
      <c r="D120" s="344"/>
      <c r="E120" s="345"/>
    </row>
    <row r="121" spans="1:5">
      <c r="A121" s="217">
        <v>162</v>
      </c>
      <c r="B121" s="342"/>
      <c r="C121" s="346"/>
      <c r="D121" s="347"/>
      <c r="E121" s="345"/>
    </row>
    <row r="122" spans="1:5">
      <c r="A122" s="216">
        <v>163</v>
      </c>
      <c r="B122" s="342"/>
      <c r="C122" s="343"/>
      <c r="D122" s="344"/>
      <c r="E122" s="345"/>
    </row>
    <row r="123" spans="1:5">
      <c r="A123" s="217">
        <v>164</v>
      </c>
      <c r="B123" s="342"/>
      <c r="C123" s="346"/>
      <c r="D123" s="347"/>
      <c r="E123" s="345"/>
    </row>
    <row r="124" spans="1:5">
      <c r="A124" s="216">
        <v>165</v>
      </c>
      <c r="B124" s="342"/>
      <c r="C124" s="343"/>
      <c r="D124" s="344"/>
      <c r="E124" s="345"/>
    </row>
    <row r="125" spans="1:5">
      <c r="A125" s="217">
        <v>166</v>
      </c>
      <c r="B125" s="342"/>
      <c r="C125" s="346"/>
      <c r="D125" s="347"/>
      <c r="E125" s="345"/>
    </row>
    <row r="126" spans="1:5">
      <c r="A126" s="216">
        <v>167</v>
      </c>
      <c r="B126" s="342"/>
      <c r="C126" s="343"/>
      <c r="D126" s="344"/>
      <c r="E126" s="345"/>
    </row>
    <row r="127" spans="1:5">
      <c r="A127" s="217">
        <v>168</v>
      </c>
      <c r="B127" s="342"/>
      <c r="C127" s="346"/>
      <c r="D127" s="347"/>
      <c r="E127" s="345"/>
    </row>
    <row r="128" spans="1:5">
      <c r="A128" s="216">
        <v>169</v>
      </c>
      <c r="B128" s="342"/>
      <c r="C128" s="343"/>
      <c r="D128" s="344"/>
      <c r="E128" s="345"/>
    </row>
    <row r="129" spans="1:5">
      <c r="A129" s="217">
        <v>170</v>
      </c>
      <c r="B129" s="342"/>
      <c r="C129" s="346"/>
      <c r="D129" s="347"/>
      <c r="E129" s="345"/>
    </row>
    <row r="130" spans="1:5">
      <c r="A130" s="216">
        <v>171</v>
      </c>
      <c r="B130" s="342"/>
      <c r="C130" s="343"/>
      <c r="D130" s="344"/>
      <c r="E130" s="345"/>
    </row>
    <row r="131" spans="1:5">
      <c r="A131" s="217">
        <v>172</v>
      </c>
      <c r="B131" s="342"/>
      <c r="C131" s="346"/>
      <c r="D131" s="347"/>
      <c r="E131" s="345"/>
    </row>
    <row r="132" spans="1:5">
      <c r="A132" s="216">
        <v>173</v>
      </c>
      <c r="B132" s="342"/>
      <c r="C132" s="343"/>
      <c r="D132" s="344"/>
      <c r="E132" s="345"/>
    </row>
    <row r="133" spans="1:5">
      <c r="A133" s="217">
        <v>174</v>
      </c>
      <c r="B133" s="342"/>
      <c r="C133" s="346"/>
      <c r="D133" s="347"/>
      <c r="E133" s="345"/>
    </row>
    <row r="134" spans="1:5">
      <c r="A134" s="216">
        <v>175</v>
      </c>
      <c r="B134" s="342"/>
      <c r="C134" s="343"/>
      <c r="D134" s="344"/>
      <c r="E134" s="345"/>
    </row>
    <row r="135" spans="1:5">
      <c r="A135" s="217">
        <v>176</v>
      </c>
      <c r="B135" s="342"/>
      <c r="C135" s="346"/>
      <c r="D135" s="347"/>
      <c r="E135" s="345"/>
    </row>
    <row r="136" spans="1:5">
      <c r="A136" s="216">
        <v>177</v>
      </c>
      <c r="B136" s="342"/>
      <c r="C136" s="343"/>
      <c r="D136" s="344"/>
      <c r="E136" s="345"/>
    </row>
    <row r="137" spans="1:5">
      <c r="A137" s="217">
        <v>178</v>
      </c>
      <c r="B137" s="342"/>
      <c r="C137" s="346"/>
      <c r="D137" s="347"/>
      <c r="E137" s="345"/>
    </row>
    <row r="138" spans="1:5">
      <c r="A138" s="216">
        <v>179</v>
      </c>
      <c r="B138" s="342"/>
      <c r="C138" s="343"/>
      <c r="D138" s="344"/>
      <c r="E138" s="345"/>
    </row>
    <row r="139" spans="1:5">
      <c r="A139" s="217">
        <v>180</v>
      </c>
      <c r="B139" s="342"/>
      <c r="C139" s="346"/>
      <c r="D139" s="347"/>
      <c r="E139" s="345"/>
    </row>
    <row r="140" spans="1:5">
      <c r="A140" s="216">
        <v>181</v>
      </c>
      <c r="B140" s="342"/>
      <c r="C140" s="343"/>
      <c r="D140" s="344"/>
      <c r="E140" s="345"/>
    </row>
    <row r="141" spans="1:5">
      <c r="A141" s="217">
        <v>182</v>
      </c>
      <c r="B141" s="342"/>
      <c r="C141" s="346"/>
      <c r="D141" s="347"/>
      <c r="E141" s="345"/>
    </row>
    <row r="142" spans="1:5">
      <c r="A142" s="216">
        <v>183</v>
      </c>
      <c r="B142" s="342"/>
      <c r="C142" s="343"/>
      <c r="D142" s="344"/>
      <c r="E142" s="345"/>
    </row>
    <row r="143" spans="1:5">
      <c r="A143" s="217">
        <v>184</v>
      </c>
      <c r="B143" s="342"/>
      <c r="C143" s="346"/>
      <c r="D143" s="347"/>
      <c r="E143" s="345"/>
    </row>
    <row r="144" spans="1:5">
      <c r="A144" s="216">
        <v>185</v>
      </c>
      <c r="B144" s="342"/>
      <c r="C144" s="343"/>
      <c r="D144" s="344"/>
      <c r="E144" s="345"/>
    </row>
    <row r="145" spans="1:5">
      <c r="A145" s="217">
        <v>186</v>
      </c>
      <c r="B145" s="342"/>
      <c r="C145" s="346"/>
      <c r="D145" s="347"/>
      <c r="E145" s="345"/>
    </row>
    <row r="146" spans="1:5">
      <c r="A146" s="216">
        <v>187</v>
      </c>
      <c r="B146" s="342"/>
      <c r="C146" s="343"/>
      <c r="D146" s="344"/>
      <c r="E146" s="345"/>
    </row>
    <row r="147" spans="1:5">
      <c r="A147" s="217">
        <v>188</v>
      </c>
      <c r="B147" s="342"/>
      <c r="C147" s="346"/>
      <c r="D147" s="347"/>
      <c r="E147" s="345"/>
    </row>
    <row r="148" spans="1:5">
      <c r="A148" s="216">
        <v>189</v>
      </c>
      <c r="B148" s="342"/>
      <c r="C148" s="343"/>
      <c r="D148" s="344"/>
      <c r="E148" s="345"/>
    </row>
    <row r="149" spans="1:5">
      <c r="A149" s="217">
        <v>190</v>
      </c>
      <c r="B149" s="342"/>
      <c r="C149" s="346"/>
      <c r="D149" s="347"/>
      <c r="E149" s="345"/>
    </row>
    <row r="150" spans="1:5">
      <c r="A150" s="216">
        <v>191</v>
      </c>
      <c r="B150" s="342"/>
      <c r="C150" s="343"/>
      <c r="D150" s="344"/>
      <c r="E150" s="345"/>
    </row>
    <row r="151" spans="1:5">
      <c r="A151" s="217">
        <v>192</v>
      </c>
      <c r="B151" s="342"/>
      <c r="C151" s="346"/>
      <c r="D151" s="347"/>
      <c r="E151" s="345"/>
    </row>
    <row r="152" spans="1:5">
      <c r="A152" s="216">
        <v>193</v>
      </c>
      <c r="B152" s="342"/>
      <c r="C152" s="343"/>
      <c r="D152" s="344"/>
      <c r="E152" s="345"/>
    </row>
    <row r="153" spans="1:5">
      <c r="A153" s="217">
        <v>194</v>
      </c>
      <c r="B153" s="342"/>
      <c r="C153" s="346"/>
      <c r="D153" s="347"/>
      <c r="E153" s="345"/>
    </row>
    <row r="154" spans="1:5">
      <c r="A154" s="216">
        <v>195</v>
      </c>
      <c r="B154" s="342"/>
      <c r="C154" s="343"/>
      <c r="D154" s="344"/>
      <c r="E154" s="345"/>
    </row>
    <row r="155" spans="1:5">
      <c r="A155" s="217">
        <v>196</v>
      </c>
      <c r="B155" s="342"/>
      <c r="C155" s="346"/>
      <c r="D155" s="347"/>
      <c r="E155" s="345"/>
    </row>
    <row r="156" spans="1:5">
      <c r="A156" s="216">
        <v>197</v>
      </c>
      <c r="B156" s="342"/>
      <c r="C156" s="343"/>
      <c r="D156" s="344"/>
      <c r="E156" s="345"/>
    </row>
    <row r="157" spans="1:5">
      <c r="A157" s="217">
        <v>198</v>
      </c>
      <c r="B157" s="342"/>
      <c r="C157" s="346"/>
      <c r="D157" s="347"/>
      <c r="E157" s="345"/>
    </row>
    <row r="158" spans="1:5">
      <c r="A158" s="216">
        <v>199</v>
      </c>
      <c r="B158" s="342"/>
      <c r="C158" s="343"/>
      <c r="D158" s="344"/>
      <c r="E158" s="345"/>
    </row>
    <row r="159" spans="1:5">
      <c r="A159" s="217">
        <v>200</v>
      </c>
      <c r="B159" s="342"/>
      <c r="C159" s="346"/>
      <c r="D159" s="347"/>
      <c r="E159" s="345"/>
    </row>
    <row r="160" spans="1:5">
      <c r="A160" s="216">
        <v>201</v>
      </c>
      <c r="B160" s="342"/>
      <c r="C160" s="343"/>
      <c r="D160" s="344"/>
      <c r="E160" s="345"/>
    </row>
    <row r="161" spans="1:5">
      <c r="A161" s="217">
        <v>202</v>
      </c>
      <c r="B161" s="342"/>
      <c r="C161" s="346"/>
      <c r="D161" s="347"/>
      <c r="E161" s="345"/>
    </row>
    <row r="162" spans="1:5">
      <c r="A162" s="216">
        <v>203</v>
      </c>
      <c r="B162" s="342"/>
      <c r="C162" s="343"/>
      <c r="D162" s="344"/>
      <c r="E162" s="345"/>
    </row>
    <row r="163" spans="1:5">
      <c r="A163" s="217">
        <v>204</v>
      </c>
      <c r="B163" s="342"/>
      <c r="C163" s="346"/>
      <c r="D163" s="347"/>
      <c r="E163" s="345"/>
    </row>
    <row r="164" spans="1:5">
      <c r="A164" s="216">
        <v>205</v>
      </c>
      <c r="B164" s="342"/>
      <c r="C164" s="343"/>
      <c r="D164" s="344"/>
      <c r="E164" s="345"/>
    </row>
    <row r="165" spans="1:5">
      <c r="A165" s="217">
        <v>206</v>
      </c>
      <c r="B165" s="342"/>
      <c r="C165" s="346"/>
      <c r="D165" s="347"/>
      <c r="E165" s="345"/>
    </row>
    <row r="166" spans="1:5">
      <c r="A166" s="216">
        <v>207</v>
      </c>
      <c r="B166" s="342"/>
      <c r="C166" s="343"/>
      <c r="D166" s="344"/>
      <c r="E166" s="345"/>
    </row>
    <row r="167" spans="1:5">
      <c r="A167" s="217">
        <v>208</v>
      </c>
      <c r="B167" s="342"/>
      <c r="C167" s="346"/>
      <c r="D167" s="347"/>
      <c r="E167" s="345"/>
    </row>
    <row r="168" spans="1:5">
      <c r="A168" s="216">
        <v>209</v>
      </c>
      <c r="B168" s="342"/>
      <c r="C168" s="343"/>
      <c r="D168" s="344"/>
      <c r="E168" s="345"/>
    </row>
    <row r="169" spans="1:5">
      <c r="A169" s="217">
        <v>210</v>
      </c>
      <c r="B169" s="342"/>
      <c r="C169" s="346"/>
      <c r="D169" s="347"/>
      <c r="E169" s="345"/>
    </row>
    <row r="170" spans="1:5">
      <c r="A170" s="216">
        <v>211</v>
      </c>
      <c r="B170" s="342"/>
      <c r="C170" s="343"/>
      <c r="D170" s="344"/>
      <c r="E170" s="345"/>
    </row>
    <row r="171" spans="1:5">
      <c r="A171" s="217">
        <v>212</v>
      </c>
      <c r="B171" s="342"/>
      <c r="C171" s="346"/>
      <c r="D171" s="347"/>
      <c r="E171" s="345"/>
    </row>
    <row r="172" spans="1:5">
      <c r="A172" s="216">
        <v>213</v>
      </c>
      <c r="B172" s="342"/>
      <c r="C172" s="343"/>
      <c r="D172" s="344"/>
      <c r="E172" s="345"/>
    </row>
    <row r="173" spans="1:5">
      <c r="A173" s="217">
        <v>214</v>
      </c>
      <c r="B173" s="342"/>
      <c r="C173" s="346"/>
      <c r="D173" s="347"/>
      <c r="E173" s="345"/>
    </row>
    <row r="174" spans="1:5">
      <c r="A174" s="216">
        <v>215</v>
      </c>
      <c r="B174" s="342"/>
      <c r="C174" s="343"/>
      <c r="D174" s="344"/>
      <c r="E174" s="345"/>
    </row>
    <row r="175" spans="1:5">
      <c r="A175" s="217">
        <v>216</v>
      </c>
      <c r="B175" s="342"/>
      <c r="C175" s="346"/>
      <c r="D175" s="347"/>
      <c r="E175" s="345"/>
    </row>
    <row r="176" spans="1:5">
      <c r="A176" s="216">
        <v>217</v>
      </c>
      <c r="B176" s="342"/>
      <c r="C176" s="343"/>
      <c r="D176" s="344"/>
      <c r="E176" s="345"/>
    </row>
    <row r="177" spans="1:5">
      <c r="A177" s="217">
        <v>218</v>
      </c>
      <c r="B177" s="342"/>
      <c r="C177" s="346"/>
      <c r="D177" s="347"/>
      <c r="E177" s="345"/>
    </row>
    <row r="178" spans="1:5">
      <c r="A178" s="216">
        <v>219</v>
      </c>
      <c r="B178" s="342"/>
      <c r="C178" s="343"/>
      <c r="D178" s="344"/>
      <c r="E178" s="345"/>
    </row>
    <row r="179" spans="1:5">
      <c r="A179" s="217">
        <v>220</v>
      </c>
      <c r="B179" s="342"/>
      <c r="C179" s="346"/>
      <c r="D179" s="347"/>
      <c r="E179" s="345"/>
    </row>
    <row r="180" spans="1:5">
      <c r="A180" s="216">
        <v>221</v>
      </c>
      <c r="B180" s="342"/>
      <c r="C180" s="343"/>
      <c r="D180" s="344"/>
      <c r="E180" s="345"/>
    </row>
    <row r="181" spans="1:5">
      <c r="A181" s="217">
        <v>222</v>
      </c>
      <c r="B181" s="342"/>
      <c r="C181" s="346"/>
      <c r="D181" s="347"/>
      <c r="E181" s="345"/>
    </row>
    <row r="182" spans="1:5">
      <c r="A182" s="216">
        <v>223</v>
      </c>
      <c r="B182" s="342"/>
      <c r="C182" s="343"/>
      <c r="D182" s="344"/>
      <c r="E182" s="345"/>
    </row>
    <row r="183" spans="1:5">
      <c r="A183" s="217">
        <v>224</v>
      </c>
      <c r="B183" s="342"/>
      <c r="C183" s="346"/>
      <c r="D183" s="347"/>
      <c r="E183" s="345"/>
    </row>
    <row r="184" spans="1:5">
      <c r="A184" s="216">
        <v>225</v>
      </c>
      <c r="B184" s="342"/>
      <c r="C184" s="343"/>
      <c r="D184" s="344"/>
      <c r="E184" s="345"/>
    </row>
    <row r="185" spans="1:5">
      <c r="A185" s="217">
        <v>226</v>
      </c>
      <c r="B185" s="342"/>
      <c r="C185" s="346"/>
      <c r="D185" s="347"/>
      <c r="E185" s="345"/>
    </row>
    <row r="186" spans="1:5">
      <c r="A186" s="216">
        <v>227</v>
      </c>
      <c r="B186" s="342"/>
      <c r="C186" s="343"/>
      <c r="D186" s="344"/>
      <c r="E186" s="345"/>
    </row>
    <row r="187" spans="1:5">
      <c r="A187" s="217">
        <v>228</v>
      </c>
      <c r="B187" s="342"/>
      <c r="C187" s="346"/>
      <c r="D187" s="347"/>
      <c r="E187" s="345"/>
    </row>
    <row r="188" spans="1:5">
      <c r="A188" s="216">
        <v>229</v>
      </c>
      <c r="B188" s="342"/>
      <c r="C188" s="343"/>
      <c r="D188" s="344"/>
      <c r="E188" s="345"/>
    </row>
    <row r="189" spans="1:5">
      <c r="A189" s="217">
        <v>230</v>
      </c>
      <c r="B189" s="342"/>
      <c r="C189" s="346"/>
      <c r="D189" s="347"/>
      <c r="E189" s="345"/>
    </row>
    <row r="190" spans="1:5">
      <c r="A190" s="216">
        <v>231</v>
      </c>
      <c r="B190" s="342"/>
      <c r="C190" s="343"/>
      <c r="D190" s="344"/>
      <c r="E190" s="345"/>
    </row>
    <row r="191" spans="1:5">
      <c r="A191" s="217">
        <v>232</v>
      </c>
      <c r="B191" s="342"/>
      <c r="C191" s="346"/>
      <c r="D191" s="347"/>
      <c r="E191" s="345"/>
    </row>
    <row r="192" spans="1:5">
      <c r="A192" s="216">
        <v>233</v>
      </c>
      <c r="B192" s="342"/>
      <c r="C192" s="343"/>
      <c r="D192" s="344"/>
      <c r="E192" s="345"/>
    </row>
    <row r="193" spans="1:5">
      <c r="A193" s="217">
        <v>234</v>
      </c>
      <c r="B193" s="342"/>
      <c r="C193" s="346"/>
      <c r="D193" s="347"/>
      <c r="E193" s="345"/>
    </row>
    <row r="194" spans="1:5">
      <c r="A194" s="330"/>
      <c r="B194" s="342"/>
      <c r="C194" s="346"/>
      <c r="D194" s="347"/>
      <c r="E194" s="345"/>
    </row>
    <row r="195" spans="1:5">
      <c r="A195" s="330"/>
      <c r="B195" s="342"/>
      <c r="C195" s="346"/>
      <c r="D195" s="347"/>
      <c r="E195" s="345"/>
    </row>
    <row r="196" spans="1:5">
      <c r="A196" s="330"/>
      <c r="B196" s="342"/>
      <c r="C196" s="346"/>
      <c r="D196" s="347"/>
      <c r="E196" s="345"/>
    </row>
    <row r="197" spans="1:5">
      <c r="A197" s="330"/>
      <c r="B197" s="342"/>
      <c r="C197" s="346"/>
      <c r="D197" s="347"/>
      <c r="E197" s="345"/>
    </row>
    <row r="198" spans="1:5">
      <c r="A198" s="330"/>
      <c r="B198" s="342"/>
      <c r="C198" s="346"/>
      <c r="D198" s="347"/>
      <c r="E198" s="345"/>
    </row>
    <row r="199" spans="1:5">
      <c r="A199" s="330"/>
      <c r="B199" s="342"/>
      <c r="C199" s="346"/>
      <c r="D199" s="347"/>
      <c r="E199" s="345"/>
    </row>
    <row r="200" spans="1:5">
      <c r="A200" s="330"/>
      <c r="B200" s="342"/>
      <c r="C200" s="346"/>
      <c r="D200" s="347"/>
      <c r="E200" s="345"/>
    </row>
    <row r="201" spans="1:5">
      <c r="A201" s="330"/>
      <c r="B201" s="342"/>
      <c r="C201" s="346"/>
      <c r="D201" s="347"/>
      <c r="E201" s="345"/>
    </row>
    <row r="202" spans="1:5">
      <c r="A202" s="330"/>
      <c r="B202" s="342"/>
      <c r="C202" s="346"/>
      <c r="D202" s="347"/>
      <c r="E202" s="345"/>
    </row>
    <row r="203" spans="1:5">
      <c r="A203" s="330"/>
      <c r="B203" s="342"/>
      <c r="C203" s="346"/>
      <c r="D203" s="347"/>
      <c r="E203" s="345"/>
    </row>
    <row r="204" spans="1:5">
      <c r="A204" s="330"/>
      <c r="B204" s="342"/>
      <c r="C204" s="346"/>
      <c r="D204" s="347"/>
      <c r="E204" s="345"/>
    </row>
    <row r="205" spans="1:5">
      <c r="A205" s="330"/>
      <c r="B205" s="342"/>
      <c r="C205" s="346"/>
      <c r="D205" s="347"/>
      <c r="E205" s="345"/>
    </row>
    <row r="206" spans="1:5">
      <c r="A206" s="330"/>
      <c r="B206" s="342"/>
      <c r="C206" s="346"/>
      <c r="D206" s="347"/>
      <c r="E206" s="345"/>
    </row>
    <row r="207" spans="1:5">
      <c r="A207" s="330"/>
      <c r="B207" s="342"/>
      <c r="C207" s="346"/>
      <c r="D207" s="347"/>
      <c r="E207" s="345"/>
    </row>
    <row r="208" spans="1:5">
      <c r="A208" s="330"/>
      <c r="B208" s="342"/>
      <c r="C208" s="346"/>
      <c r="D208" s="347"/>
      <c r="E208" s="345"/>
    </row>
    <row r="209" spans="1:5">
      <c r="A209" s="330"/>
      <c r="B209" s="342"/>
      <c r="C209" s="346"/>
      <c r="D209" s="347"/>
      <c r="E209" s="345"/>
    </row>
    <row r="210" spans="1:5">
      <c r="A210" s="330"/>
      <c r="B210" s="342"/>
      <c r="C210" s="346"/>
      <c r="D210" s="347"/>
      <c r="E210" s="345"/>
    </row>
    <row r="211" spans="1:5">
      <c r="A211" s="330"/>
      <c r="B211" s="342"/>
      <c r="C211" s="346"/>
      <c r="D211" s="347"/>
      <c r="E211" s="345"/>
    </row>
    <row r="212" spans="1:5">
      <c r="A212" s="330"/>
      <c r="B212" s="342"/>
      <c r="C212" s="346"/>
      <c r="D212" s="347"/>
      <c r="E212" s="345"/>
    </row>
    <row r="213" spans="1:5">
      <c r="A213" s="330"/>
      <c r="B213" s="342"/>
      <c r="C213" s="346"/>
      <c r="D213" s="347"/>
      <c r="E213" s="345"/>
    </row>
    <row r="214" spans="1:5">
      <c r="A214" s="330"/>
      <c r="B214" s="342"/>
      <c r="C214" s="346"/>
      <c r="D214" s="347"/>
      <c r="E214" s="345"/>
    </row>
    <row r="215" spans="1:5">
      <c r="A215" s="330"/>
      <c r="B215" s="342"/>
      <c r="C215" s="346"/>
      <c r="D215" s="347"/>
      <c r="E215" s="345"/>
    </row>
    <row r="216" spans="1:5">
      <c r="A216" s="330"/>
      <c r="B216" s="342"/>
      <c r="C216" s="346"/>
      <c r="D216" s="347"/>
      <c r="E216" s="345"/>
    </row>
    <row r="217" spans="1:5">
      <c r="A217" s="330"/>
      <c r="B217" s="342"/>
      <c r="C217" s="346"/>
      <c r="D217" s="347"/>
      <c r="E217" s="345"/>
    </row>
    <row r="218" spans="1:5">
      <c r="A218" s="330"/>
      <c r="B218" s="342"/>
      <c r="C218" s="346"/>
      <c r="D218" s="347"/>
      <c r="E218" s="345"/>
    </row>
    <row r="219" spans="1:5">
      <c r="A219" s="330"/>
      <c r="B219" s="342"/>
      <c r="C219" s="346"/>
      <c r="D219" s="347"/>
      <c r="E219" s="345"/>
    </row>
    <row r="220" spans="1:5">
      <c r="A220" s="330"/>
      <c r="B220" s="342"/>
      <c r="C220" s="346"/>
      <c r="D220" s="347"/>
      <c r="E220" s="345"/>
    </row>
    <row r="221" spans="1:5">
      <c r="A221" s="330"/>
      <c r="B221" s="342"/>
      <c r="C221" s="346"/>
      <c r="D221" s="347"/>
      <c r="E221" s="345"/>
    </row>
    <row r="222" spans="1:5">
      <c r="A222" s="330"/>
      <c r="B222" s="342"/>
      <c r="C222" s="346"/>
      <c r="D222" s="347"/>
      <c r="E222" s="345"/>
    </row>
    <row r="223" spans="1:5">
      <c r="A223" s="330"/>
      <c r="B223" s="342"/>
      <c r="C223" s="346"/>
      <c r="D223" s="347"/>
      <c r="E223" s="345"/>
    </row>
    <row r="224" spans="1:5">
      <c r="A224" s="330"/>
      <c r="B224" s="342"/>
      <c r="C224" s="346"/>
      <c r="D224" s="347"/>
      <c r="E224" s="345"/>
    </row>
    <row r="225" spans="1:5">
      <c r="A225" s="330"/>
      <c r="B225" s="342"/>
      <c r="C225" s="346"/>
      <c r="D225" s="347"/>
      <c r="E225" s="345"/>
    </row>
    <row r="226" spans="1:5">
      <c r="A226" s="330"/>
      <c r="B226" s="342"/>
      <c r="C226" s="346"/>
      <c r="D226" s="347"/>
      <c r="E226" s="345"/>
    </row>
    <row r="227" spans="1:5">
      <c r="A227" s="330"/>
      <c r="B227" s="342"/>
      <c r="C227" s="346"/>
      <c r="D227" s="347"/>
      <c r="E227" s="345"/>
    </row>
    <row r="228" spans="1:5">
      <c r="A228" s="330"/>
      <c r="B228" s="342"/>
      <c r="C228" s="346"/>
      <c r="D228" s="347"/>
      <c r="E228" s="345"/>
    </row>
    <row r="229" spans="1:5">
      <c r="A229" s="330"/>
      <c r="B229" s="342"/>
      <c r="C229" s="346"/>
      <c r="D229" s="347"/>
      <c r="E229" s="345"/>
    </row>
    <row r="230" spans="1:5">
      <c r="A230" s="330"/>
      <c r="B230" s="342"/>
      <c r="C230" s="346"/>
      <c r="D230" s="347"/>
      <c r="E230" s="345"/>
    </row>
    <row r="231" spans="1:5">
      <c r="A231" s="330"/>
      <c r="B231" s="342"/>
      <c r="C231" s="346"/>
      <c r="D231" s="347"/>
      <c r="E231" s="345"/>
    </row>
    <row r="232" spans="1:5">
      <c r="A232" s="330"/>
      <c r="B232" s="342"/>
      <c r="C232" s="346"/>
      <c r="D232" s="347"/>
      <c r="E232" s="345"/>
    </row>
    <row r="233" spans="1:5">
      <c r="A233" s="330"/>
      <c r="B233" s="342"/>
      <c r="C233" s="346"/>
      <c r="D233" s="347"/>
      <c r="E233" s="345"/>
    </row>
    <row r="234" spans="1:5">
      <c r="A234" s="330"/>
      <c r="B234" s="342"/>
      <c r="C234" s="346"/>
      <c r="D234" s="347"/>
      <c r="E234" s="345"/>
    </row>
    <row r="235" spans="1:5">
      <c r="A235" s="330"/>
      <c r="B235" s="342"/>
      <c r="C235" s="346"/>
      <c r="D235" s="347"/>
      <c r="E235" s="345"/>
    </row>
    <row r="236" spans="1:5">
      <c r="A236" s="330"/>
      <c r="B236" s="342"/>
      <c r="C236" s="346"/>
      <c r="D236" s="347"/>
      <c r="E236" s="345"/>
    </row>
    <row r="237" spans="1:5">
      <c r="A237" s="330"/>
      <c r="B237" s="342"/>
      <c r="C237" s="346"/>
      <c r="D237" s="347"/>
      <c r="E237" s="345"/>
    </row>
    <row r="238" spans="1:5">
      <c r="A238" s="330"/>
      <c r="B238" s="342"/>
      <c r="C238" s="346"/>
      <c r="D238" s="347"/>
      <c r="E238" s="345"/>
    </row>
    <row r="239" spans="1:5">
      <c r="A239" s="330"/>
      <c r="B239" s="342"/>
      <c r="C239" s="346"/>
      <c r="D239" s="347"/>
      <c r="E239" s="345"/>
    </row>
    <row r="240" spans="1:5">
      <c r="A240" s="330"/>
      <c r="B240" s="342"/>
      <c r="C240" s="346"/>
      <c r="D240" s="347"/>
      <c r="E240" s="345"/>
    </row>
    <row r="241" spans="1:5">
      <c r="A241" s="330"/>
      <c r="B241" s="342"/>
      <c r="C241" s="346"/>
      <c r="D241" s="347"/>
      <c r="E241" s="345"/>
    </row>
    <row r="242" spans="1:5">
      <c r="A242" s="330"/>
      <c r="B242" s="342"/>
      <c r="C242" s="346"/>
      <c r="D242" s="347"/>
      <c r="E242" s="345"/>
    </row>
    <row r="243" spans="1:5">
      <c r="A243" s="330"/>
      <c r="B243" s="342"/>
      <c r="C243" s="346"/>
      <c r="D243" s="347"/>
      <c r="E243" s="345"/>
    </row>
    <row r="244" spans="1:5">
      <c r="A244" s="330"/>
      <c r="B244" s="342"/>
      <c r="C244" s="346"/>
      <c r="D244" s="347"/>
      <c r="E244" s="345"/>
    </row>
    <row r="245" spans="1:5">
      <c r="A245" s="330"/>
      <c r="B245" s="342"/>
      <c r="C245" s="346"/>
      <c r="D245" s="347"/>
      <c r="E245" s="345"/>
    </row>
    <row r="246" spans="1:5">
      <c r="A246" s="330"/>
      <c r="B246" s="342"/>
      <c r="C246" s="346"/>
      <c r="D246" s="347"/>
      <c r="E246" s="345"/>
    </row>
    <row r="247" spans="1:5">
      <c r="A247" s="330"/>
      <c r="B247" s="342"/>
      <c r="C247" s="346"/>
      <c r="D247" s="347"/>
      <c r="E247" s="345"/>
    </row>
    <row r="248" spans="1:5">
      <c r="A248" s="330"/>
      <c r="B248" s="342"/>
      <c r="C248" s="346"/>
      <c r="D248" s="347"/>
      <c r="E248" s="345"/>
    </row>
    <row r="249" spans="1:5">
      <c r="A249" s="330"/>
      <c r="B249" s="342"/>
      <c r="C249" s="346"/>
      <c r="D249" s="347"/>
      <c r="E249" s="345"/>
    </row>
    <row r="250" spans="1:5">
      <c r="A250" s="330"/>
      <c r="B250" s="342"/>
      <c r="C250" s="346"/>
      <c r="D250" s="347"/>
      <c r="E250" s="345"/>
    </row>
    <row r="251" spans="1:5">
      <c r="A251" s="330"/>
      <c r="B251" s="342"/>
      <c r="C251" s="346"/>
      <c r="D251" s="347"/>
      <c r="E251" s="345"/>
    </row>
    <row r="252" spans="1:5">
      <c r="A252" s="330"/>
      <c r="B252" s="342"/>
      <c r="C252" s="346"/>
      <c r="D252" s="347"/>
      <c r="E252" s="345"/>
    </row>
    <row r="253" spans="1:5">
      <c r="A253" s="330"/>
      <c r="B253" s="342"/>
      <c r="C253" s="346"/>
      <c r="D253" s="347"/>
      <c r="E253" s="345"/>
    </row>
    <row r="254" spans="1:5">
      <c r="A254" s="330"/>
      <c r="B254" s="342"/>
      <c r="C254" s="346"/>
      <c r="D254" s="347"/>
      <c r="E254" s="345"/>
    </row>
    <row r="255" spans="1:5">
      <c r="A255" s="330"/>
      <c r="B255" s="342"/>
      <c r="C255" s="346"/>
      <c r="D255" s="347"/>
      <c r="E255" s="345"/>
    </row>
    <row r="256" spans="1:5">
      <c r="A256" s="330"/>
      <c r="B256" s="342"/>
      <c r="C256" s="346"/>
      <c r="D256" s="347"/>
      <c r="E256" s="345"/>
    </row>
    <row r="257" spans="1:5">
      <c r="A257" s="330"/>
      <c r="B257" s="342"/>
      <c r="C257" s="346"/>
      <c r="D257" s="347"/>
      <c r="E257" s="345"/>
    </row>
    <row r="258" spans="1:5">
      <c r="A258" s="330"/>
      <c r="B258" s="342"/>
      <c r="C258" s="346"/>
      <c r="D258" s="347"/>
      <c r="E258" s="345"/>
    </row>
    <row r="259" spans="1:5">
      <c r="A259" s="330"/>
      <c r="B259" s="342"/>
      <c r="C259" s="346"/>
      <c r="D259" s="347"/>
      <c r="E259" s="345"/>
    </row>
    <row r="260" spans="1:5">
      <c r="A260" s="330"/>
      <c r="B260" s="342"/>
      <c r="C260" s="346"/>
      <c r="D260" s="347"/>
      <c r="E260" s="345"/>
    </row>
    <row r="261" spans="1:5">
      <c r="A261" s="330"/>
      <c r="B261" s="348"/>
      <c r="C261" s="346"/>
      <c r="D261" s="347"/>
      <c r="E261" s="345"/>
    </row>
    <row r="262" spans="1:5">
      <c r="A262" s="330"/>
      <c r="B262" s="348"/>
      <c r="C262" s="346"/>
      <c r="D262" s="347"/>
      <c r="E262" s="345"/>
    </row>
    <row r="263" spans="1:5">
      <c r="A263" s="330"/>
      <c r="B263" s="348"/>
      <c r="C263" s="346"/>
      <c r="D263" s="347"/>
      <c r="E263" s="345"/>
    </row>
    <row r="264" spans="1:5">
      <c r="A264" s="330"/>
      <c r="B264" s="348"/>
      <c r="C264" s="346"/>
      <c r="D264" s="347"/>
      <c r="E264" s="345"/>
    </row>
    <row r="265" spans="1:5">
      <c r="A265" s="330"/>
      <c r="B265" s="348"/>
      <c r="C265" s="346"/>
      <c r="D265" s="347"/>
      <c r="E265" s="345"/>
    </row>
    <row r="266" spans="1:5">
      <c r="A266" s="330"/>
      <c r="B266" s="342"/>
      <c r="C266" s="346"/>
      <c r="D266" s="347"/>
      <c r="E266" s="345"/>
    </row>
    <row r="267" spans="1:5">
      <c r="A267" s="330"/>
      <c r="B267" s="342"/>
      <c r="C267" s="346"/>
      <c r="D267" s="347"/>
      <c r="E267" s="345"/>
    </row>
    <row r="268" spans="1:5">
      <c r="A268" s="330"/>
      <c r="B268" s="342"/>
      <c r="C268" s="346"/>
      <c r="D268" s="347"/>
      <c r="E268" s="345"/>
    </row>
    <row r="269" spans="1:5">
      <c r="A269" s="330"/>
      <c r="B269" s="342"/>
      <c r="C269" s="346"/>
      <c r="D269" s="347"/>
      <c r="E269" s="345"/>
    </row>
    <row r="270" spans="1:5">
      <c r="A270" s="330"/>
      <c r="B270" s="342"/>
      <c r="C270" s="346"/>
      <c r="D270" s="347"/>
      <c r="E270" s="345"/>
    </row>
    <row r="271" spans="1:5">
      <c r="A271" s="330"/>
      <c r="B271" s="342"/>
      <c r="C271" s="346"/>
      <c r="D271" s="347"/>
      <c r="E271" s="345"/>
    </row>
    <row r="272" spans="1:5">
      <c r="A272" s="330"/>
      <c r="B272" s="342"/>
      <c r="C272" s="346"/>
      <c r="D272" s="347"/>
      <c r="E272" s="345"/>
    </row>
    <row r="273" spans="1:5">
      <c r="A273" s="330"/>
      <c r="B273" s="342"/>
      <c r="C273" s="346"/>
      <c r="D273" s="347"/>
      <c r="E273" s="345"/>
    </row>
    <row r="274" spans="1:5">
      <c r="A274" s="330"/>
      <c r="B274" s="342"/>
      <c r="C274" s="346"/>
      <c r="D274" s="347"/>
      <c r="E274" s="345"/>
    </row>
    <row r="275" spans="1:5">
      <c r="A275" s="330"/>
      <c r="B275" s="342"/>
      <c r="C275" s="346"/>
      <c r="D275" s="347"/>
      <c r="E275" s="345"/>
    </row>
    <row r="276" spans="1:5">
      <c r="A276" s="330"/>
      <c r="B276" s="342"/>
      <c r="C276" s="346"/>
      <c r="D276" s="347"/>
      <c r="E276" s="345"/>
    </row>
    <row r="277" spans="1:5">
      <c r="A277" s="330"/>
      <c r="B277" s="342"/>
      <c r="C277" s="346"/>
      <c r="D277" s="347"/>
      <c r="E277" s="345"/>
    </row>
    <row r="278" spans="1:5">
      <c r="A278" s="330"/>
      <c r="B278" s="342"/>
      <c r="C278" s="346"/>
      <c r="D278" s="347"/>
      <c r="E278" s="345"/>
    </row>
    <row r="279" spans="1:5">
      <c r="A279" s="330"/>
      <c r="B279" s="342"/>
      <c r="C279" s="346"/>
      <c r="D279" s="347"/>
      <c r="E279" s="345"/>
    </row>
    <row r="280" spans="1:5">
      <c r="A280" s="330"/>
      <c r="B280" s="342"/>
      <c r="C280" s="346"/>
      <c r="D280" s="347"/>
      <c r="E280" s="345"/>
    </row>
    <row r="281" spans="1:5">
      <c r="A281" s="330"/>
      <c r="B281" s="342"/>
      <c r="C281" s="346"/>
      <c r="D281" s="347"/>
      <c r="E281" s="345"/>
    </row>
    <row r="282" spans="1:5">
      <c r="A282" s="330"/>
      <c r="B282" s="342"/>
      <c r="C282" s="346"/>
      <c r="D282" s="347"/>
      <c r="E282" s="345"/>
    </row>
    <row r="283" spans="1:5">
      <c r="A283" s="330"/>
      <c r="B283" s="342"/>
      <c r="C283" s="346"/>
      <c r="D283" s="347"/>
      <c r="E283" s="345"/>
    </row>
    <row r="284" spans="1:5">
      <c r="A284" s="330"/>
      <c r="B284" s="342"/>
      <c r="C284" s="346"/>
      <c r="D284" s="347"/>
      <c r="E284" s="345"/>
    </row>
    <row r="285" spans="1:5">
      <c r="A285" s="330"/>
      <c r="B285" s="342"/>
      <c r="C285" s="346"/>
      <c r="D285" s="347"/>
      <c r="E285" s="345"/>
    </row>
    <row r="286" spans="1:5">
      <c r="A286" s="330"/>
      <c r="B286" s="342"/>
      <c r="C286" s="346"/>
      <c r="D286" s="347"/>
      <c r="E286" s="345"/>
    </row>
    <row r="287" spans="1:5">
      <c r="A287" s="330"/>
      <c r="B287" s="342"/>
      <c r="C287" s="346"/>
      <c r="D287" s="347"/>
      <c r="E287" s="345"/>
    </row>
    <row r="288" spans="1:5">
      <c r="A288" s="330"/>
      <c r="B288" s="342"/>
      <c r="C288" s="346"/>
      <c r="D288" s="347"/>
      <c r="E288" s="345"/>
    </row>
    <row r="289" spans="1:5">
      <c r="A289" s="330"/>
      <c r="B289" s="342"/>
      <c r="C289" s="346"/>
      <c r="D289" s="347"/>
      <c r="E289" s="345"/>
    </row>
    <row r="290" spans="1:5">
      <c r="A290" s="330"/>
      <c r="B290" s="342"/>
      <c r="C290" s="346"/>
      <c r="D290" s="347"/>
      <c r="E290" s="345"/>
    </row>
    <row r="291" spans="1:5">
      <c r="A291" s="330"/>
      <c r="B291" s="342"/>
      <c r="C291" s="346"/>
      <c r="D291" s="347"/>
      <c r="E291" s="345"/>
    </row>
    <row r="292" spans="1:5">
      <c r="A292" s="330"/>
      <c r="B292" s="342"/>
      <c r="C292" s="346"/>
      <c r="D292" s="347"/>
      <c r="E292" s="345"/>
    </row>
    <row r="293" spans="1:5">
      <c r="A293" s="330"/>
      <c r="B293" s="342"/>
      <c r="C293" s="346"/>
      <c r="D293" s="347"/>
      <c r="E293" s="345"/>
    </row>
    <row r="294" spans="1:5">
      <c r="A294" s="330"/>
      <c r="B294" s="342"/>
      <c r="C294" s="346"/>
      <c r="D294" s="347"/>
      <c r="E294" s="345"/>
    </row>
    <row r="295" spans="1:5">
      <c r="A295" s="330"/>
      <c r="B295" s="342"/>
      <c r="C295" s="346"/>
      <c r="D295" s="347"/>
      <c r="E295" s="345"/>
    </row>
    <row r="296" spans="1:5">
      <c r="A296" s="330"/>
      <c r="B296" s="342"/>
      <c r="C296" s="346"/>
      <c r="D296" s="347"/>
      <c r="E296" s="345"/>
    </row>
    <row r="297" spans="1:5">
      <c r="A297" s="330"/>
      <c r="B297" s="342"/>
      <c r="C297" s="346"/>
      <c r="D297" s="347"/>
      <c r="E297" s="345"/>
    </row>
    <row r="298" spans="1:5">
      <c r="A298" s="330"/>
      <c r="B298" s="342"/>
      <c r="C298" s="346"/>
      <c r="D298" s="347"/>
      <c r="E298" s="345"/>
    </row>
    <row r="299" spans="1:5">
      <c r="A299" s="330"/>
      <c r="B299" s="342"/>
      <c r="C299" s="346"/>
      <c r="D299" s="347"/>
      <c r="E299" s="345"/>
    </row>
    <row r="300" spans="1:5">
      <c r="A300" s="330"/>
      <c r="B300" s="342"/>
      <c r="C300" s="346"/>
      <c r="D300" s="347"/>
      <c r="E300" s="345"/>
    </row>
    <row r="301" spans="1:5">
      <c r="A301" s="330"/>
      <c r="B301" s="342"/>
      <c r="C301" s="346"/>
      <c r="D301" s="347"/>
      <c r="E301" s="345"/>
    </row>
    <row r="302" spans="1:5">
      <c r="A302" s="330"/>
      <c r="B302" s="342"/>
      <c r="C302" s="346"/>
      <c r="D302" s="347"/>
      <c r="E302" s="345"/>
    </row>
    <row r="303" spans="1:5">
      <c r="A303" s="330"/>
      <c r="B303" s="342"/>
      <c r="C303" s="346"/>
      <c r="D303" s="347"/>
      <c r="E303" s="345"/>
    </row>
    <row r="304" spans="1:5">
      <c r="A304" s="330"/>
      <c r="B304" s="342"/>
      <c r="C304" s="346"/>
      <c r="D304" s="347"/>
      <c r="E304" s="345"/>
    </row>
    <row r="305" spans="1:5">
      <c r="A305" s="330"/>
      <c r="B305" s="342"/>
      <c r="C305" s="346"/>
      <c r="D305" s="347"/>
      <c r="E305" s="345"/>
    </row>
    <row r="306" spans="1:5">
      <c r="A306" s="330"/>
      <c r="B306" s="342"/>
      <c r="C306" s="346"/>
      <c r="D306" s="347"/>
      <c r="E306" s="345"/>
    </row>
    <row r="307" spans="1:5">
      <c r="A307" s="330"/>
      <c r="B307" s="342"/>
      <c r="C307" s="346"/>
      <c r="D307" s="347"/>
      <c r="E307" s="345"/>
    </row>
    <row r="308" spans="1:5">
      <c r="A308" s="330"/>
      <c r="B308" s="342"/>
      <c r="C308" s="346"/>
      <c r="D308" s="347"/>
      <c r="E308" s="345"/>
    </row>
    <row r="309" spans="1:5">
      <c r="A309" s="330"/>
      <c r="B309" s="342"/>
      <c r="C309" s="346"/>
      <c r="D309" s="347"/>
      <c r="E309" s="345"/>
    </row>
    <row r="310" spans="1:5">
      <c r="A310" s="330"/>
      <c r="B310" s="342"/>
      <c r="C310" s="346"/>
      <c r="D310" s="347"/>
      <c r="E310" s="345"/>
    </row>
    <row r="311" spans="1:5">
      <c r="A311" s="330"/>
      <c r="B311" s="342"/>
      <c r="C311" s="346"/>
      <c r="D311" s="347"/>
      <c r="E311" s="345"/>
    </row>
    <row r="312" spans="1:5">
      <c r="A312" s="330"/>
      <c r="B312" s="342"/>
      <c r="C312" s="346"/>
      <c r="D312" s="347"/>
      <c r="E312" s="345"/>
    </row>
    <row r="313" spans="1:5">
      <c r="A313" s="330"/>
      <c r="B313" s="342"/>
      <c r="C313" s="346"/>
      <c r="D313" s="347"/>
      <c r="E313" s="345"/>
    </row>
    <row r="314" spans="1:5">
      <c r="A314" s="330"/>
      <c r="B314" s="342"/>
      <c r="C314" s="346"/>
      <c r="D314" s="347"/>
      <c r="E314" s="345"/>
    </row>
    <row r="315" spans="1:5">
      <c r="A315" s="330"/>
      <c r="B315" s="342"/>
      <c r="C315" s="346"/>
      <c r="D315" s="347"/>
      <c r="E315" s="345"/>
    </row>
    <row r="316" spans="1:5">
      <c r="A316" s="330"/>
      <c r="B316" s="342"/>
      <c r="C316" s="346"/>
      <c r="D316" s="347"/>
      <c r="E316" s="345"/>
    </row>
    <row r="317" spans="1:5">
      <c r="A317" s="330"/>
      <c r="B317" s="342"/>
      <c r="C317" s="346"/>
      <c r="D317" s="347"/>
      <c r="E317" s="345"/>
    </row>
    <row r="318" spans="1:5">
      <c r="A318" s="330"/>
      <c r="B318" s="342"/>
      <c r="C318" s="346"/>
      <c r="D318" s="347"/>
      <c r="E318" s="345"/>
    </row>
    <row r="319" spans="1:5">
      <c r="A319" s="330"/>
      <c r="B319" s="342"/>
      <c r="C319" s="346"/>
      <c r="D319" s="347"/>
      <c r="E319" s="345"/>
    </row>
    <row r="320" spans="1:5">
      <c r="A320" s="330"/>
      <c r="B320" s="342"/>
      <c r="C320" s="346"/>
      <c r="D320" s="347"/>
      <c r="E320" s="345"/>
    </row>
    <row r="321" spans="1:5">
      <c r="A321" s="330"/>
      <c r="B321" s="342"/>
      <c r="C321" s="346"/>
      <c r="D321" s="347"/>
      <c r="E321" s="345"/>
    </row>
    <row r="322" spans="1:5">
      <c r="A322" s="330"/>
      <c r="B322" s="342"/>
      <c r="C322" s="346"/>
      <c r="D322" s="347"/>
      <c r="E322" s="345"/>
    </row>
    <row r="323" spans="1:5">
      <c r="A323" s="330"/>
      <c r="B323" s="342"/>
      <c r="C323" s="346"/>
      <c r="D323" s="347"/>
      <c r="E323" s="345"/>
    </row>
    <row r="324" spans="1:5">
      <c r="A324" s="330"/>
      <c r="B324" s="342"/>
      <c r="C324" s="346"/>
      <c r="D324" s="347"/>
      <c r="E324" s="345"/>
    </row>
    <row r="325" spans="1:5">
      <c r="A325" s="330"/>
      <c r="B325" s="342"/>
      <c r="C325" s="346"/>
      <c r="D325" s="347"/>
      <c r="E325" s="345"/>
    </row>
    <row r="326" spans="1:5">
      <c r="A326" s="330"/>
      <c r="B326" s="342"/>
      <c r="C326" s="346"/>
      <c r="D326" s="347"/>
      <c r="E326" s="345"/>
    </row>
    <row r="327" spans="1:5">
      <c r="A327" s="330"/>
      <c r="B327" s="342"/>
      <c r="C327" s="346"/>
      <c r="D327" s="347"/>
      <c r="E327" s="345"/>
    </row>
    <row r="328" spans="1:5">
      <c r="A328" s="330"/>
      <c r="B328" s="342"/>
      <c r="C328" s="346"/>
      <c r="D328" s="347"/>
      <c r="E328" s="345"/>
    </row>
    <row r="329" spans="1:5">
      <c r="A329" s="330"/>
      <c r="B329" s="342"/>
      <c r="C329" s="346"/>
      <c r="D329" s="347"/>
      <c r="E329" s="345"/>
    </row>
    <row r="330" spans="1:5">
      <c r="A330" s="330"/>
      <c r="B330" s="342"/>
      <c r="C330" s="346"/>
      <c r="D330" s="347"/>
      <c r="E330" s="345"/>
    </row>
    <row r="331" spans="1:5">
      <c r="A331" s="330"/>
      <c r="B331" s="342"/>
      <c r="C331" s="346"/>
      <c r="D331" s="347"/>
      <c r="E331" s="345"/>
    </row>
    <row r="332" spans="1:5">
      <c r="A332" s="330"/>
      <c r="B332" s="342"/>
      <c r="C332" s="346"/>
      <c r="D332" s="347"/>
      <c r="E332" s="345"/>
    </row>
    <row r="333" spans="1:5">
      <c r="A333" s="330"/>
      <c r="B333" s="342"/>
      <c r="C333" s="346"/>
      <c r="D333" s="347"/>
      <c r="E333" s="345"/>
    </row>
    <row r="334" spans="1:5">
      <c r="A334" s="330"/>
      <c r="B334" s="342"/>
      <c r="C334" s="346"/>
      <c r="D334" s="347"/>
      <c r="E334" s="345"/>
    </row>
    <row r="335" spans="1:5">
      <c r="A335" s="330"/>
      <c r="B335" s="342"/>
      <c r="C335" s="346"/>
      <c r="D335" s="347"/>
      <c r="E335" s="345"/>
    </row>
    <row r="336" spans="1:5">
      <c r="A336" s="330"/>
      <c r="B336" s="342"/>
      <c r="C336" s="346"/>
      <c r="D336" s="347"/>
      <c r="E336" s="345"/>
    </row>
    <row r="337" spans="1:5">
      <c r="A337" s="330"/>
      <c r="B337" s="342"/>
      <c r="C337" s="346"/>
      <c r="D337" s="347"/>
      <c r="E337" s="345"/>
    </row>
    <row r="338" spans="1:5">
      <c r="A338" s="330"/>
      <c r="B338" s="342"/>
      <c r="C338" s="346"/>
      <c r="D338" s="347"/>
      <c r="E338" s="345"/>
    </row>
    <row r="339" spans="1:5">
      <c r="A339" s="330"/>
      <c r="B339" s="342"/>
      <c r="C339" s="346"/>
      <c r="D339" s="347"/>
      <c r="E339" s="345"/>
    </row>
    <row r="340" spans="1:5">
      <c r="A340" s="330"/>
      <c r="B340" s="342"/>
      <c r="C340" s="346"/>
      <c r="D340" s="347"/>
      <c r="E340" s="345"/>
    </row>
    <row r="341" spans="1:5">
      <c r="A341" s="330"/>
      <c r="B341" s="342"/>
      <c r="C341" s="346"/>
      <c r="D341" s="347"/>
      <c r="E341" s="345"/>
    </row>
    <row r="342" spans="1:5">
      <c r="A342" s="330"/>
      <c r="B342" s="342"/>
      <c r="C342" s="346"/>
      <c r="D342" s="347"/>
      <c r="E342" s="345"/>
    </row>
    <row r="343" spans="1:5">
      <c r="A343" s="330"/>
      <c r="B343" s="342"/>
      <c r="C343" s="346"/>
      <c r="D343" s="347"/>
      <c r="E343" s="345"/>
    </row>
    <row r="344" spans="1:5">
      <c r="A344" s="330"/>
      <c r="B344" s="342"/>
      <c r="C344" s="346"/>
      <c r="D344" s="347"/>
      <c r="E344" s="345"/>
    </row>
    <row r="345" spans="1:5">
      <c r="A345" s="330"/>
      <c r="B345" s="342"/>
      <c r="C345" s="346"/>
      <c r="D345" s="347"/>
      <c r="E345" s="345"/>
    </row>
    <row r="346" spans="1:5">
      <c r="A346" s="330"/>
      <c r="B346" s="342"/>
      <c r="C346" s="346"/>
      <c r="D346" s="347"/>
      <c r="E346" s="345"/>
    </row>
    <row r="347" spans="1:5">
      <c r="A347" s="330"/>
      <c r="B347" s="342"/>
      <c r="C347" s="346"/>
      <c r="D347" s="347"/>
      <c r="E347" s="345"/>
    </row>
    <row r="348" spans="1:5">
      <c r="A348" s="330"/>
      <c r="B348" s="342"/>
      <c r="C348" s="346"/>
      <c r="D348" s="347"/>
      <c r="E348" s="345"/>
    </row>
    <row r="349" spans="1:5">
      <c r="A349" s="330"/>
      <c r="B349" s="342"/>
      <c r="C349" s="346"/>
      <c r="D349" s="347"/>
      <c r="E349" s="345"/>
    </row>
    <row r="350" spans="1:5">
      <c r="A350" s="330"/>
      <c r="B350" s="342"/>
      <c r="C350" s="346"/>
      <c r="D350" s="347"/>
      <c r="E350" s="345"/>
    </row>
    <row r="351" spans="1:5">
      <c r="A351" s="330"/>
      <c r="B351" s="342"/>
      <c r="C351" s="346"/>
      <c r="D351" s="347"/>
      <c r="E351" s="345"/>
    </row>
    <row r="352" spans="1:5">
      <c r="A352" s="330"/>
      <c r="B352" s="342"/>
      <c r="C352" s="346"/>
      <c r="D352" s="347"/>
      <c r="E352" s="345"/>
    </row>
    <row r="353" spans="1:5">
      <c r="A353" s="330"/>
      <c r="B353" s="342"/>
      <c r="C353" s="346"/>
      <c r="D353" s="347"/>
      <c r="E353" s="345"/>
    </row>
    <row r="354" spans="1:5">
      <c r="A354" s="330"/>
      <c r="B354" s="342"/>
      <c r="C354" s="346"/>
      <c r="D354" s="347"/>
      <c r="E354" s="345"/>
    </row>
    <row r="355" spans="1:5">
      <c r="A355" s="330"/>
      <c r="B355" s="342"/>
      <c r="C355" s="346"/>
      <c r="D355" s="347"/>
      <c r="E355" s="345"/>
    </row>
    <row r="356" spans="1:5">
      <c r="A356" s="330"/>
      <c r="B356" s="342"/>
      <c r="C356" s="346"/>
      <c r="D356" s="347"/>
      <c r="E356" s="345"/>
    </row>
    <row r="357" spans="1:5">
      <c r="A357" s="330"/>
      <c r="B357" s="342"/>
      <c r="C357" s="346"/>
      <c r="D357" s="347"/>
      <c r="E357" s="345"/>
    </row>
    <row r="358" spans="1:5">
      <c r="A358" s="330"/>
      <c r="B358" s="342"/>
      <c r="C358" s="346"/>
      <c r="D358" s="347"/>
      <c r="E358" s="345"/>
    </row>
    <row r="359" spans="1:5">
      <c r="A359" s="330"/>
      <c r="B359" s="342"/>
      <c r="C359" s="346"/>
      <c r="D359" s="347"/>
      <c r="E359" s="345"/>
    </row>
    <row r="360" spans="1:5">
      <c r="A360" s="330"/>
      <c r="B360" s="342"/>
      <c r="C360" s="346"/>
      <c r="D360" s="347"/>
      <c r="E360" s="345"/>
    </row>
    <row r="361" spans="1:5">
      <c r="A361" s="330"/>
      <c r="B361" s="342"/>
      <c r="C361" s="346"/>
      <c r="D361" s="347"/>
      <c r="E361" s="345"/>
    </row>
    <row r="362" spans="1:5">
      <c r="A362" s="330"/>
      <c r="B362" s="342"/>
      <c r="C362" s="346"/>
      <c r="D362" s="347"/>
      <c r="E362" s="345"/>
    </row>
    <row r="363" spans="1:5">
      <c r="A363" s="330"/>
      <c r="B363" s="342"/>
      <c r="C363" s="346"/>
      <c r="D363" s="347"/>
      <c r="E363" s="345"/>
    </row>
    <row r="364" spans="1:5">
      <c r="A364" s="330"/>
      <c r="B364" s="342"/>
      <c r="C364" s="346"/>
      <c r="D364" s="347"/>
      <c r="E364" s="345"/>
    </row>
    <row r="365" spans="1:5">
      <c r="A365" s="330"/>
      <c r="B365" s="342"/>
      <c r="C365" s="346"/>
      <c r="D365" s="347"/>
      <c r="E365" s="345"/>
    </row>
    <row r="366" spans="1:5">
      <c r="A366" s="330"/>
      <c r="B366" s="342"/>
      <c r="C366" s="346"/>
      <c r="D366" s="347"/>
      <c r="E366" s="345"/>
    </row>
    <row r="367" spans="1:5">
      <c r="A367" s="330"/>
      <c r="B367" s="342"/>
      <c r="C367" s="346"/>
      <c r="D367" s="347"/>
      <c r="E367" s="345"/>
    </row>
    <row r="368" spans="1:5">
      <c r="A368" s="330"/>
      <c r="B368" s="342"/>
      <c r="C368" s="346"/>
      <c r="D368" s="347"/>
      <c r="E368" s="345"/>
    </row>
    <row r="369" spans="1:5">
      <c r="A369" s="330"/>
      <c r="B369" s="342"/>
      <c r="C369" s="346"/>
      <c r="D369" s="347"/>
      <c r="E369" s="345"/>
    </row>
    <row r="370" spans="1:5">
      <c r="A370" s="330"/>
      <c r="B370" s="342"/>
      <c r="C370" s="346"/>
      <c r="D370" s="347"/>
      <c r="E370" s="345"/>
    </row>
    <row r="371" spans="1:5">
      <c r="A371" s="330"/>
      <c r="B371" s="342"/>
      <c r="C371" s="346"/>
      <c r="D371" s="347"/>
      <c r="E371" s="345"/>
    </row>
    <row r="372" spans="1:5">
      <c r="A372" s="330"/>
      <c r="B372" s="342"/>
      <c r="C372" s="346"/>
      <c r="D372" s="347"/>
      <c r="E372" s="345"/>
    </row>
    <row r="373" spans="1:5">
      <c r="A373" s="330"/>
      <c r="B373" s="342"/>
      <c r="C373" s="346"/>
      <c r="D373" s="347"/>
      <c r="E373" s="345"/>
    </row>
    <row r="374" spans="1:5">
      <c r="A374" s="330"/>
      <c r="B374" s="342"/>
      <c r="C374" s="346"/>
      <c r="D374" s="347"/>
      <c r="E374" s="345"/>
    </row>
    <row r="375" spans="1:5">
      <c r="A375" s="330"/>
      <c r="B375" s="342"/>
      <c r="C375" s="346"/>
      <c r="D375" s="347"/>
      <c r="E375" s="345"/>
    </row>
    <row r="376" spans="1:5">
      <c r="A376" s="330"/>
      <c r="B376" s="342"/>
      <c r="C376" s="346"/>
      <c r="D376" s="347"/>
      <c r="E376" s="345"/>
    </row>
    <row r="377" spans="1:5">
      <c r="A377" s="330"/>
      <c r="B377" s="342"/>
      <c r="C377" s="346"/>
      <c r="D377" s="347"/>
      <c r="E377" s="345"/>
    </row>
    <row r="378" spans="1:5">
      <c r="A378" s="330"/>
      <c r="B378" s="342"/>
      <c r="C378" s="346"/>
      <c r="D378" s="347"/>
      <c r="E378" s="345"/>
    </row>
    <row r="379" spans="1:5">
      <c r="A379" s="330"/>
      <c r="B379" s="342"/>
      <c r="C379" s="346"/>
      <c r="D379" s="347"/>
      <c r="E379" s="345"/>
    </row>
    <row r="380" spans="1:5">
      <c r="A380" s="330"/>
      <c r="B380" s="342"/>
      <c r="C380" s="346"/>
      <c r="D380" s="347"/>
      <c r="E380" s="345"/>
    </row>
    <row r="381" spans="1:5">
      <c r="A381" s="330"/>
      <c r="B381" s="342"/>
      <c r="C381" s="346"/>
      <c r="D381" s="347"/>
      <c r="E381" s="345"/>
    </row>
    <row r="382" spans="1:5">
      <c r="A382" s="330"/>
      <c r="B382" s="342"/>
      <c r="C382" s="346"/>
      <c r="D382" s="347"/>
      <c r="E382" s="345"/>
    </row>
    <row r="383" spans="1:5">
      <c r="A383" s="330"/>
      <c r="B383" s="342"/>
      <c r="C383" s="346"/>
      <c r="D383" s="347"/>
      <c r="E383" s="345"/>
    </row>
    <row r="384" spans="1:5">
      <c r="A384" s="330"/>
      <c r="B384" s="342"/>
      <c r="C384" s="346"/>
      <c r="D384" s="347"/>
      <c r="E384" s="345"/>
    </row>
    <row r="385" spans="1:5">
      <c r="A385" s="330"/>
      <c r="B385" s="342"/>
      <c r="C385" s="346"/>
      <c r="D385" s="347"/>
      <c r="E385" s="345"/>
    </row>
    <row r="386" spans="1:5">
      <c r="A386" s="330"/>
      <c r="B386" s="342"/>
      <c r="C386" s="346"/>
      <c r="D386" s="347"/>
      <c r="E386" s="345"/>
    </row>
    <row r="387" spans="1:5">
      <c r="A387" s="330"/>
      <c r="B387" s="342"/>
      <c r="C387" s="346"/>
      <c r="D387" s="347"/>
      <c r="E387" s="345"/>
    </row>
    <row r="388" spans="1:5">
      <c r="A388" s="330"/>
      <c r="B388" s="342"/>
      <c r="C388" s="346"/>
      <c r="D388" s="347"/>
      <c r="E388" s="345"/>
    </row>
    <row r="389" spans="1:5">
      <c r="A389" s="330"/>
      <c r="B389" s="342"/>
      <c r="C389" s="346"/>
      <c r="D389" s="347"/>
      <c r="E389" s="345"/>
    </row>
    <row r="390" spans="1:5">
      <c r="A390" s="330"/>
      <c r="B390" s="342"/>
      <c r="C390" s="346"/>
      <c r="D390" s="347"/>
      <c r="E390" s="345"/>
    </row>
    <row r="391" spans="1:5">
      <c r="A391" s="330"/>
      <c r="B391" s="342"/>
      <c r="C391" s="346"/>
      <c r="D391" s="347"/>
      <c r="E391" s="345"/>
    </row>
    <row r="392" spans="1:5">
      <c r="A392" s="330"/>
      <c r="B392" s="342"/>
      <c r="C392" s="346"/>
      <c r="D392" s="347"/>
      <c r="E392" s="345"/>
    </row>
    <row r="393" spans="1:5">
      <c r="A393" s="330"/>
      <c r="B393" s="342"/>
      <c r="C393" s="346"/>
      <c r="D393" s="347"/>
      <c r="E393" s="345"/>
    </row>
    <row r="394" spans="1:5">
      <c r="A394" s="330"/>
      <c r="B394" s="342"/>
      <c r="C394" s="346"/>
      <c r="D394" s="347"/>
      <c r="E394" s="345"/>
    </row>
    <row r="395" spans="1:5">
      <c r="A395" s="330"/>
      <c r="B395" s="342"/>
      <c r="C395" s="346"/>
      <c r="D395" s="347"/>
      <c r="E395" s="345"/>
    </row>
    <row r="396" spans="1:5">
      <c r="A396" s="330"/>
      <c r="B396" s="342"/>
      <c r="C396" s="346"/>
      <c r="D396" s="347"/>
      <c r="E396" s="345"/>
    </row>
    <row r="397" spans="1:5">
      <c r="A397" s="330"/>
      <c r="B397" s="342"/>
      <c r="C397" s="346"/>
      <c r="D397" s="347"/>
      <c r="E397" s="345"/>
    </row>
    <row r="398" spans="1:5">
      <c r="A398" s="330"/>
      <c r="B398" s="342"/>
      <c r="C398" s="346"/>
      <c r="D398" s="347"/>
      <c r="E398" s="345"/>
    </row>
    <row r="399" spans="1:5">
      <c r="A399" s="330"/>
      <c r="B399" s="342"/>
      <c r="C399" s="346"/>
      <c r="D399" s="347"/>
      <c r="E399" s="345"/>
    </row>
    <row r="400" spans="1:5">
      <c r="A400" s="330"/>
      <c r="B400" s="342"/>
      <c r="C400" s="346"/>
      <c r="D400" s="347"/>
      <c r="E400" s="345"/>
    </row>
    <row r="401" spans="1:5">
      <c r="A401" s="330"/>
      <c r="B401" s="342"/>
      <c r="C401" s="346"/>
      <c r="D401" s="347"/>
      <c r="E401" s="345"/>
    </row>
    <row r="402" spans="1:5">
      <c r="A402" s="330"/>
      <c r="B402" s="342"/>
      <c r="C402" s="346"/>
      <c r="D402" s="347"/>
      <c r="E402" s="345"/>
    </row>
    <row r="403" spans="1:5">
      <c r="A403" s="330"/>
      <c r="B403" s="342"/>
      <c r="C403" s="346"/>
      <c r="D403" s="347"/>
      <c r="E403" s="345"/>
    </row>
    <row r="404" spans="1:5">
      <c r="A404" s="330"/>
      <c r="B404" s="342"/>
      <c r="C404" s="346"/>
      <c r="D404" s="347"/>
      <c r="E404" s="345"/>
    </row>
    <row r="405" spans="1:5">
      <c r="A405" s="330"/>
      <c r="B405" s="342"/>
      <c r="C405" s="346"/>
      <c r="D405" s="347"/>
      <c r="E405" s="345"/>
    </row>
    <row r="406" spans="1:5">
      <c r="A406" s="330"/>
      <c r="B406" s="342"/>
      <c r="C406" s="346"/>
      <c r="D406" s="347"/>
      <c r="E406" s="345"/>
    </row>
    <row r="407" spans="1:5">
      <c r="A407" s="330"/>
      <c r="B407" s="342"/>
      <c r="C407" s="346"/>
      <c r="D407" s="347"/>
      <c r="E407" s="345"/>
    </row>
    <row r="408" spans="1:5">
      <c r="A408" s="330"/>
      <c r="B408" s="342"/>
      <c r="C408" s="346"/>
      <c r="D408" s="347"/>
      <c r="E408" s="345"/>
    </row>
    <row r="409" spans="1:5">
      <c r="A409" s="330"/>
      <c r="B409" s="342"/>
      <c r="C409" s="346"/>
      <c r="D409" s="347"/>
      <c r="E409" s="345"/>
    </row>
    <row r="410" spans="1:5">
      <c r="A410" s="330"/>
      <c r="B410" s="342"/>
      <c r="C410" s="346"/>
      <c r="D410" s="347"/>
      <c r="E410" s="345"/>
    </row>
    <row r="411" spans="1:5">
      <c r="A411" s="330"/>
      <c r="B411" s="342"/>
      <c r="C411" s="346"/>
      <c r="D411" s="347"/>
      <c r="E411" s="345"/>
    </row>
    <row r="412" spans="1:5">
      <c r="A412" s="330"/>
      <c r="B412" s="342"/>
      <c r="C412" s="346"/>
      <c r="D412" s="347"/>
      <c r="E412" s="345"/>
    </row>
    <row r="413" spans="1:5">
      <c r="A413" s="330"/>
      <c r="B413" s="342"/>
      <c r="C413" s="346"/>
      <c r="D413" s="347"/>
      <c r="E413" s="345"/>
    </row>
    <row r="414" spans="1:5">
      <c r="A414" s="330"/>
      <c r="B414" s="342"/>
      <c r="C414" s="346"/>
      <c r="D414" s="347"/>
      <c r="E414" s="345"/>
    </row>
    <row r="415" spans="1:5">
      <c r="A415" s="330"/>
      <c r="B415" s="342"/>
      <c r="C415" s="346"/>
      <c r="D415" s="347"/>
      <c r="E415" s="345"/>
    </row>
    <row r="416" spans="1:5">
      <c r="A416" s="330"/>
      <c r="B416" s="342"/>
      <c r="C416" s="346"/>
      <c r="D416" s="347"/>
      <c r="E416" s="345"/>
    </row>
    <row r="417" spans="1:5">
      <c r="A417" s="330"/>
      <c r="B417" s="342"/>
      <c r="C417" s="346"/>
      <c r="D417" s="347"/>
      <c r="E417" s="345"/>
    </row>
    <row r="418" spans="1:5">
      <c r="A418" s="330"/>
      <c r="B418" s="342"/>
      <c r="C418" s="346"/>
      <c r="D418" s="347"/>
      <c r="E418" s="345"/>
    </row>
    <row r="419" spans="1:5">
      <c r="A419" s="330"/>
      <c r="B419" s="342"/>
      <c r="C419" s="346"/>
      <c r="D419" s="347"/>
      <c r="E419" s="345"/>
    </row>
    <row r="420" spans="1:5">
      <c r="A420" s="330"/>
      <c r="B420" s="342"/>
      <c r="C420" s="346"/>
      <c r="D420" s="347"/>
      <c r="E420" s="345"/>
    </row>
    <row r="421" spans="1:5">
      <c r="A421" s="330"/>
      <c r="B421" s="342"/>
      <c r="C421" s="346"/>
      <c r="D421" s="347"/>
      <c r="E421" s="345"/>
    </row>
    <row r="422" spans="1:5">
      <c r="A422" s="330"/>
      <c r="B422" s="342"/>
      <c r="C422" s="346"/>
      <c r="D422" s="347"/>
      <c r="E422" s="345"/>
    </row>
    <row r="423" spans="1:5">
      <c r="A423" s="330"/>
      <c r="B423" s="342"/>
      <c r="C423" s="346"/>
      <c r="D423" s="347"/>
      <c r="E423" s="345"/>
    </row>
    <row r="424" spans="1:5">
      <c r="A424" s="330"/>
      <c r="B424" s="342"/>
      <c r="C424" s="346"/>
      <c r="D424" s="347"/>
      <c r="E424" s="345"/>
    </row>
    <row r="425" spans="1:5">
      <c r="A425" s="330"/>
      <c r="B425" s="342"/>
      <c r="C425" s="346"/>
      <c r="D425" s="347"/>
      <c r="E425" s="345"/>
    </row>
    <row r="426" spans="1:5">
      <c r="A426" s="330"/>
      <c r="B426" s="342"/>
      <c r="C426" s="346"/>
      <c r="D426" s="347"/>
      <c r="E426" s="345"/>
    </row>
    <row r="427" spans="1:5">
      <c r="A427" s="330"/>
      <c r="B427" s="342"/>
      <c r="C427" s="346"/>
      <c r="D427" s="347"/>
      <c r="E427" s="345"/>
    </row>
    <row r="428" spans="1:5">
      <c r="A428" s="330"/>
      <c r="B428" s="342"/>
      <c r="C428" s="346"/>
      <c r="D428" s="347"/>
      <c r="E428" s="345"/>
    </row>
    <row r="429" spans="1:5">
      <c r="A429" s="330"/>
      <c r="B429" s="342"/>
      <c r="C429" s="346"/>
      <c r="D429" s="347"/>
      <c r="E429" s="345"/>
    </row>
    <row r="430" spans="1:5">
      <c r="A430" s="330"/>
      <c r="B430" s="342"/>
      <c r="C430" s="346"/>
      <c r="D430" s="347"/>
      <c r="E430" s="345"/>
    </row>
    <row r="431" spans="1:5">
      <c r="A431" s="330"/>
      <c r="B431" s="342"/>
      <c r="C431" s="346"/>
      <c r="D431" s="347"/>
      <c r="E431" s="345"/>
    </row>
    <row r="432" spans="1:5">
      <c r="A432" s="330"/>
      <c r="B432" s="342"/>
      <c r="C432" s="346"/>
      <c r="D432" s="347"/>
      <c r="E432" s="345"/>
    </row>
    <row r="433" spans="1:5">
      <c r="A433" s="330"/>
      <c r="B433" s="342"/>
      <c r="C433" s="346"/>
      <c r="D433" s="347"/>
      <c r="E433" s="345"/>
    </row>
    <row r="434" spans="1:5">
      <c r="A434" s="330"/>
      <c r="B434" s="342"/>
      <c r="C434" s="346"/>
      <c r="D434" s="347"/>
      <c r="E434" s="345"/>
    </row>
    <row r="435" spans="1:5">
      <c r="A435" s="330"/>
      <c r="B435" s="342"/>
      <c r="C435" s="346"/>
      <c r="D435" s="347"/>
      <c r="E435" s="345"/>
    </row>
    <row r="436" spans="1:5">
      <c r="A436" s="330"/>
      <c r="B436" s="342"/>
      <c r="C436" s="346"/>
      <c r="D436" s="347"/>
      <c r="E436" s="345"/>
    </row>
    <row r="437" spans="1:5">
      <c r="A437" s="330"/>
      <c r="B437" s="342"/>
      <c r="C437" s="346"/>
      <c r="D437" s="347"/>
      <c r="E437" s="345"/>
    </row>
    <row r="438" spans="1:5">
      <c r="A438" s="330"/>
      <c r="B438" s="342"/>
      <c r="C438" s="346"/>
      <c r="D438" s="347"/>
      <c r="E438" s="345"/>
    </row>
    <row r="439" spans="1:5">
      <c r="A439" s="330"/>
      <c r="B439" s="342"/>
      <c r="C439" s="346"/>
      <c r="D439" s="347"/>
      <c r="E439" s="345"/>
    </row>
    <row r="440" spans="1:5">
      <c r="A440" s="330"/>
      <c r="B440" s="342"/>
      <c r="C440" s="346"/>
      <c r="D440" s="347"/>
      <c r="E440" s="345"/>
    </row>
    <row r="441" spans="1:5">
      <c r="A441" s="330"/>
      <c r="B441" s="342"/>
      <c r="C441" s="346"/>
      <c r="D441" s="347"/>
      <c r="E441" s="345"/>
    </row>
    <row r="442" spans="1:5">
      <c r="A442" s="330"/>
      <c r="B442" s="342"/>
      <c r="C442" s="346"/>
      <c r="D442" s="347"/>
      <c r="E442" s="345"/>
    </row>
    <row r="443" spans="1:5">
      <c r="A443" s="330"/>
      <c r="B443" s="342"/>
      <c r="C443" s="346"/>
      <c r="D443" s="347"/>
      <c r="E443" s="345"/>
    </row>
    <row r="444" spans="1:5">
      <c r="A444" s="330"/>
      <c r="B444" s="342"/>
      <c r="C444" s="346"/>
      <c r="D444" s="347"/>
      <c r="E444" s="345"/>
    </row>
    <row r="445" spans="1:5">
      <c r="A445" s="330"/>
      <c r="B445" s="342"/>
      <c r="C445" s="349"/>
      <c r="D445" s="347"/>
      <c r="E445" s="345"/>
    </row>
    <row r="446" spans="1:5">
      <c r="A446" s="330"/>
      <c r="B446" s="350"/>
      <c r="C446" s="347"/>
      <c r="D446" s="347"/>
      <c r="E446" s="351"/>
    </row>
    <row r="447" spans="1:5">
      <c r="A447" s="330"/>
      <c r="B447" s="350"/>
      <c r="C447" s="347"/>
      <c r="D447" s="347"/>
      <c r="E447" s="351"/>
    </row>
  </sheetData>
  <autoFilter ref="G1:G3" xr:uid="{00000000-0009-0000-0000-000005000000}"/>
  <pageMargins left="0.7" right="0.7" top="0.75" bottom="0.75" header="0.3" footer="0.3"/>
  <pageSetup orientation="portrait" horizontalDpi="200" verticalDpi="200" r:id="rId1"/>
  <headerFooter>
    <oddHeader>&amp;A</oddHeader>
    <oddFooter>&amp;F</oddFooter>
  </headerFooter>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444"/>
  <sheetViews>
    <sheetView topLeftCell="A2" zoomScaleNormal="100" workbookViewId="0">
      <selection activeCell="D32" sqref="D32"/>
    </sheetView>
  </sheetViews>
  <sheetFormatPr defaultColWidth="9.140625" defaultRowHeight="15.75"/>
  <cols>
    <col min="1" max="1" width="71.140625" style="28" customWidth="1"/>
    <col min="2" max="2" width="29.42578125" style="28" customWidth="1"/>
    <col min="3" max="3" width="9.5703125" style="28" bestFit="1" customWidth="1"/>
    <col min="4" max="4" width="116" style="28" customWidth="1"/>
    <col min="5" max="16384" width="9.140625" style="28"/>
  </cols>
  <sheetData>
    <row r="1" spans="1:4" ht="16.5" thickBot="1">
      <c r="A1" s="203" t="str">
        <f>Labor_Categories[[#Headers],[Labor Categories]]</f>
        <v>Labor Categories</v>
      </c>
      <c r="B1" s="203" t="str">
        <f>Labor_Categories[[#Headers],[Minimum Direct Labor Rates]]</f>
        <v>Minimum Direct Labor Rates</v>
      </c>
    </row>
    <row r="2" spans="1:4">
      <c r="A2" s="397" t="s">
        <v>254</v>
      </c>
      <c r="B2" s="332">
        <v>50.86</v>
      </c>
      <c r="C2" s="400"/>
      <c r="D2"/>
    </row>
    <row r="3" spans="1:4">
      <c r="A3" s="398" t="s">
        <v>259</v>
      </c>
      <c r="B3" s="333">
        <v>61.96</v>
      </c>
      <c r="C3" s="400"/>
      <c r="D3"/>
    </row>
    <row r="4" spans="1:4">
      <c r="A4" s="397" t="s">
        <v>260</v>
      </c>
      <c r="B4" s="332">
        <v>73.81</v>
      </c>
      <c r="C4" s="400"/>
      <c r="D4"/>
    </row>
    <row r="5" spans="1:4">
      <c r="A5" s="398" t="s">
        <v>261</v>
      </c>
      <c r="B5" s="333">
        <v>40.270000000000003</v>
      </c>
      <c r="C5" s="400"/>
      <c r="D5"/>
    </row>
    <row r="6" spans="1:4">
      <c r="A6" s="397" t="s">
        <v>262</v>
      </c>
      <c r="B6" s="332">
        <v>50.45</v>
      </c>
      <c r="C6" s="400"/>
      <c r="D6"/>
    </row>
    <row r="7" spans="1:4">
      <c r="A7" s="398" t="s">
        <v>263</v>
      </c>
      <c r="B7" s="333">
        <v>69.959999999999994</v>
      </c>
      <c r="C7" s="400"/>
      <c r="D7"/>
    </row>
    <row r="8" spans="1:4">
      <c r="A8" s="397" t="s">
        <v>264</v>
      </c>
      <c r="B8" s="332">
        <v>39.56</v>
      </c>
      <c r="C8" s="400"/>
      <c r="D8"/>
    </row>
    <row r="9" spans="1:4">
      <c r="A9" s="398" t="s">
        <v>265</v>
      </c>
      <c r="B9" s="333">
        <v>49.94</v>
      </c>
      <c r="C9" s="400"/>
      <c r="D9"/>
    </row>
    <row r="10" spans="1:4">
      <c r="A10" s="398" t="s">
        <v>266</v>
      </c>
      <c r="B10" s="333">
        <v>49.94</v>
      </c>
      <c r="C10" s="400"/>
      <c r="D10"/>
    </row>
    <row r="11" spans="1:4">
      <c r="A11" s="397" t="s">
        <v>267</v>
      </c>
      <c r="B11" s="332">
        <v>63.52</v>
      </c>
      <c r="C11" s="400"/>
      <c r="D11"/>
    </row>
    <row r="12" spans="1:4">
      <c r="A12" s="397" t="s">
        <v>268</v>
      </c>
      <c r="B12" s="332">
        <v>63.52</v>
      </c>
      <c r="C12" s="400"/>
      <c r="D12"/>
    </row>
    <row r="13" spans="1:4">
      <c r="A13" s="398" t="s">
        <v>269</v>
      </c>
      <c r="B13" s="333">
        <v>56.59</v>
      </c>
      <c r="C13" s="400"/>
      <c r="D13"/>
    </row>
    <row r="14" spans="1:4" ht="15" customHeight="1">
      <c r="A14" s="397" t="s">
        <v>270</v>
      </c>
      <c r="B14" s="332">
        <v>78.14</v>
      </c>
      <c r="C14" s="400"/>
      <c r="D14"/>
    </row>
    <row r="15" spans="1:4">
      <c r="A15" s="398" t="s">
        <v>271</v>
      </c>
      <c r="B15" s="333">
        <v>52.55</v>
      </c>
      <c r="C15" s="400"/>
      <c r="D15"/>
    </row>
    <row r="16" spans="1:4">
      <c r="A16" s="397" t="s">
        <v>272</v>
      </c>
      <c r="B16" s="332">
        <v>64.39</v>
      </c>
      <c r="C16" s="400"/>
      <c r="D16"/>
    </row>
    <row r="17" spans="1:4" ht="31.5">
      <c r="A17" s="408" t="s">
        <v>273</v>
      </c>
      <c r="B17" s="433">
        <v>51.78</v>
      </c>
      <c r="C17" s="400"/>
      <c r="D17"/>
    </row>
    <row r="18" spans="1:4">
      <c r="A18" s="399" t="s">
        <v>275</v>
      </c>
      <c r="B18" s="334">
        <v>49.67</v>
      </c>
      <c r="C18" s="400"/>
      <c r="D18"/>
    </row>
    <row r="19" spans="1:4">
      <c r="A19" s="398" t="s">
        <v>276</v>
      </c>
      <c r="B19" s="333">
        <v>63.43</v>
      </c>
      <c r="C19" s="400"/>
      <c r="D19"/>
    </row>
    <row r="20" spans="1:4">
      <c r="A20" s="399" t="s">
        <v>277</v>
      </c>
      <c r="B20" s="334">
        <v>83.04</v>
      </c>
      <c r="C20" s="400"/>
      <c r="D20"/>
    </row>
    <row r="21" spans="1:4">
      <c r="A21" s="407" t="s">
        <v>278</v>
      </c>
      <c r="B21" s="432">
        <v>83.04</v>
      </c>
      <c r="C21" s="400"/>
      <c r="D21"/>
    </row>
    <row r="22" spans="1:4">
      <c r="A22" s="398" t="s">
        <v>279</v>
      </c>
      <c r="B22" s="333">
        <v>45.66</v>
      </c>
      <c r="C22" s="400"/>
      <c r="D22"/>
    </row>
    <row r="23" spans="1:4">
      <c r="A23" s="399" t="s">
        <v>280</v>
      </c>
      <c r="B23" s="334">
        <v>53.42</v>
      </c>
      <c r="C23" s="400"/>
      <c r="D23"/>
    </row>
    <row r="24" spans="1:4">
      <c r="A24" s="398" t="s">
        <v>281</v>
      </c>
      <c r="B24" s="333">
        <v>69.45</v>
      </c>
      <c r="C24" s="400"/>
      <c r="D24"/>
    </row>
    <row r="25" spans="1:4">
      <c r="A25" s="399" t="s">
        <v>282</v>
      </c>
      <c r="B25" s="334">
        <v>39.630000000000003</v>
      </c>
      <c r="C25" s="400"/>
      <c r="D25"/>
    </row>
    <row r="26" spans="1:4">
      <c r="A26" s="398" t="s">
        <v>283</v>
      </c>
      <c r="B26" s="333">
        <v>53.95</v>
      </c>
      <c r="C26" s="400"/>
      <c r="D26"/>
    </row>
    <row r="27" spans="1:4">
      <c r="A27" s="399" t="s">
        <v>284</v>
      </c>
      <c r="B27" s="334">
        <v>17.8</v>
      </c>
      <c r="C27" s="400"/>
      <c r="D27"/>
    </row>
    <row r="28" spans="1:4">
      <c r="A28" s="398" t="s">
        <v>286</v>
      </c>
      <c r="B28" s="333">
        <v>19.420000000000002</v>
      </c>
      <c r="C28" s="400"/>
      <c r="D28"/>
    </row>
    <row r="29" spans="1:4">
      <c r="A29" s="399" t="s">
        <v>287</v>
      </c>
      <c r="B29" s="334">
        <v>21.79</v>
      </c>
      <c r="C29" s="400"/>
      <c r="D29"/>
    </row>
    <row r="30" spans="1:4">
      <c r="A30" s="337"/>
      <c r="B30" s="338"/>
    </row>
    <row r="31" spans="1:4" ht="15" customHeight="1">
      <c r="A31" s="335"/>
      <c r="B31" s="336"/>
    </row>
    <row r="32" spans="1:4">
      <c r="A32" s="337"/>
      <c r="B32" s="338"/>
    </row>
    <row r="33" spans="1:2">
      <c r="A33" s="335"/>
      <c r="B33" s="336"/>
    </row>
    <row r="34" spans="1:2">
      <c r="A34" s="337"/>
      <c r="B34" s="338"/>
    </row>
    <row r="35" spans="1:2">
      <c r="A35" s="335"/>
      <c r="B35" s="336"/>
    </row>
    <row r="36" spans="1:2">
      <c r="A36" s="337"/>
      <c r="B36" s="338"/>
    </row>
    <row r="37" spans="1:2">
      <c r="A37" s="335"/>
      <c r="B37" s="336"/>
    </row>
    <row r="38" spans="1:2">
      <c r="A38" s="337"/>
      <c r="B38" s="338"/>
    </row>
    <row r="39" spans="1:2">
      <c r="A39" s="335"/>
      <c r="B39" s="336"/>
    </row>
    <row r="40" spans="1:2">
      <c r="A40" s="337"/>
      <c r="B40" s="338"/>
    </row>
    <row r="41" spans="1:2">
      <c r="A41" s="335"/>
      <c r="B41" s="336"/>
    </row>
    <row r="42" spans="1:2">
      <c r="A42" s="429"/>
      <c r="B42" s="338"/>
    </row>
    <row r="43" spans="1:2">
      <c r="A43" s="335"/>
      <c r="B43" s="336"/>
    </row>
    <row r="44" spans="1:2">
      <c r="A44" s="337"/>
      <c r="B44" s="338"/>
    </row>
    <row r="45" spans="1:2">
      <c r="A45" s="335"/>
      <c r="B45" s="336"/>
    </row>
    <row r="46" spans="1:2">
      <c r="A46" s="337"/>
      <c r="B46" s="338"/>
    </row>
    <row r="47" spans="1:2">
      <c r="A47" s="335"/>
      <c r="B47" s="336"/>
    </row>
    <row r="48" spans="1:2">
      <c r="A48" s="337"/>
      <c r="B48" s="338"/>
    </row>
    <row r="49" spans="1:2">
      <c r="A49" s="335"/>
      <c r="B49" s="336"/>
    </row>
    <row r="50" spans="1:2">
      <c r="A50" s="337"/>
      <c r="B50" s="338"/>
    </row>
    <row r="51" spans="1:2">
      <c r="A51" s="335"/>
      <c r="B51" s="336"/>
    </row>
    <row r="52" spans="1:2">
      <c r="A52" s="337"/>
      <c r="B52" s="338"/>
    </row>
    <row r="53" spans="1:2">
      <c r="A53" s="335"/>
      <c r="B53" s="336"/>
    </row>
    <row r="54" spans="1:2">
      <c r="A54" s="337"/>
      <c r="B54" s="338"/>
    </row>
    <row r="55" spans="1:2">
      <c r="A55" s="335"/>
      <c r="B55" s="336"/>
    </row>
    <row r="56" spans="1:2">
      <c r="A56" s="337"/>
      <c r="B56" s="338"/>
    </row>
    <row r="57" spans="1:2">
      <c r="A57" s="335"/>
      <c r="B57" s="336"/>
    </row>
    <row r="58" spans="1:2">
      <c r="A58" s="337"/>
      <c r="B58" s="338"/>
    </row>
    <row r="59" spans="1:2">
      <c r="A59" s="335"/>
      <c r="B59" s="336"/>
    </row>
    <row r="60" spans="1:2">
      <c r="A60" s="337"/>
      <c r="B60" s="338"/>
    </row>
    <row r="61" spans="1:2">
      <c r="A61" s="335"/>
      <c r="B61" s="336"/>
    </row>
    <row r="62" spans="1:2">
      <c r="A62" s="337"/>
      <c r="B62" s="338"/>
    </row>
    <row r="63" spans="1:2">
      <c r="A63" s="335"/>
      <c r="B63" s="336"/>
    </row>
    <row r="64" spans="1:2">
      <c r="A64" s="337"/>
      <c r="B64" s="338"/>
    </row>
    <row r="65" spans="1:2">
      <c r="A65" s="335"/>
      <c r="B65" s="336"/>
    </row>
    <row r="66" spans="1:2">
      <c r="A66" s="337"/>
      <c r="B66" s="338"/>
    </row>
    <row r="67" spans="1:2">
      <c r="A67" s="335"/>
      <c r="B67" s="336"/>
    </row>
    <row r="68" spans="1:2">
      <c r="A68" s="337"/>
      <c r="B68" s="338"/>
    </row>
    <row r="69" spans="1:2">
      <c r="A69" s="335"/>
      <c r="B69" s="336"/>
    </row>
    <row r="70" spans="1:2">
      <c r="A70" s="337"/>
      <c r="B70" s="338"/>
    </row>
    <row r="71" spans="1:2">
      <c r="A71" s="335"/>
      <c r="B71" s="336"/>
    </row>
    <row r="72" spans="1:2">
      <c r="A72" s="337"/>
      <c r="B72" s="338"/>
    </row>
    <row r="73" spans="1:2">
      <c r="A73" s="335"/>
      <c r="B73" s="336"/>
    </row>
    <row r="74" spans="1:2">
      <c r="A74" s="337"/>
      <c r="B74" s="338"/>
    </row>
    <row r="75" spans="1:2">
      <c r="A75" s="335"/>
      <c r="B75" s="336"/>
    </row>
    <row r="76" spans="1:2">
      <c r="A76" s="337"/>
      <c r="B76" s="338"/>
    </row>
    <row r="77" spans="1:2">
      <c r="A77" s="335"/>
      <c r="B77" s="336"/>
    </row>
    <row r="78" spans="1:2">
      <c r="A78" s="337"/>
      <c r="B78" s="338"/>
    </row>
    <row r="79" spans="1:2">
      <c r="A79" s="335"/>
      <c r="B79" s="336"/>
    </row>
    <row r="80" spans="1:2">
      <c r="A80" s="337"/>
      <c r="B80" s="338"/>
    </row>
    <row r="81" spans="1:2">
      <c r="A81" s="335"/>
      <c r="B81" s="336"/>
    </row>
    <row r="82" spans="1:2">
      <c r="A82" s="337"/>
      <c r="B82" s="338"/>
    </row>
    <row r="83" spans="1:2">
      <c r="A83" s="335"/>
      <c r="B83" s="336"/>
    </row>
    <row r="84" spans="1:2">
      <c r="A84" s="337"/>
      <c r="B84" s="338"/>
    </row>
    <row r="85" spans="1:2">
      <c r="A85" s="335"/>
      <c r="B85" s="336"/>
    </row>
    <row r="86" spans="1:2">
      <c r="A86" s="337"/>
      <c r="B86" s="338"/>
    </row>
    <row r="87" spans="1:2">
      <c r="A87" s="335"/>
      <c r="B87" s="336"/>
    </row>
    <row r="88" spans="1:2">
      <c r="A88" s="337"/>
      <c r="B88" s="338"/>
    </row>
    <row r="89" spans="1:2">
      <c r="A89" s="335"/>
      <c r="B89" s="336"/>
    </row>
    <row r="90" spans="1:2">
      <c r="A90" s="337"/>
      <c r="B90" s="338"/>
    </row>
    <row r="91" spans="1:2">
      <c r="A91" s="335"/>
      <c r="B91" s="336"/>
    </row>
    <row r="92" spans="1:2">
      <c r="A92" s="337"/>
      <c r="B92" s="338"/>
    </row>
    <row r="93" spans="1:2">
      <c r="A93" s="335"/>
      <c r="B93" s="336"/>
    </row>
    <row r="94" spans="1:2">
      <c r="A94" s="337"/>
      <c r="B94" s="338"/>
    </row>
    <row r="95" spans="1:2">
      <c r="A95" s="335"/>
      <c r="B95" s="336"/>
    </row>
    <row r="96" spans="1:2">
      <c r="A96" s="337"/>
      <c r="B96" s="338"/>
    </row>
    <row r="97" spans="1:2">
      <c r="A97" s="335"/>
      <c r="B97" s="336"/>
    </row>
    <row r="98" spans="1:2">
      <c r="A98" s="337"/>
      <c r="B98" s="338"/>
    </row>
    <row r="99" spans="1:2">
      <c r="A99" s="335"/>
      <c r="B99" s="336"/>
    </row>
    <row r="100" spans="1:2">
      <c r="A100" s="337"/>
      <c r="B100" s="338"/>
    </row>
    <row r="101" spans="1:2">
      <c r="A101" s="335"/>
      <c r="B101" s="336"/>
    </row>
    <row r="102" spans="1:2">
      <c r="A102" s="337"/>
      <c r="B102" s="338"/>
    </row>
    <row r="103" spans="1:2">
      <c r="A103" s="335"/>
      <c r="B103" s="336"/>
    </row>
    <row r="104" spans="1:2">
      <c r="A104" s="337"/>
      <c r="B104" s="338"/>
    </row>
    <row r="105" spans="1:2">
      <c r="A105" s="335"/>
      <c r="B105" s="336"/>
    </row>
    <row r="106" spans="1:2">
      <c r="A106" s="337"/>
      <c r="B106" s="338"/>
    </row>
    <row r="107" spans="1:2">
      <c r="A107" s="335"/>
      <c r="B107" s="336"/>
    </row>
    <row r="108" spans="1:2">
      <c r="A108" s="337"/>
      <c r="B108" s="338"/>
    </row>
    <row r="109" spans="1:2">
      <c r="A109" s="335"/>
      <c r="B109" s="336"/>
    </row>
    <row r="110" spans="1:2">
      <c r="A110" s="337"/>
      <c r="B110" s="338"/>
    </row>
    <row r="111" spans="1:2">
      <c r="A111" s="335"/>
      <c r="B111" s="336"/>
    </row>
    <row r="112" spans="1:2">
      <c r="A112" s="337"/>
      <c r="B112" s="338"/>
    </row>
    <row r="113" spans="1:2">
      <c r="A113" s="335"/>
      <c r="B113" s="336"/>
    </row>
    <row r="114" spans="1:2">
      <c r="A114" s="337"/>
      <c r="B114" s="338"/>
    </row>
    <row r="115" spans="1:2">
      <c r="A115" s="335"/>
      <c r="B115" s="336"/>
    </row>
    <row r="116" spans="1:2">
      <c r="A116" s="337"/>
      <c r="B116" s="338"/>
    </row>
    <row r="117" spans="1:2">
      <c r="A117" s="335"/>
      <c r="B117" s="336"/>
    </row>
    <row r="118" spans="1:2">
      <c r="A118" s="337"/>
      <c r="B118" s="338"/>
    </row>
    <row r="119" spans="1:2">
      <c r="A119" s="335"/>
      <c r="B119" s="336"/>
    </row>
    <row r="120" spans="1:2">
      <c r="A120" s="337"/>
      <c r="B120" s="338"/>
    </row>
    <row r="121" spans="1:2">
      <c r="A121" s="335"/>
      <c r="B121" s="336"/>
    </row>
    <row r="122" spans="1:2">
      <c r="A122" s="337"/>
      <c r="B122" s="338"/>
    </row>
    <row r="123" spans="1:2">
      <c r="A123" s="335"/>
      <c r="B123" s="336"/>
    </row>
    <row r="124" spans="1:2">
      <c r="A124" s="337"/>
      <c r="B124" s="338"/>
    </row>
    <row r="125" spans="1:2">
      <c r="A125" s="335"/>
      <c r="B125" s="336"/>
    </row>
    <row r="126" spans="1:2">
      <c r="A126" s="337"/>
      <c r="B126" s="338"/>
    </row>
    <row r="127" spans="1:2">
      <c r="A127" s="335"/>
      <c r="B127" s="336"/>
    </row>
    <row r="128" spans="1:2">
      <c r="A128" s="337"/>
      <c r="B128" s="338"/>
    </row>
    <row r="129" spans="1:2">
      <c r="A129" s="335"/>
      <c r="B129" s="336"/>
    </row>
    <row r="130" spans="1:2">
      <c r="A130" s="337"/>
      <c r="B130" s="338"/>
    </row>
    <row r="131" spans="1:2">
      <c r="A131" s="335"/>
      <c r="B131" s="336"/>
    </row>
    <row r="132" spans="1:2">
      <c r="A132" s="337"/>
      <c r="B132" s="338"/>
    </row>
    <row r="133" spans="1:2">
      <c r="A133" s="335"/>
      <c r="B133" s="336"/>
    </row>
    <row r="134" spans="1:2">
      <c r="A134" s="337"/>
      <c r="B134" s="338"/>
    </row>
    <row r="135" spans="1:2">
      <c r="A135" s="335"/>
      <c r="B135" s="336"/>
    </row>
    <row r="136" spans="1:2">
      <c r="A136" s="337"/>
      <c r="B136" s="338"/>
    </row>
    <row r="137" spans="1:2">
      <c r="A137" s="335"/>
      <c r="B137" s="336"/>
    </row>
    <row r="138" spans="1:2">
      <c r="A138" s="337"/>
      <c r="B138" s="338"/>
    </row>
    <row r="139" spans="1:2">
      <c r="A139" s="335"/>
      <c r="B139" s="336"/>
    </row>
    <row r="140" spans="1:2">
      <c r="A140" s="337"/>
      <c r="B140" s="338"/>
    </row>
    <row r="141" spans="1:2">
      <c r="A141" s="335"/>
      <c r="B141" s="336"/>
    </row>
    <row r="142" spans="1:2">
      <c r="A142" s="337"/>
      <c r="B142" s="338"/>
    </row>
    <row r="143" spans="1:2">
      <c r="A143" s="335"/>
      <c r="B143" s="336"/>
    </row>
    <row r="144" spans="1:2">
      <c r="A144" s="337"/>
      <c r="B144" s="338"/>
    </row>
    <row r="145" spans="1:2">
      <c r="A145" s="335"/>
      <c r="B145" s="336"/>
    </row>
    <row r="146" spans="1:2">
      <c r="A146" s="337"/>
      <c r="B146" s="338"/>
    </row>
    <row r="147" spans="1:2">
      <c r="A147" s="335"/>
      <c r="B147" s="336"/>
    </row>
    <row r="148" spans="1:2">
      <c r="A148" s="337"/>
      <c r="B148" s="338"/>
    </row>
    <row r="149" spans="1:2">
      <c r="A149" s="335"/>
      <c r="B149" s="336"/>
    </row>
    <row r="150" spans="1:2">
      <c r="A150" s="337"/>
      <c r="B150" s="338"/>
    </row>
    <row r="151" spans="1:2">
      <c r="A151" s="335"/>
      <c r="B151" s="336"/>
    </row>
    <row r="152" spans="1:2">
      <c r="A152" s="337"/>
      <c r="B152" s="338"/>
    </row>
    <row r="153" spans="1:2">
      <c r="A153" s="335"/>
      <c r="B153" s="336"/>
    </row>
    <row r="154" spans="1:2">
      <c r="A154" s="337"/>
      <c r="B154" s="338"/>
    </row>
    <row r="155" spans="1:2">
      <c r="A155" s="335"/>
      <c r="B155" s="336"/>
    </row>
    <row r="156" spans="1:2">
      <c r="A156" s="337"/>
      <c r="B156" s="338"/>
    </row>
    <row r="157" spans="1:2">
      <c r="A157" s="335"/>
      <c r="B157" s="336"/>
    </row>
    <row r="158" spans="1:2">
      <c r="A158" s="337"/>
      <c r="B158" s="338"/>
    </row>
    <row r="159" spans="1:2">
      <c r="A159" s="335"/>
      <c r="B159" s="336"/>
    </row>
    <row r="160" spans="1:2">
      <c r="A160" s="337"/>
      <c r="B160" s="338"/>
    </row>
    <row r="161" spans="1:2">
      <c r="A161" s="335"/>
      <c r="B161" s="336"/>
    </row>
    <row r="162" spans="1:2">
      <c r="A162" s="337"/>
      <c r="B162" s="338"/>
    </row>
    <row r="163" spans="1:2">
      <c r="A163" s="335"/>
      <c r="B163" s="336"/>
    </row>
    <row r="164" spans="1:2">
      <c r="A164" s="337"/>
      <c r="B164" s="338"/>
    </row>
    <row r="165" spans="1:2">
      <c r="A165" s="335"/>
      <c r="B165" s="336"/>
    </row>
    <row r="166" spans="1:2">
      <c r="A166" s="337"/>
      <c r="B166" s="338"/>
    </row>
    <row r="167" spans="1:2">
      <c r="A167" s="335"/>
      <c r="B167" s="336"/>
    </row>
    <row r="168" spans="1:2">
      <c r="A168" s="337"/>
      <c r="B168" s="338"/>
    </row>
    <row r="169" spans="1:2">
      <c r="A169" s="335"/>
      <c r="B169" s="336"/>
    </row>
    <row r="170" spans="1:2">
      <c r="A170" s="337"/>
      <c r="B170" s="338"/>
    </row>
    <row r="171" spans="1:2">
      <c r="A171" s="335"/>
      <c r="B171" s="336"/>
    </row>
    <row r="172" spans="1:2">
      <c r="A172" s="337"/>
      <c r="B172" s="338"/>
    </row>
    <row r="173" spans="1:2">
      <c r="A173" s="335"/>
      <c r="B173" s="336"/>
    </row>
    <row r="174" spans="1:2">
      <c r="A174" s="337"/>
      <c r="B174" s="338"/>
    </row>
    <row r="175" spans="1:2">
      <c r="A175" s="335"/>
      <c r="B175" s="336"/>
    </row>
    <row r="176" spans="1:2">
      <c r="A176" s="337"/>
      <c r="B176" s="338"/>
    </row>
    <row r="177" spans="1:2">
      <c r="A177" s="335"/>
      <c r="B177" s="336"/>
    </row>
    <row r="178" spans="1:2">
      <c r="A178" s="337"/>
      <c r="B178" s="338"/>
    </row>
    <row r="179" spans="1:2">
      <c r="A179" s="335"/>
      <c r="B179" s="336"/>
    </row>
    <row r="180" spans="1:2">
      <c r="A180" s="337"/>
      <c r="B180" s="338"/>
    </row>
    <row r="181" spans="1:2">
      <c r="A181" s="335"/>
      <c r="B181" s="336"/>
    </row>
    <row r="182" spans="1:2">
      <c r="A182" s="337"/>
      <c r="B182" s="338"/>
    </row>
    <row r="183" spans="1:2">
      <c r="A183" s="335"/>
      <c r="B183" s="336"/>
    </row>
    <row r="184" spans="1:2">
      <c r="A184" s="337"/>
      <c r="B184" s="338"/>
    </row>
    <row r="185" spans="1:2">
      <c r="A185" s="335"/>
      <c r="B185" s="336"/>
    </row>
    <row r="186" spans="1:2">
      <c r="A186" s="337"/>
      <c r="B186" s="338"/>
    </row>
    <row r="187" spans="1:2">
      <c r="A187" s="335"/>
      <c r="B187" s="336"/>
    </row>
    <row r="188" spans="1:2">
      <c r="A188" s="337"/>
      <c r="B188" s="338"/>
    </row>
    <row r="189" spans="1:2">
      <c r="A189" s="335"/>
      <c r="B189" s="336"/>
    </row>
    <row r="190" spans="1:2">
      <c r="A190" s="337"/>
      <c r="B190" s="338"/>
    </row>
    <row r="191" spans="1:2">
      <c r="A191" s="335"/>
      <c r="B191" s="336"/>
    </row>
    <row r="192" spans="1:2">
      <c r="A192" s="337"/>
      <c r="B192" s="338"/>
    </row>
    <row r="193" spans="1:2">
      <c r="A193" s="335"/>
      <c r="B193" s="338"/>
    </row>
    <row r="194" spans="1:2">
      <c r="A194" s="337"/>
      <c r="B194" s="338"/>
    </row>
    <row r="195" spans="1:2">
      <c r="A195" s="335"/>
      <c r="B195" s="338"/>
    </row>
    <row r="196" spans="1:2">
      <c r="A196" s="337"/>
      <c r="B196" s="338"/>
    </row>
    <row r="197" spans="1:2">
      <c r="A197" s="335"/>
      <c r="B197" s="338"/>
    </row>
    <row r="198" spans="1:2">
      <c r="A198" s="337"/>
      <c r="B198" s="338"/>
    </row>
    <row r="199" spans="1:2">
      <c r="A199" s="335"/>
      <c r="B199" s="338"/>
    </row>
    <row r="200" spans="1:2">
      <c r="A200" s="337"/>
      <c r="B200" s="338"/>
    </row>
    <row r="201" spans="1:2">
      <c r="A201" s="335"/>
      <c r="B201" s="338"/>
    </row>
    <row r="202" spans="1:2">
      <c r="A202" s="337"/>
      <c r="B202" s="338"/>
    </row>
    <row r="203" spans="1:2">
      <c r="A203" s="335"/>
      <c r="B203" s="338"/>
    </row>
    <row r="204" spans="1:2">
      <c r="A204" s="337"/>
      <c r="B204" s="338"/>
    </row>
    <row r="205" spans="1:2">
      <c r="A205" s="335"/>
      <c r="B205" s="338"/>
    </row>
    <row r="206" spans="1:2">
      <c r="A206" s="337"/>
      <c r="B206" s="338"/>
    </row>
    <row r="207" spans="1:2">
      <c r="A207" s="335"/>
      <c r="B207" s="338"/>
    </row>
    <row r="208" spans="1:2">
      <c r="A208" s="337"/>
      <c r="B208" s="338"/>
    </row>
    <row r="209" spans="1:2">
      <c r="A209" s="335"/>
      <c r="B209" s="338"/>
    </row>
    <row r="210" spans="1:2">
      <c r="A210" s="337"/>
      <c r="B210" s="338"/>
    </row>
    <row r="211" spans="1:2">
      <c r="A211" s="335"/>
      <c r="B211" s="338"/>
    </row>
    <row r="212" spans="1:2">
      <c r="A212" s="337"/>
      <c r="B212" s="338"/>
    </row>
    <row r="213" spans="1:2">
      <c r="A213" s="335"/>
      <c r="B213" s="338"/>
    </row>
    <row r="214" spans="1:2">
      <c r="A214" s="337"/>
      <c r="B214" s="338"/>
    </row>
    <row r="215" spans="1:2">
      <c r="A215" s="335"/>
      <c r="B215" s="338"/>
    </row>
    <row r="216" spans="1:2">
      <c r="A216" s="337"/>
      <c r="B216" s="338"/>
    </row>
    <row r="217" spans="1:2">
      <c r="A217" s="335"/>
      <c r="B217" s="338"/>
    </row>
    <row r="218" spans="1:2">
      <c r="A218" s="337"/>
      <c r="B218" s="338"/>
    </row>
    <row r="219" spans="1:2">
      <c r="A219" s="335"/>
      <c r="B219" s="338"/>
    </row>
    <row r="220" spans="1:2">
      <c r="A220" s="337"/>
      <c r="B220" s="338"/>
    </row>
    <row r="221" spans="1:2">
      <c r="A221" s="335"/>
      <c r="B221" s="338"/>
    </row>
    <row r="222" spans="1:2">
      <c r="A222" s="337"/>
      <c r="B222" s="338"/>
    </row>
    <row r="223" spans="1:2">
      <c r="A223" s="335"/>
      <c r="B223" s="338"/>
    </row>
    <row r="224" spans="1:2">
      <c r="A224" s="337"/>
      <c r="B224" s="338"/>
    </row>
    <row r="225" spans="1:2">
      <c r="A225" s="335"/>
      <c r="B225" s="338"/>
    </row>
    <row r="226" spans="1:2">
      <c r="A226" s="337"/>
      <c r="B226" s="338"/>
    </row>
    <row r="227" spans="1:2">
      <c r="A227" s="335"/>
      <c r="B227" s="338"/>
    </row>
    <row r="228" spans="1:2">
      <c r="A228" s="337"/>
      <c r="B228" s="338"/>
    </row>
    <row r="229" spans="1:2">
      <c r="A229" s="335"/>
      <c r="B229" s="338"/>
    </row>
    <row r="230" spans="1:2">
      <c r="A230" s="337"/>
      <c r="B230" s="338"/>
    </row>
    <row r="231" spans="1:2">
      <c r="A231" s="335"/>
      <c r="B231" s="338"/>
    </row>
    <row r="232" spans="1:2">
      <c r="A232" s="337"/>
      <c r="B232" s="338"/>
    </row>
    <row r="233" spans="1:2">
      <c r="A233" s="335"/>
      <c r="B233" s="338"/>
    </row>
    <row r="234" spans="1:2">
      <c r="A234" s="337"/>
      <c r="B234" s="338"/>
    </row>
    <row r="235" spans="1:2">
      <c r="A235" s="335"/>
      <c r="B235" s="338"/>
    </row>
    <row r="236" spans="1:2">
      <c r="A236" s="337"/>
      <c r="B236" s="338"/>
    </row>
    <row r="237" spans="1:2">
      <c r="A237" s="335"/>
      <c r="B237" s="338"/>
    </row>
    <row r="238" spans="1:2">
      <c r="A238" s="337"/>
      <c r="B238" s="338"/>
    </row>
    <row r="239" spans="1:2">
      <c r="A239" s="335"/>
      <c r="B239" s="338"/>
    </row>
    <row r="240" spans="1:2">
      <c r="A240" s="337"/>
      <c r="B240" s="338"/>
    </row>
    <row r="241" spans="1:2">
      <c r="A241" s="335"/>
      <c r="B241" s="338"/>
    </row>
    <row r="242" spans="1:2">
      <c r="A242" s="337"/>
      <c r="B242" s="338"/>
    </row>
    <row r="243" spans="1:2">
      <c r="A243" s="335"/>
      <c r="B243" s="338"/>
    </row>
    <row r="244" spans="1:2">
      <c r="A244" s="337"/>
      <c r="B244" s="338"/>
    </row>
    <row r="245" spans="1:2">
      <c r="A245" s="335"/>
      <c r="B245" s="338"/>
    </row>
    <row r="246" spans="1:2">
      <c r="A246" s="337"/>
      <c r="B246" s="338"/>
    </row>
    <row r="247" spans="1:2">
      <c r="A247" s="335"/>
      <c r="B247" s="338"/>
    </row>
    <row r="248" spans="1:2">
      <c r="A248" s="337"/>
      <c r="B248" s="338"/>
    </row>
    <row r="249" spans="1:2">
      <c r="A249" s="335"/>
      <c r="B249" s="338"/>
    </row>
    <row r="250" spans="1:2">
      <c r="A250" s="337"/>
      <c r="B250" s="338"/>
    </row>
    <row r="251" spans="1:2">
      <c r="A251" s="335"/>
      <c r="B251" s="338"/>
    </row>
    <row r="252" spans="1:2">
      <c r="A252" s="337"/>
      <c r="B252" s="338"/>
    </row>
    <row r="253" spans="1:2">
      <c r="A253" s="335"/>
      <c r="B253" s="338"/>
    </row>
    <row r="254" spans="1:2">
      <c r="A254" s="337"/>
      <c r="B254" s="338"/>
    </row>
    <row r="255" spans="1:2">
      <c r="A255" s="335"/>
      <c r="B255" s="338"/>
    </row>
    <row r="256" spans="1:2">
      <c r="A256" s="337"/>
      <c r="B256" s="338"/>
    </row>
    <row r="257" spans="1:2">
      <c r="A257" s="335"/>
      <c r="B257" s="338"/>
    </row>
    <row r="258" spans="1:2">
      <c r="A258" s="337"/>
      <c r="B258" s="338"/>
    </row>
    <row r="259" spans="1:2">
      <c r="A259" s="335"/>
      <c r="B259" s="338"/>
    </row>
    <row r="260" spans="1:2">
      <c r="A260" s="339"/>
      <c r="B260" s="338"/>
    </row>
    <row r="261" spans="1:2">
      <c r="A261" s="340"/>
      <c r="B261" s="338"/>
    </row>
    <row r="262" spans="1:2">
      <c r="A262" s="339"/>
      <c r="B262" s="338"/>
    </row>
    <row r="263" spans="1:2">
      <c r="A263" s="340"/>
      <c r="B263" s="338"/>
    </row>
    <row r="264" spans="1:2">
      <c r="A264" s="339"/>
      <c r="B264" s="338"/>
    </row>
    <row r="265" spans="1:2">
      <c r="A265" s="335"/>
      <c r="B265" s="338"/>
    </row>
    <row r="266" spans="1:2">
      <c r="A266" s="337"/>
      <c r="B266" s="338"/>
    </row>
    <row r="267" spans="1:2">
      <c r="A267" s="335"/>
      <c r="B267" s="338"/>
    </row>
    <row r="268" spans="1:2">
      <c r="A268" s="337"/>
      <c r="B268" s="338"/>
    </row>
    <row r="269" spans="1:2">
      <c r="A269" s="335"/>
      <c r="B269" s="338"/>
    </row>
    <row r="270" spans="1:2">
      <c r="A270" s="337"/>
      <c r="B270" s="338"/>
    </row>
    <row r="271" spans="1:2">
      <c r="A271" s="335"/>
      <c r="B271" s="338"/>
    </row>
    <row r="272" spans="1:2">
      <c r="A272" s="337"/>
      <c r="B272" s="338"/>
    </row>
    <row r="273" spans="1:2">
      <c r="A273" s="335"/>
      <c r="B273" s="338"/>
    </row>
    <row r="274" spans="1:2">
      <c r="A274" s="337"/>
      <c r="B274" s="338"/>
    </row>
    <row r="275" spans="1:2">
      <c r="A275" s="335"/>
      <c r="B275" s="338"/>
    </row>
    <row r="276" spans="1:2">
      <c r="A276" s="337"/>
      <c r="B276" s="338"/>
    </row>
    <row r="277" spans="1:2">
      <c r="A277" s="335"/>
      <c r="B277" s="338"/>
    </row>
    <row r="278" spans="1:2">
      <c r="A278" s="337"/>
      <c r="B278" s="338"/>
    </row>
    <row r="279" spans="1:2">
      <c r="A279" s="335"/>
      <c r="B279" s="338"/>
    </row>
    <row r="280" spans="1:2">
      <c r="A280" s="337"/>
      <c r="B280" s="338"/>
    </row>
    <row r="281" spans="1:2">
      <c r="A281" s="335"/>
      <c r="B281" s="338"/>
    </row>
    <row r="282" spans="1:2">
      <c r="A282" s="337"/>
      <c r="B282" s="338"/>
    </row>
    <row r="283" spans="1:2">
      <c r="A283" s="335"/>
      <c r="B283" s="338"/>
    </row>
    <row r="284" spans="1:2">
      <c r="A284" s="337"/>
      <c r="B284" s="338"/>
    </row>
    <row r="285" spans="1:2">
      <c r="A285" s="335"/>
      <c r="B285" s="338"/>
    </row>
    <row r="286" spans="1:2">
      <c r="A286" s="337"/>
      <c r="B286" s="338"/>
    </row>
    <row r="287" spans="1:2">
      <c r="A287" s="335"/>
      <c r="B287" s="338"/>
    </row>
    <row r="288" spans="1:2">
      <c r="A288" s="337"/>
      <c r="B288" s="338"/>
    </row>
    <row r="289" spans="1:2">
      <c r="A289" s="335"/>
      <c r="B289" s="338"/>
    </row>
    <row r="290" spans="1:2">
      <c r="A290" s="337"/>
      <c r="B290" s="338"/>
    </row>
    <row r="291" spans="1:2">
      <c r="A291" s="335"/>
      <c r="B291" s="338"/>
    </row>
    <row r="292" spans="1:2">
      <c r="A292" s="337"/>
      <c r="B292" s="338"/>
    </row>
    <row r="293" spans="1:2">
      <c r="A293" s="335"/>
      <c r="B293" s="338"/>
    </row>
    <row r="294" spans="1:2">
      <c r="A294" s="337"/>
      <c r="B294" s="338"/>
    </row>
    <row r="295" spans="1:2">
      <c r="A295" s="335"/>
      <c r="B295" s="338"/>
    </row>
    <row r="296" spans="1:2">
      <c r="A296" s="337"/>
      <c r="B296" s="338"/>
    </row>
    <row r="297" spans="1:2">
      <c r="A297" s="335"/>
      <c r="B297" s="338"/>
    </row>
    <row r="298" spans="1:2">
      <c r="A298" s="337"/>
      <c r="B298" s="338"/>
    </row>
    <row r="299" spans="1:2">
      <c r="A299" s="335"/>
      <c r="B299" s="338"/>
    </row>
    <row r="300" spans="1:2">
      <c r="A300" s="337"/>
      <c r="B300" s="338"/>
    </row>
    <row r="301" spans="1:2">
      <c r="A301" s="335"/>
      <c r="B301" s="338"/>
    </row>
    <row r="302" spans="1:2">
      <c r="A302" s="337"/>
      <c r="B302" s="338"/>
    </row>
    <row r="303" spans="1:2">
      <c r="A303" s="335"/>
      <c r="B303" s="338"/>
    </row>
    <row r="304" spans="1:2">
      <c r="A304" s="337"/>
      <c r="B304" s="338"/>
    </row>
    <row r="305" spans="1:2">
      <c r="A305" s="335"/>
      <c r="B305" s="338"/>
    </row>
    <row r="306" spans="1:2">
      <c r="A306" s="337"/>
      <c r="B306" s="338"/>
    </row>
    <row r="307" spans="1:2">
      <c r="A307" s="335"/>
      <c r="B307" s="338"/>
    </row>
    <row r="308" spans="1:2">
      <c r="A308" s="337"/>
      <c r="B308" s="338"/>
    </row>
    <row r="309" spans="1:2">
      <c r="A309" s="335"/>
      <c r="B309" s="338"/>
    </row>
    <row r="310" spans="1:2">
      <c r="A310" s="337"/>
      <c r="B310" s="338"/>
    </row>
    <row r="311" spans="1:2">
      <c r="A311" s="335"/>
      <c r="B311" s="338"/>
    </row>
    <row r="312" spans="1:2">
      <c r="A312" s="337"/>
      <c r="B312" s="338"/>
    </row>
    <row r="313" spans="1:2">
      <c r="A313" s="335"/>
      <c r="B313" s="338"/>
    </row>
    <row r="314" spans="1:2">
      <c r="A314" s="337"/>
      <c r="B314" s="338"/>
    </row>
    <row r="315" spans="1:2">
      <c r="A315" s="335"/>
      <c r="B315" s="338"/>
    </row>
    <row r="316" spans="1:2">
      <c r="A316" s="337"/>
      <c r="B316" s="338"/>
    </row>
    <row r="317" spans="1:2">
      <c r="A317" s="335"/>
      <c r="B317" s="338"/>
    </row>
    <row r="318" spans="1:2">
      <c r="A318" s="337"/>
      <c r="B318" s="338"/>
    </row>
    <row r="319" spans="1:2">
      <c r="A319" s="335"/>
      <c r="B319" s="338"/>
    </row>
    <row r="320" spans="1:2">
      <c r="A320" s="337"/>
      <c r="B320" s="338"/>
    </row>
    <row r="321" spans="1:2">
      <c r="A321" s="335"/>
      <c r="B321" s="338"/>
    </row>
    <row r="322" spans="1:2">
      <c r="A322" s="337"/>
      <c r="B322" s="338"/>
    </row>
    <row r="323" spans="1:2">
      <c r="A323" s="335"/>
      <c r="B323" s="338"/>
    </row>
    <row r="324" spans="1:2">
      <c r="A324" s="337"/>
      <c r="B324" s="338"/>
    </row>
    <row r="325" spans="1:2">
      <c r="A325" s="335"/>
      <c r="B325" s="338"/>
    </row>
    <row r="326" spans="1:2">
      <c r="A326" s="337"/>
      <c r="B326" s="338"/>
    </row>
    <row r="327" spans="1:2">
      <c r="A327" s="335"/>
      <c r="B327" s="338"/>
    </row>
    <row r="328" spans="1:2">
      <c r="A328" s="337"/>
      <c r="B328" s="338"/>
    </row>
    <row r="329" spans="1:2">
      <c r="A329" s="335"/>
      <c r="B329" s="338"/>
    </row>
    <row r="330" spans="1:2">
      <c r="A330" s="337"/>
      <c r="B330" s="338"/>
    </row>
    <row r="331" spans="1:2">
      <c r="A331" s="335"/>
      <c r="B331" s="338"/>
    </row>
    <row r="332" spans="1:2">
      <c r="A332" s="337"/>
      <c r="B332" s="338"/>
    </row>
    <row r="333" spans="1:2">
      <c r="A333" s="335"/>
      <c r="B333" s="338"/>
    </row>
    <row r="334" spans="1:2">
      <c r="A334" s="337"/>
      <c r="B334" s="338"/>
    </row>
    <row r="335" spans="1:2">
      <c r="A335" s="335"/>
      <c r="B335" s="338"/>
    </row>
    <row r="336" spans="1:2">
      <c r="A336" s="337"/>
      <c r="B336" s="338"/>
    </row>
    <row r="337" spans="1:2">
      <c r="A337" s="335"/>
      <c r="B337" s="338"/>
    </row>
    <row r="338" spans="1:2">
      <c r="A338" s="337"/>
      <c r="B338" s="338"/>
    </row>
    <row r="339" spans="1:2">
      <c r="A339" s="335"/>
      <c r="B339" s="338"/>
    </row>
    <row r="340" spans="1:2">
      <c r="A340" s="337"/>
      <c r="B340" s="338"/>
    </row>
    <row r="341" spans="1:2">
      <c r="A341" s="335"/>
      <c r="B341" s="338"/>
    </row>
    <row r="342" spans="1:2">
      <c r="A342" s="337"/>
      <c r="B342" s="338"/>
    </row>
    <row r="343" spans="1:2">
      <c r="A343" s="335"/>
      <c r="B343" s="338"/>
    </row>
    <row r="344" spans="1:2">
      <c r="A344" s="337"/>
      <c r="B344" s="338"/>
    </row>
    <row r="345" spans="1:2">
      <c r="A345" s="335"/>
      <c r="B345" s="338"/>
    </row>
    <row r="346" spans="1:2">
      <c r="A346" s="337"/>
      <c r="B346" s="338"/>
    </row>
    <row r="347" spans="1:2">
      <c r="A347" s="335"/>
      <c r="B347" s="338"/>
    </row>
    <row r="348" spans="1:2">
      <c r="A348" s="337"/>
      <c r="B348" s="338"/>
    </row>
    <row r="349" spans="1:2">
      <c r="A349" s="335"/>
      <c r="B349" s="338"/>
    </row>
    <row r="350" spans="1:2">
      <c r="A350" s="337"/>
      <c r="B350" s="338"/>
    </row>
    <row r="351" spans="1:2">
      <c r="A351" s="335"/>
      <c r="B351" s="338"/>
    </row>
    <row r="352" spans="1:2">
      <c r="A352" s="337"/>
      <c r="B352" s="338"/>
    </row>
    <row r="353" spans="1:2">
      <c r="A353" s="335"/>
      <c r="B353" s="338"/>
    </row>
    <row r="354" spans="1:2">
      <c r="A354" s="337"/>
      <c r="B354" s="338"/>
    </row>
    <row r="355" spans="1:2">
      <c r="A355" s="335"/>
      <c r="B355" s="338"/>
    </row>
    <row r="356" spans="1:2">
      <c r="A356" s="337"/>
      <c r="B356" s="338"/>
    </row>
    <row r="357" spans="1:2">
      <c r="A357" s="335"/>
      <c r="B357" s="338"/>
    </row>
    <row r="358" spans="1:2">
      <c r="A358" s="337"/>
      <c r="B358" s="338"/>
    </row>
    <row r="359" spans="1:2">
      <c r="A359" s="335"/>
      <c r="B359" s="338"/>
    </row>
    <row r="360" spans="1:2">
      <c r="A360" s="337"/>
      <c r="B360" s="338"/>
    </row>
    <row r="361" spans="1:2">
      <c r="A361" s="335"/>
      <c r="B361" s="338"/>
    </row>
    <row r="362" spans="1:2">
      <c r="A362" s="337"/>
      <c r="B362" s="338"/>
    </row>
    <row r="363" spans="1:2">
      <c r="A363" s="335"/>
      <c r="B363" s="338"/>
    </row>
    <row r="364" spans="1:2">
      <c r="A364" s="337"/>
      <c r="B364" s="338"/>
    </row>
    <row r="365" spans="1:2">
      <c r="A365" s="335"/>
      <c r="B365" s="338"/>
    </row>
    <row r="366" spans="1:2">
      <c r="A366" s="337"/>
      <c r="B366" s="338"/>
    </row>
    <row r="367" spans="1:2">
      <c r="A367" s="335"/>
      <c r="B367" s="338"/>
    </row>
    <row r="368" spans="1:2">
      <c r="A368" s="337"/>
      <c r="B368" s="338"/>
    </row>
    <row r="369" spans="1:2">
      <c r="A369" s="335"/>
      <c r="B369" s="338"/>
    </row>
    <row r="370" spans="1:2">
      <c r="A370" s="337"/>
      <c r="B370" s="338"/>
    </row>
    <row r="371" spans="1:2">
      <c r="A371" s="335"/>
      <c r="B371" s="338"/>
    </row>
    <row r="372" spans="1:2">
      <c r="A372" s="337"/>
      <c r="B372" s="338"/>
    </row>
    <row r="373" spans="1:2">
      <c r="A373" s="335"/>
      <c r="B373" s="338"/>
    </row>
    <row r="374" spans="1:2">
      <c r="A374" s="337"/>
      <c r="B374" s="338"/>
    </row>
    <row r="375" spans="1:2">
      <c r="A375" s="335"/>
      <c r="B375" s="338"/>
    </row>
    <row r="376" spans="1:2">
      <c r="A376" s="337"/>
      <c r="B376" s="338"/>
    </row>
    <row r="377" spans="1:2">
      <c r="A377" s="335"/>
      <c r="B377" s="338"/>
    </row>
    <row r="378" spans="1:2">
      <c r="A378" s="337"/>
      <c r="B378" s="338"/>
    </row>
    <row r="379" spans="1:2">
      <c r="A379" s="335"/>
      <c r="B379" s="338"/>
    </row>
    <row r="380" spans="1:2">
      <c r="A380" s="337"/>
      <c r="B380" s="338"/>
    </row>
    <row r="381" spans="1:2">
      <c r="A381" s="335"/>
      <c r="B381" s="338"/>
    </row>
    <row r="382" spans="1:2">
      <c r="A382" s="337"/>
      <c r="B382" s="338"/>
    </row>
    <row r="383" spans="1:2">
      <c r="A383" s="335"/>
      <c r="B383" s="338"/>
    </row>
    <row r="384" spans="1:2">
      <c r="A384" s="337"/>
      <c r="B384" s="338"/>
    </row>
    <row r="385" spans="1:2">
      <c r="A385" s="335"/>
      <c r="B385" s="338"/>
    </row>
    <row r="386" spans="1:2">
      <c r="A386" s="337"/>
      <c r="B386" s="338"/>
    </row>
    <row r="387" spans="1:2">
      <c r="A387" s="335"/>
      <c r="B387" s="338"/>
    </row>
    <row r="388" spans="1:2">
      <c r="A388" s="337"/>
      <c r="B388" s="338"/>
    </row>
    <row r="389" spans="1:2">
      <c r="A389" s="335"/>
      <c r="B389" s="338"/>
    </row>
    <row r="390" spans="1:2">
      <c r="A390" s="337"/>
      <c r="B390" s="338"/>
    </row>
    <row r="391" spans="1:2">
      <c r="A391" s="335"/>
      <c r="B391" s="338"/>
    </row>
    <row r="392" spans="1:2">
      <c r="A392" s="337"/>
      <c r="B392" s="338"/>
    </row>
    <row r="393" spans="1:2">
      <c r="A393" s="335"/>
      <c r="B393" s="338"/>
    </row>
    <row r="394" spans="1:2">
      <c r="A394" s="337"/>
      <c r="B394" s="338"/>
    </row>
    <row r="395" spans="1:2">
      <c r="A395" s="335"/>
      <c r="B395" s="338"/>
    </row>
    <row r="396" spans="1:2">
      <c r="A396" s="337"/>
      <c r="B396" s="338"/>
    </row>
    <row r="397" spans="1:2">
      <c r="A397" s="335"/>
      <c r="B397" s="338"/>
    </row>
    <row r="398" spans="1:2">
      <c r="A398" s="337"/>
      <c r="B398" s="338"/>
    </row>
    <row r="399" spans="1:2">
      <c r="A399" s="335"/>
      <c r="B399" s="338"/>
    </row>
    <row r="400" spans="1:2">
      <c r="A400" s="337"/>
      <c r="B400" s="338"/>
    </row>
    <row r="401" spans="1:2">
      <c r="A401" s="335"/>
      <c r="B401" s="338"/>
    </row>
    <row r="402" spans="1:2">
      <c r="A402" s="337"/>
      <c r="B402" s="338"/>
    </row>
    <row r="403" spans="1:2">
      <c r="A403" s="335"/>
      <c r="B403" s="338"/>
    </row>
    <row r="404" spans="1:2">
      <c r="A404" s="337"/>
      <c r="B404" s="338"/>
    </row>
    <row r="405" spans="1:2">
      <c r="A405" s="335"/>
      <c r="B405" s="338"/>
    </row>
    <row r="406" spans="1:2">
      <c r="A406" s="337"/>
      <c r="B406" s="338"/>
    </row>
    <row r="407" spans="1:2">
      <c r="A407" s="335"/>
      <c r="B407" s="338"/>
    </row>
    <row r="408" spans="1:2">
      <c r="A408" s="337"/>
      <c r="B408" s="338"/>
    </row>
    <row r="409" spans="1:2">
      <c r="A409" s="335"/>
      <c r="B409" s="338"/>
    </row>
    <row r="410" spans="1:2">
      <c r="A410" s="337"/>
      <c r="B410" s="338"/>
    </row>
    <row r="411" spans="1:2">
      <c r="A411" s="335"/>
      <c r="B411" s="338"/>
    </row>
    <row r="412" spans="1:2">
      <c r="A412" s="337"/>
      <c r="B412" s="338"/>
    </row>
    <row r="413" spans="1:2">
      <c r="A413" s="335"/>
      <c r="B413" s="338"/>
    </row>
    <row r="414" spans="1:2">
      <c r="A414" s="337"/>
      <c r="B414" s="338"/>
    </row>
    <row r="415" spans="1:2">
      <c r="A415" s="335"/>
      <c r="B415" s="338"/>
    </row>
    <row r="416" spans="1:2">
      <c r="A416" s="337"/>
      <c r="B416" s="338"/>
    </row>
    <row r="417" spans="1:2">
      <c r="A417" s="335"/>
      <c r="B417" s="338"/>
    </row>
    <row r="418" spans="1:2">
      <c r="A418" s="337"/>
      <c r="B418" s="338"/>
    </row>
    <row r="419" spans="1:2">
      <c r="A419" s="335"/>
      <c r="B419" s="338"/>
    </row>
    <row r="420" spans="1:2">
      <c r="A420" s="337"/>
      <c r="B420" s="338"/>
    </row>
    <row r="421" spans="1:2">
      <c r="A421" s="335"/>
      <c r="B421" s="338"/>
    </row>
    <row r="422" spans="1:2">
      <c r="A422" s="337"/>
      <c r="B422" s="338"/>
    </row>
    <row r="423" spans="1:2">
      <c r="A423" s="335"/>
      <c r="B423" s="338"/>
    </row>
    <row r="424" spans="1:2">
      <c r="A424" s="337"/>
      <c r="B424" s="338"/>
    </row>
    <row r="425" spans="1:2">
      <c r="A425" s="335"/>
      <c r="B425" s="338"/>
    </row>
    <row r="426" spans="1:2">
      <c r="A426" s="337"/>
      <c r="B426" s="338"/>
    </row>
    <row r="427" spans="1:2">
      <c r="A427" s="335"/>
      <c r="B427" s="338"/>
    </row>
    <row r="428" spans="1:2">
      <c r="A428" s="337"/>
      <c r="B428" s="338"/>
    </row>
    <row r="429" spans="1:2">
      <c r="A429" s="335"/>
      <c r="B429" s="338"/>
    </row>
    <row r="430" spans="1:2">
      <c r="A430" s="337"/>
      <c r="B430" s="338"/>
    </row>
    <row r="431" spans="1:2">
      <c r="A431" s="335"/>
      <c r="B431" s="338"/>
    </row>
    <row r="432" spans="1:2">
      <c r="A432" s="337"/>
      <c r="B432" s="338"/>
    </row>
    <row r="433" spans="1:2">
      <c r="A433" s="335"/>
      <c r="B433" s="338"/>
    </row>
    <row r="434" spans="1:2">
      <c r="A434" s="337"/>
      <c r="B434" s="338"/>
    </row>
    <row r="435" spans="1:2">
      <c r="A435" s="335"/>
      <c r="B435" s="338"/>
    </row>
    <row r="436" spans="1:2">
      <c r="A436" s="337"/>
      <c r="B436" s="338"/>
    </row>
    <row r="437" spans="1:2">
      <c r="A437" s="335"/>
      <c r="B437" s="338"/>
    </row>
    <row r="438" spans="1:2">
      <c r="A438" s="337"/>
      <c r="B438" s="338"/>
    </row>
    <row r="439" spans="1:2">
      <c r="A439" s="335"/>
      <c r="B439" s="338"/>
    </row>
    <row r="440" spans="1:2">
      <c r="A440" s="337"/>
      <c r="B440" s="338"/>
    </row>
    <row r="441" spans="1:2">
      <c r="A441" s="335"/>
      <c r="B441" s="338"/>
    </row>
    <row r="442" spans="1:2">
      <c r="A442" s="337"/>
      <c r="B442" s="338"/>
    </row>
    <row r="443" spans="1:2">
      <c r="A443" s="335"/>
      <c r="B443" s="338"/>
    </row>
    <row r="444" spans="1:2">
      <c r="A444" s="337"/>
      <c r="B444" s="341"/>
    </row>
  </sheetData>
  <pageMargins left="0.7" right="0.7" top="0.75" bottom="0.75" header="0.3" footer="0.3"/>
  <pageSetup orientation="portrait" r:id="rId1"/>
  <headerFooter>
    <oddHeader>&amp;A</oddHeader>
    <oddFoote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N424"/>
  <sheetViews>
    <sheetView workbookViewId="0">
      <selection activeCell="L27" sqref="L27:L29"/>
    </sheetView>
  </sheetViews>
  <sheetFormatPr defaultRowHeight="15"/>
  <cols>
    <col min="1" max="1" width="76.42578125" customWidth="1"/>
    <col min="2" max="2" width="11" bestFit="1" customWidth="1"/>
    <col min="3" max="3" width="8.42578125" bestFit="1" customWidth="1"/>
    <col min="4" max="4" width="7.5703125" bestFit="1" customWidth="1"/>
    <col min="5" max="5" width="6" bestFit="1" customWidth="1"/>
    <col min="6" max="6" width="11.7109375" customWidth="1"/>
    <col min="7" max="7" width="32.42578125" customWidth="1"/>
    <col min="8" max="8" width="12.42578125" bestFit="1" customWidth="1"/>
    <col min="9" max="9" width="9.140625" customWidth="1"/>
    <col min="10" max="10" width="119.28515625" customWidth="1"/>
    <col min="11" max="11" width="9.140625" customWidth="1"/>
    <col min="12" max="12" width="109.7109375" customWidth="1"/>
    <col min="14" max="14" width="20.7109375" customWidth="1"/>
  </cols>
  <sheetData>
    <row r="1" spans="1:14" ht="51.75" thickBot="1">
      <c r="A1" s="221" t="s">
        <v>306</v>
      </c>
      <c r="B1" s="221" t="s">
        <v>307</v>
      </c>
      <c r="C1" s="221" t="s">
        <v>308</v>
      </c>
      <c r="D1" s="221" t="s">
        <v>309</v>
      </c>
      <c r="E1" s="221" t="s">
        <v>310</v>
      </c>
      <c r="F1" s="221" t="s">
        <v>311</v>
      </c>
      <c r="G1" s="221" t="s">
        <v>118</v>
      </c>
      <c r="H1" s="221" t="s">
        <v>312</v>
      </c>
      <c r="J1" s="225" t="s">
        <v>313</v>
      </c>
      <c r="L1" s="225" t="s">
        <v>314</v>
      </c>
      <c r="N1" s="225" t="s">
        <v>315</v>
      </c>
    </row>
    <row r="2" spans="1:14" ht="15.75">
      <c r="A2" s="413" t="s">
        <v>316</v>
      </c>
      <c r="B2" s="421" t="s">
        <v>317</v>
      </c>
      <c r="C2" s="421" t="s">
        <v>17</v>
      </c>
      <c r="D2" s="421" t="s">
        <v>318</v>
      </c>
      <c r="E2" s="421" t="s">
        <v>17</v>
      </c>
      <c r="F2" s="418" t="s">
        <v>319</v>
      </c>
      <c r="G2" s="418" t="s">
        <v>256</v>
      </c>
      <c r="H2" s="421" t="s">
        <v>320</v>
      </c>
      <c r="I2" s="419"/>
      <c r="J2" s="419" t="str">
        <f t="shared" ref="J2:J9" si="0">CONCATENATE(A2,", ",B2,", ",D2)</f>
        <v>Computer Network Architects, Basic, 15-1241</v>
      </c>
      <c r="K2" s="419"/>
      <c r="L2" s="419" t="s">
        <v>254</v>
      </c>
      <c r="N2" s="418" t="s">
        <v>256</v>
      </c>
    </row>
    <row r="3" spans="1:14" ht="15.75">
      <c r="A3" s="413" t="s">
        <v>316</v>
      </c>
      <c r="B3" s="421" t="s">
        <v>321</v>
      </c>
      <c r="C3" s="421" t="s">
        <v>17</v>
      </c>
      <c r="D3" s="421" t="s">
        <v>318</v>
      </c>
      <c r="E3" s="421" t="s">
        <v>17</v>
      </c>
      <c r="F3" s="418" t="s">
        <v>319</v>
      </c>
      <c r="G3" s="418" t="s">
        <v>256</v>
      </c>
      <c r="H3" s="421" t="s">
        <v>322</v>
      </c>
      <c r="I3" s="419"/>
      <c r="J3" s="419" t="str">
        <f t="shared" si="0"/>
        <v>Computer Network Architects, Intermediate, 15-1241</v>
      </c>
      <c r="K3" s="419"/>
      <c r="L3" s="419" t="s">
        <v>259</v>
      </c>
      <c r="N3" s="418" t="s">
        <v>256</v>
      </c>
    </row>
    <row r="4" spans="1:14" ht="15.75">
      <c r="A4" s="413" t="s">
        <v>316</v>
      </c>
      <c r="B4" s="421" t="s">
        <v>323</v>
      </c>
      <c r="C4" s="421" t="s">
        <v>17</v>
      </c>
      <c r="D4" s="421" t="s">
        <v>318</v>
      </c>
      <c r="E4" s="421" t="s">
        <v>17</v>
      </c>
      <c r="F4" s="418" t="s">
        <v>319</v>
      </c>
      <c r="G4" s="418" t="s">
        <v>256</v>
      </c>
      <c r="H4" s="421" t="s">
        <v>322</v>
      </c>
      <c r="I4" s="419"/>
      <c r="J4" s="419" t="str">
        <f t="shared" si="0"/>
        <v>Computer Network Architects, Advanced, 15-1241</v>
      </c>
      <c r="K4" s="419"/>
      <c r="L4" s="419" t="s">
        <v>260</v>
      </c>
      <c r="N4" s="418" t="s">
        <v>256</v>
      </c>
    </row>
    <row r="5" spans="1:14" ht="15.75">
      <c r="A5" s="414" t="s">
        <v>324</v>
      </c>
      <c r="B5" s="421" t="s">
        <v>317</v>
      </c>
      <c r="C5" s="421" t="s">
        <v>17</v>
      </c>
      <c r="D5" s="421" t="s">
        <v>325</v>
      </c>
      <c r="E5" s="421" t="s">
        <v>17</v>
      </c>
      <c r="F5" s="418" t="s">
        <v>319</v>
      </c>
      <c r="G5" s="418" t="s">
        <v>256</v>
      </c>
      <c r="H5" s="421" t="s">
        <v>322</v>
      </c>
      <c r="I5" s="419"/>
      <c r="J5" s="419" t="str">
        <f t="shared" si="0"/>
        <v>Computer Programmers, Basic, 15-1251</v>
      </c>
      <c r="K5" s="419"/>
      <c r="L5" s="419" t="s">
        <v>261</v>
      </c>
      <c r="N5" s="418" t="s">
        <v>256</v>
      </c>
    </row>
    <row r="6" spans="1:14" ht="15.75">
      <c r="A6" s="414" t="s">
        <v>324</v>
      </c>
      <c r="B6" s="421" t="s">
        <v>321</v>
      </c>
      <c r="C6" s="421" t="s">
        <v>17</v>
      </c>
      <c r="D6" s="421" t="s">
        <v>325</v>
      </c>
      <c r="E6" s="421" t="s">
        <v>17</v>
      </c>
      <c r="F6" s="418" t="s">
        <v>319</v>
      </c>
      <c r="G6" s="418" t="s">
        <v>256</v>
      </c>
      <c r="H6" s="421" t="s">
        <v>322</v>
      </c>
      <c r="I6" s="419"/>
      <c r="J6" s="419" t="str">
        <f t="shared" si="0"/>
        <v>Computer Programmers, Intermediate, 15-1251</v>
      </c>
      <c r="K6" s="419"/>
      <c r="L6" s="419" t="s">
        <v>262</v>
      </c>
      <c r="N6" s="418" t="s">
        <v>256</v>
      </c>
    </row>
    <row r="7" spans="1:14" ht="15.75">
      <c r="A7" s="414" t="s">
        <v>324</v>
      </c>
      <c r="B7" s="421" t="s">
        <v>323</v>
      </c>
      <c r="C7" s="421" t="s">
        <v>17</v>
      </c>
      <c r="D7" s="421" t="s">
        <v>325</v>
      </c>
      <c r="E7" s="421" t="s">
        <v>17</v>
      </c>
      <c r="F7" s="418" t="s">
        <v>319</v>
      </c>
      <c r="G7" s="418" t="s">
        <v>256</v>
      </c>
      <c r="H7" s="421" t="s">
        <v>322</v>
      </c>
      <c r="I7" s="419"/>
      <c r="J7" s="419" t="str">
        <f t="shared" si="0"/>
        <v>Computer Programmers, Advanced, 15-1251</v>
      </c>
      <c r="K7" s="419"/>
      <c r="L7" s="419" t="s">
        <v>263</v>
      </c>
      <c r="N7" s="418" t="s">
        <v>256</v>
      </c>
    </row>
    <row r="8" spans="1:14" ht="15.75">
      <c r="A8" s="415" t="s">
        <v>326</v>
      </c>
      <c r="B8" s="421" t="s">
        <v>317</v>
      </c>
      <c r="C8" s="421" t="s">
        <v>17</v>
      </c>
      <c r="D8" s="421" t="s">
        <v>327</v>
      </c>
      <c r="E8" s="421" t="s">
        <v>17</v>
      </c>
      <c r="F8" s="418" t="s">
        <v>319</v>
      </c>
      <c r="G8" s="418" t="s">
        <v>256</v>
      </c>
      <c r="H8" s="421" t="s">
        <v>322</v>
      </c>
      <c r="I8" s="419"/>
      <c r="J8" s="419" t="str">
        <f t="shared" si="0"/>
        <v>Computer Systems Analysts, Basic, 15-1211</v>
      </c>
      <c r="K8" s="419"/>
      <c r="L8" s="419" t="s">
        <v>264</v>
      </c>
      <c r="N8" s="418" t="s">
        <v>256</v>
      </c>
    </row>
    <row r="9" spans="1:14" ht="15.75">
      <c r="A9" s="415" t="s">
        <v>326</v>
      </c>
      <c r="B9" s="421" t="s">
        <v>321</v>
      </c>
      <c r="C9" s="421" t="s">
        <v>17</v>
      </c>
      <c r="D9" s="421" t="s">
        <v>327</v>
      </c>
      <c r="E9" s="421" t="s">
        <v>17</v>
      </c>
      <c r="F9" s="418" t="s">
        <v>319</v>
      </c>
      <c r="G9" s="418" t="s">
        <v>256</v>
      </c>
      <c r="H9" s="421" t="s">
        <v>322</v>
      </c>
      <c r="I9" s="419"/>
      <c r="J9" s="419" t="str">
        <f t="shared" si="0"/>
        <v>Computer Systems Analysts, Intermediate, 15-1211</v>
      </c>
      <c r="K9" s="419"/>
      <c r="L9" s="419" t="s">
        <v>265</v>
      </c>
      <c r="N9" s="418" t="s">
        <v>256</v>
      </c>
    </row>
    <row r="10" spans="1:14" ht="15.75">
      <c r="A10" s="415" t="s">
        <v>326</v>
      </c>
      <c r="B10" s="421" t="s">
        <v>321</v>
      </c>
      <c r="C10" s="421" t="s">
        <v>17</v>
      </c>
      <c r="D10" s="421" t="s">
        <v>327</v>
      </c>
      <c r="E10" s="421" t="s">
        <v>17</v>
      </c>
      <c r="F10" s="418" t="s">
        <v>319</v>
      </c>
      <c r="G10" s="418" t="s">
        <v>256</v>
      </c>
      <c r="H10" s="430" t="s">
        <v>328</v>
      </c>
      <c r="I10" s="419"/>
      <c r="J10" s="419" t="str">
        <f>CONCATENATE(A10,", ",B10,", ",D10,", ",H10)</f>
        <v>Computer Systems Analysts, Intermediate, 15-1211, OT</v>
      </c>
      <c r="K10" s="419"/>
      <c r="L10" s="419" t="s">
        <v>266</v>
      </c>
      <c r="N10" s="418" t="s">
        <v>256</v>
      </c>
    </row>
    <row r="11" spans="1:14" ht="15.75">
      <c r="A11" s="415" t="s">
        <v>326</v>
      </c>
      <c r="B11" s="421" t="s">
        <v>323</v>
      </c>
      <c r="C11" s="421" t="s">
        <v>17</v>
      </c>
      <c r="D11" s="421" t="s">
        <v>327</v>
      </c>
      <c r="E11" s="421" t="s">
        <v>17</v>
      </c>
      <c r="F11" s="418" t="s">
        <v>319</v>
      </c>
      <c r="G11" s="418" t="s">
        <v>256</v>
      </c>
      <c r="H11" s="421" t="s">
        <v>322</v>
      </c>
      <c r="I11" s="419"/>
      <c r="J11" s="419" t="str">
        <f>CONCATENATE(A11,", ",B11,", ",D11)</f>
        <v>Computer Systems Analysts, Advanced, 15-1211</v>
      </c>
      <c r="K11" s="419"/>
      <c r="L11" s="419" t="s">
        <v>267</v>
      </c>
      <c r="N11" s="418" t="s">
        <v>256</v>
      </c>
    </row>
    <row r="12" spans="1:14" ht="15.75">
      <c r="A12" s="415" t="s">
        <v>326</v>
      </c>
      <c r="B12" s="421" t="s">
        <v>323</v>
      </c>
      <c r="C12" s="421" t="s">
        <v>17</v>
      </c>
      <c r="D12" s="421" t="s">
        <v>327</v>
      </c>
      <c r="E12" s="421" t="s">
        <v>17</v>
      </c>
      <c r="F12" s="418" t="s">
        <v>319</v>
      </c>
      <c r="G12" s="418" t="s">
        <v>256</v>
      </c>
      <c r="H12" s="430" t="s">
        <v>328</v>
      </c>
      <c r="I12" s="419"/>
      <c r="J12" s="419" t="str">
        <f>CONCATENATE(A12,", ",B12,", ",D12,", ",H12)</f>
        <v>Computer Systems Analysts, Advanced, 15-1211, OT</v>
      </c>
      <c r="K12" s="419"/>
      <c r="L12" s="419" t="s">
        <v>268</v>
      </c>
      <c r="N12" s="418" t="s">
        <v>256</v>
      </c>
    </row>
    <row r="13" spans="1:14" ht="15.75">
      <c r="A13" s="414" t="s">
        <v>329</v>
      </c>
      <c r="B13" s="421" t="s">
        <v>330</v>
      </c>
      <c r="C13" s="421" t="s">
        <v>17</v>
      </c>
      <c r="D13" s="421" t="s">
        <v>331</v>
      </c>
      <c r="E13" s="421" t="s">
        <v>17</v>
      </c>
      <c r="F13" s="418" t="s">
        <v>319</v>
      </c>
      <c r="G13" s="418" t="s">
        <v>256</v>
      </c>
      <c r="H13" s="421" t="s">
        <v>322</v>
      </c>
      <c r="I13" s="419"/>
      <c r="J13" s="419" t="str">
        <f>CONCATENATE(A13,", ",B13,", ",D13)</f>
        <v>Engineers, All Other (Systems Engineer), Junior, 17-2199</v>
      </c>
      <c r="K13" s="419"/>
      <c r="L13" s="419" t="s">
        <v>269</v>
      </c>
      <c r="N13" s="418" t="s">
        <v>256</v>
      </c>
    </row>
    <row r="14" spans="1:14" ht="15.75">
      <c r="A14" s="414" t="s">
        <v>329</v>
      </c>
      <c r="B14" s="421" t="s">
        <v>332</v>
      </c>
      <c r="C14" s="421" t="s">
        <v>17</v>
      </c>
      <c r="D14" s="421" t="s">
        <v>331</v>
      </c>
      <c r="E14" s="421" t="s">
        <v>17</v>
      </c>
      <c r="F14" s="418" t="s">
        <v>319</v>
      </c>
      <c r="G14" s="418" t="s">
        <v>256</v>
      </c>
      <c r="H14" s="421" t="s">
        <v>322</v>
      </c>
      <c r="I14" s="419"/>
      <c r="J14" s="419" t="str">
        <f>CONCATENATE(A14,", ",B14,", ",D14)</f>
        <v>Engineers, All Other (Systems Engineer), Journeyman, 17-2199</v>
      </c>
      <c r="K14" s="419"/>
      <c r="L14" s="419" t="s">
        <v>270</v>
      </c>
      <c r="N14" s="418" t="s">
        <v>256</v>
      </c>
    </row>
    <row r="15" spans="1:14" ht="15.75">
      <c r="A15" s="414" t="s">
        <v>333</v>
      </c>
      <c r="B15" s="421" t="s">
        <v>330</v>
      </c>
      <c r="C15" s="421" t="s">
        <v>17</v>
      </c>
      <c r="D15" s="421" t="s">
        <v>334</v>
      </c>
      <c r="E15" s="421" t="s">
        <v>17</v>
      </c>
      <c r="F15" s="418" t="s">
        <v>319</v>
      </c>
      <c r="G15" s="418" t="s">
        <v>256</v>
      </c>
      <c r="H15" s="421" t="s">
        <v>322</v>
      </c>
      <c r="I15" s="419"/>
      <c r="J15" s="419" t="str">
        <f>CONCATENATE(A15,", ",B15,", ",D15)</f>
        <v>Financial Specialists, All Other, Junior, 13-2099</v>
      </c>
      <c r="K15" s="419"/>
      <c r="L15" s="419" t="s">
        <v>271</v>
      </c>
      <c r="N15" s="418" t="s">
        <v>256</v>
      </c>
    </row>
    <row r="16" spans="1:14" ht="15.75">
      <c r="A16" s="414" t="s">
        <v>333</v>
      </c>
      <c r="B16" s="421" t="s">
        <v>332</v>
      </c>
      <c r="C16" s="421" t="s">
        <v>17</v>
      </c>
      <c r="D16" s="421" t="s">
        <v>334</v>
      </c>
      <c r="E16" s="421" t="s">
        <v>17</v>
      </c>
      <c r="F16" s="418" t="s">
        <v>319</v>
      </c>
      <c r="G16" s="418" t="s">
        <v>256</v>
      </c>
      <c r="H16" s="421" t="s">
        <v>322</v>
      </c>
      <c r="I16" s="419"/>
      <c r="J16" s="419" t="str">
        <f>CONCATENATE(A16,", ",B16,", ",D16)</f>
        <v>Financial Specialists, All Other, Journeyman, 13-2099</v>
      </c>
      <c r="K16" s="419"/>
      <c r="L16" s="419" t="s">
        <v>272</v>
      </c>
      <c r="N16" s="418" t="s">
        <v>256</v>
      </c>
    </row>
    <row r="17" spans="1:14" ht="15.75">
      <c r="A17" s="416" t="s">
        <v>335</v>
      </c>
      <c r="B17" s="421" t="s">
        <v>332</v>
      </c>
      <c r="C17" s="430" t="s">
        <v>336</v>
      </c>
      <c r="D17" s="422" t="s">
        <v>337</v>
      </c>
      <c r="E17" s="423" t="s">
        <v>17</v>
      </c>
      <c r="F17" s="420" t="s">
        <v>319</v>
      </c>
      <c r="G17" s="418" t="s">
        <v>256</v>
      </c>
      <c r="H17" s="421" t="s">
        <v>322</v>
      </c>
      <c r="I17" s="419"/>
      <c r="J17" s="431" t="str">
        <f>CONCATENATE(A17,", ",B17,", ",D17,", ",C17)</f>
        <v>General and Operations Managers (Program Manager), Journeyman, 11-1021, KEY</v>
      </c>
      <c r="K17" s="419"/>
      <c r="L17" s="419" t="s">
        <v>273</v>
      </c>
      <c r="N17" s="418" t="s">
        <v>256</v>
      </c>
    </row>
    <row r="18" spans="1:14" ht="15.75">
      <c r="A18" s="416" t="s">
        <v>335</v>
      </c>
      <c r="B18" s="421" t="s">
        <v>332</v>
      </c>
      <c r="C18" s="430" t="s">
        <v>336</v>
      </c>
      <c r="D18" s="422" t="s">
        <v>337</v>
      </c>
      <c r="E18" s="422" t="s">
        <v>17</v>
      </c>
      <c r="F18" s="420" t="s">
        <v>338</v>
      </c>
      <c r="G18" s="418" t="s">
        <v>256</v>
      </c>
      <c r="H18" s="421" t="s">
        <v>322</v>
      </c>
      <c r="I18" s="424"/>
      <c r="J18" s="431" t="str">
        <f>CONCATENATE(A18,", ",B18,", ",D18,", ",C18)</f>
        <v>General and Operations Managers (Program Manager), Journeyman, 11-1021, KEY</v>
      </c>
      <c r="K18" s="419"/>
      <c r="L18" s="419" t="s">
        <v>275</v>
      </c>
      <c r="N18" s="418" t="s">
        <v>256</v>
      </c>
    </row>
    <row r="19" spans="1:14" ht="15.75">
      <c r="A19" s="414" t="s">
        <v>339</v>
      </c>
      <c r="B19" s="421" t="s">
        <v>317</v>
      </c>
      <c r="C19" s="422" t="s">
        <v>17</v>
      </c>
      <c r="D19" s="422" t="s">
        <v>340</v>
      </c>
      <c r="E19" s="423" t="s">
        <v>17</v>
      </c>
      <c r="F19" s="420" t="s">
        <v>319</v>
      </c>
      <c r="G19" s="418" t="s">
        <v>256</v>
      </c>
      <c r="H19" s="421" t="s">
        <v>322</v>
      </c>
      <c r="I19" s="419"/>
      <c r="J19" s="419" t="str">
        <f>CONCATENATE(A19,", ",B19,", ",D19)</f>
        <v>Information Security Analysts, Basic, 15-1212</v>
      </c>
      <c r="K19" s="419"/>
      <c r="L19" s="419" t="s">
        <v>276</v>
      </c>
      <c r="N19" s="418" t="s">
        <v>256</v>
      </c>
    </row>
    <row r="20" spans="1:14" ht="15.75">
      <c r="A20" s="414" t="s">
        <v>339</v>
      </c>
      <c r="B20" s="421" t="s">
        <v>321</v>
      </c>
      <c r="C20" s="421" t="s">
        <v>17</v>
      </c>
      <c r="D20" s="422" t="s">
        <v>340</v>
      </c>
      <c r="E20" s="421" t="s">
        <v>17</v>
      </c>
      <c r="F20" s="418" t="s">
        <v>319</v>
      </c>
      <c r="G20" s="418" t="s">
        <v>256</v>
      </c>
      <c r="H20" s="421" t="s">
        <v>322</v>
      </c>
      <c r="I20" s="419"/>
      <c r="J20" s="419" t="str">
        <f>CONCATENATE(A20,", ",B20,", ",D20)</f>
        <v>Information Security Analysts, Intermediate, 15-1212</v>
      </c>
      <c r="K20" s="419"/>
      <c r="L20" s="419" t="s">
        <v>277</v>
      </c>
      <c r="N20" s="418" t="s">
        <v>256</v>
      </c>
    </row>
    <row r="21" spans="1:14" ht="15.75">
      <c r="A21" s="414" t="s">
        <v>339</v>
      </c>
      <c r="B21" s="421" t="s">
        <v>323</v>
      </c>
      <c r="C21" s="421" t="s">
        <v>17</v>
      </c>
      <c r="D21" s="422" t="s">
        <v>340</v>
      </c>
      <c r="E21" s="421" t="s">
        <v>17</v>
      </c>
      <c r="F21" s="418" t="s">
        <v>319</v>
      </c>
      <c r="G21" s="418" t="s">
        <v>256</v>
      </c>
      <c r="H21" s="421" t="s">
        <v>322</v>
      </c>
      <c r="I21" s="419"/>
      <c r="J21" s="419" t="str">
        <f>CONCATENATE(A21,", ",B21,", ",D21)</f>
        <v>Information Security Analysts, Advanced, 15-1212</v>
      </c>
      <c r="K21" s="419"/>
      <c r="L21" s="419" t="s">
        <v>278</v>
      </c>
      <c r="N21" s="418" t="s">
        <v>256</v>
      </c>
    </row>
    <row r="22" spans="1:14" ht="15.75">
      <c r="A22" s="416" t="s">
        <v>339</v>
      </c>
      <c r="B22" s="421" t="s">
        <v>323</v>
      </c>
      <c r="C22" s="430" t="s">
        <v>336</v>
      </c>
      <c r="D22" s="422" t="s">
        <v>340</v>
      </c>
      <c r="E22" s="421" t="s">
        <v>17</v>
      </c>
      <c r="F22" s="418" t="s">
        <v>319</v>
      </c>
      <c r="G22" s="418" t="s">
        <v>256</v>
      </c>
      <c r="H22" s="421" t="s">
        <v>320</v>
      </c>
      <c r="I22" s="419"/>
      <c r="J22" s="431" t="str">
        <f>CONCATENATE(A22,", ",B22,", ",D22,", ",C22)</f>
        <v>Information Security Analysts, Advanced, 15-1212, KEY</v>
      </c>
      <c r="K22" s="419"/>
      <c r="L22" s="419" t="s">
        <v>279</v>
      </c>
      <c r="N22" s="418" t="s">
        <v>256</v>
      </c>
    </row>
    <row r="23" spans="1:14" ht="15.75">
      <c r="A23" s="414" t="s">
        <v>341</v>
      </c>
      <c r="B23" s="421" t="s">
        <v>317</v>
      </c>
      <c r="C23" s="421" t="s">
        <v>17</v>
      </c>
      <c r="D23" s="421" t="s">
        <v>342</v>
      </c>
      <c r="E23" s="421" t="s">
        <v>17</v>
      </c>
      <c r="F23" s="418" t="s">
        <v>319</v>
      </c>
      <c r="G23" s="418" t="s">
        <v>256</v>
      </c>
      <c r="H23" s="421" t="s">
        <v>320</v>
      </c>
      <c r="I23" s="419"/>
      <c r="J23" s="419" t="str">
        <f>CONCATENATE(A23,", ",B23,", ",D23)</f>
        <v>Network and Computer Systems Administrators, Basic, 15-1244</v>
      </c>
      <c r="K23" s="419"/>
      <c r="L23" s="419" t="s">
        <v>280</v>
      </c>
      <c r="N23" s="418" t="s">
        <v>256</v>
      </c>
    </row>
    <row r="24" spans="1:14" ht="15.75">
      <c r="A24" s="414" t="s">
        <v>341</v>
      </c>
      <c r="B24" s="421" t="s">
        <v>321</v>
      </c>
      <c r="C24" s="421" t="s">
        <v>17</v>
      </c>
      <c r="D24" s="421" t="s">
        <v>342</v>
      </c>
      <c r="E24" s="421" t="s">
        <v>17</v>
      </c>
      <c r="F24" s="418" t="s">
        <v>319</v>
      </c>
      <c r="G24" s="418" t="s">
        <v>256</v>
      </c>
      <c r="H24" s="421" t="s">
        <v>320</v>
      </c>
      <c r="I24" s="419"/>
      <c r="J24" s="419" t="str">
        <f>CONCATENATE(A24,", ",B24,", ",D24)</f>
        <v>Network and Computer Systems Administrators, Intermediate, 15-1244</v>
      </c>
      <c r="K24" s="419"/>
      <c r="L24" s="419" t="s">
        <v>281</v>
      </c>
      <c r="N24" s="418" t="s">
        <v>256</v>
      </c>
    </row>
    <row r="25" spans="1:14" ht="15.75">
      <c r="A25" s="414" t="s">
        <v>341</v>
      </c>
      <c r="B25" s="421" t="s">
        <v>323</v>
      </c>
      <c r="C25" s="421" t="s">
        <v>17</v>
      </c>
      <c r="D25" s="421" t="s">
        <v>342</v>
      </c>
      <c r="E25" s="421" t="s">
        <v>17</v>
      </c>
      <c r="F25" s="418" t="s">
        <v>319</v>
      </c>
      <c r="G25" s="418" t="s">
        <v>256</v>
      </c>
      <c r="H25" s="421" t="s">
        <v>320</v>
      </c>
      <c r="I25" s="419"/>
      <c r="J25" s="419" t="str">
        <f>CONCATENATE(A25,", ",B25,", ",D25)</f>
        <v>Network and Computer Systems Administrators, Advanced, 15-1244</v>
      </c>
      <c r="K25" s="419"/>
      <c r="L25" s="419" t="s">
        <v>282</v>
      </c>
      <c r="N25" s="418" t="s">
        <v>256</v>
      </c>
    </row>
    <row r="26" spans="1:14" ht="15.75">
      <c r="A26" s="414" t="s">
        <v>343</v>
      </c>
      <c r="B26" s="421" t="s">
        <v>330</v>
      </c>
      <c r="C26" s="421" t="s">
        <v>17</v>
      </c>
      <c r="D26" s="421" t="s">
        <v>344</v>
      </c>
      <c r="E26" s="421" t="s">
        <v>17</v>
      </c>
      <c r="F26" s="418" t="s">
        <v>319</v>
      </c>
      <c r="G26" s="418" t="s">
        <v>256</v>
      </c>
      <c r="H26" s="421" t="s">
        <v>320</v>
      </c>
      <c r="I26" s="419"/>
      <c r="J26" s="419" t="str">
        <f>CONCATENATE(A26,", ",B26,", ",D26)</f>
        <v>Project Management Specialists, Junior, 13-1082</v>
      </c>
      <c r="K26" s="419"/>
      <c r="L26" s="419" t="s">
        <v>283</v>
      </c>
      <c r="N26" s="418" t="s">
        <v>256</v>
      </c>
    </row>
    <row r="27" spans="1:14" ht="15.75">
      <c r="A27" s="414" t="s">
        <v>343</v>
      </c>
      <c r="B27" s="421" t="s">
        <v>332</v>
      </c>
      <c r="C27" s="421" t="s">
        <v>17</v>
      </c>
      <c r="D27" s="421" t="s">
        <v>344</v>
      </c>
      <c r="E27" s="421" t="s">
        <v>17</v>
      </c>
      <c r="F27" s="418" t="s">
        <v>319</v>
      </c>
      <c r="G27" s="418" t="s">
        <v>256</v>
      </c>
      <c r="H27" s="421" t="s">
        <v>320</v>
      </c>
      <c r="I27" s="419"/>
      <c r="J27" s="419" t="str">
        <f>CONCATENATE(A27,", ",B27,", ",D27)</f>
        <v>Project Management Specialists, Journeyman, 13-1082</v>
      </c>
      <c r="K27" s="419"/>
      <c r="L27" s="419" t="s">
        <v>284</v>
      </c>
      <c r="N27" s="418" t="s">
        <v>256</v>
      </c>
    </row>
    <row r="28" spans="1:14" ht="15.75">
      <c r="A28" s="417" t="s">
        <v>345</v>
      </c>
      <c r="B28" s="422" t="s">
        <v>17</v>
      </c>
      <c r="C28" s="422" t="s">
        <v>17</v>
      </c>
      <c r="D28" s="422" t="s">
        <v>285</v>
      </c>
      <c r="E28" s="425" t="s">
        <v>346</v>
      </c>
      <c r="F28" s="420" t="s">
        <v>319</v>
      </c>
      <c r="G28" s="418" t="s">
        <v>256</v>
      </c>
      <c r="H28" s="421" t="s">
        <v>320</v>
      </c>
      <c r="I28" s="419"/>
      <c r="J28" s="419" t="str">
        <f>CONCATENATE(A28,", ",E28,", ",D28)</f>
        <v>General Clerk I, 01111, SCA</v>
      </c>
      <c r="K28" s="419"/>
      <c r="L28" s="419" t="s">
        <v>286</v>
      </c>
      <c r="N28" s="418" t="s">
        <v>256</v>
      </c>
    </row>
    <row r="29" spans="1:14" ht="15.75">
      <c r="A29" s="417" t="s">
        <v>347</v>
      </c>
      <c r="B29" s="422" t="s">
        <v>17</v>
      </c>
      <c r="C29" s="422" t="s">
        <v>17</v>
      </c>
      <c r="D29" s="422" t="s">
        <v>285</v>
      </c>
      <c r="E29" s="425" t="s">
        <v>348</v>
      </c>
      <c r="F29" s="420" t="s">
        <v>319</v>
      </c>
      <c r="G29" s="418" t="s">
        <v>256</v>
      </c>
      <c r="H29" s="421" t="s">
        <v>320</v>
      </c>
      <c r="I29" s="419"/>
      <c r="J29" s="419" t="str">
        <f>CONCATENATE(A29,", ",E29,", ",D29)</f>
        <v>General Clerk II, 01112, SCA</v>
      </c>
      <c r="K29" s="419"/>
      <c r="L29" s="419" t="s">
        <v>287</v>
      </c>
      <c r="N29" s="418" t="s">
        <v>256</v>
      </c>
    </row>
    <row r="30" spans="1:14" ht="15.75">
      <c r="A30" s="414" t="s">
        <v>349</v>
      </c>
      <c r="B30" s="422" t="s">
        <v>17</v>
      </c>
      <c r="C30" s="426" t="s">
        <v>17</v>
      </c>
      <c r="D30" s="426" t="s">
        <v>285</v>
      </c>
      <c r="E30" s="427" t="s">
        <v>350</v>
      </c>
      <c r="F30" s="418" t="s">
        <v>319</v>
      </c>
      <c r="G30" s="418" t="s">
        <v>256</v>
      </c>
      <c r="H30" s="421" t="s">
        <v>320</v>
      </c>
      <c r="I30" s="419"/>
      <c r="J30" s="419" t="str">
        <f>CONCATENATE(A30,", ",E30,", ",D30)</f>
        <v>General Clerk III, 01113, SCA</v>
      </c>
      <c r="K30" s="419"/>
      <c r="L30" s="428"/>
      <c r="N30" s="396"/>
    </row>
    <row r="31" spans="1:14">
      <c r="A31" s="222"/>
      <c r="B31" s="223"/>
      <c r="C31" s="223"/>
      <c r="D31" s="223"/>
      <c r="E31" s="223"/>
      <c r="F31" s="223"/>
      <c r="G31" s="223"/>
      <c r="H31" s="223"/>
      <c r="K31" s="419"/>
      <c r="L31" s="428"/>
      <c r="N31" s="396"/>
    </row>
    <row r="32" spans="1:14">
      <c r="A32" s="222"/>
      <c r="B32" s="223"/>
      <c r="C32" s="223"/>
      <c r="D32" s="223"/>
      <c r="E32" s="223"/>
      <c r="F32" s="223"/>
      <c r="G32" s="224"/>
      <c r="H32" s="223"/>
      <c r="K32" s="419"/>
      <c r="L32" s="428"/>
      <c r="N32" s="396"/>
    </row>
    <row r="33" spans="1:14">
      <c r="A33" s="222"/>
      <c r="B33" s="223"/>
      <c r="C33" s="223"/>
      <c r="D33" s="223"/>
      <c r="E33" s="223"/>
      <c r="F33" s="223"/>
      <c r="G33" s="224"/>
      <c r="H33" s="223"/>
      <c r="K33" s="419"/>
      <c r="L33" s="428"/>
      <c r="N33" s="396"/>
    </row>
    <row r="34" spans="1:14">
      <c r="A34" s="222"/>
      <c r="B34" s="223"/>
      <c r="C34" s="223"/>
      <c r="D34" s="223"/>
      <c r="E34" s="223"/>
      <c r="F34" s="223"/>
      <c r="G34" s="223"/>
      <c r="H34" s="223"/>
      <c r="K34" s="419"/>
      <c r="L34" s="428"/>
      <c r="N34" s="396"/>
    </row>
    <row r="35" spans="1:14">
      <c r="A35" s="222"/>
      <c r="B35" s="223"/>
      <c r="C35" s="223"/>
      <c r="D35" s="223"/>
      <c r="E35" s="223"/>
      <c r="F35" s="223"/>
      <c r="G35" s="223"/>
      <c r="H35" s="223"/>
      <c r="K35" s="419"/>
      <c r="L35" s="428"/>
      <c r="N35" s="396"/>
    </row>
    <row r="36" spans="1:14">
      <c r="A36" s="222"/>
      <c r="B36" s="223"/>
      <c r="C36" s="223"/>
      <c r="D36" s="223"/>
      <c r="E36" s="223"/>
      <c r="F36" s="223"/>
      <c r="G36" s="223"/>
      <c r="H36" s="223"/>
      <c r="K36" s="419"/>
      <c r="L36" s="428"/>
      <c r="N36" s="396"/>
    </row>
    <row r="37" spans="1:14">
      <c r="A37" s="222"/>
      <c r="B37" s="223"/>
      <c r="C37" s="223"/>
      <c r="D37" s="223"/>
      <c r="E37" s="223"/>
      <c r="F37" s="223"/>
      <c r="G37" s="223"/>
      <c r="H37" s="223"/>
      <c r="K37" s="419"/>
      <c r="L37" s="428"/>
      <c r="N37" s="396"/>
    </row>
    <row r="38" spans="1:14">
      <c r="A38" s="222"/>
      <c r="B38" s="223"/>
      <c r="C38" s="223"/>
      <c r="D38" s="223"/>
      <c r="E38" s="223"/>
      <c r="F38" s="223"/>
      <c r="G38" s="224"/>
      <c r="H38" s="223"/>
      <c r="L38" s="428"/>
      <c r="N38" s="396"/>
    </row>
    <row r="39" spans="1:14">
      <c r="A39" s="222"/>
      <c r="B39" s="223"/>
      <c r="C39" s="223"/>
      <c r="D39" s="223"/>
      <c r="E39" s="223"/>
      <c r="F39" s="223"/>
      <c r="G39" s="224"/>
      <c r="H39" s="223"/>
      <c r="L39" s="286"/>
      <c r="N39" s="287"/>
    </row>
    <row r="40" spans="1:14">
      <c r="A40" s="222"/>
      <c r="B40" s="223"/>
      <c r="C40" s="223"/>
      <c r="D40" s="223"/>
      <c r="E40" s="223"/>
      <c r="F40" s="223"/>
      <c r="G40" s="223"/>
      <c r="H40" s="223"/>
      <c r="L40" s="286"/>
      <c r="N40" s="287"/>
    </row>
    <row r="41" spans="1:14">
      <c r="A41" s="222"/>
      <c r="B41" s="223"/>
      <c r="C41" s="223"/>
      <c r="D41" s="223"/>
      <c r="E41" s="223"/>
      <c r="F41" s="223"/>
      <c r="G41" s="223"/>
      <c r="H41" s="223"/>
      <c r="L41" s="286"/>
      <c r="N41" s="287"/>
    </row>
    <row r="42" spans="1:14">
      <c r="A42" s="222"/>
      <c r="B42" s="223"/>
      <c r="C42" s="223"/>
      <c r="D42" s="223"/>
      <c r="E42" s="223"/>
      <c r="F42" s="223"/>
      <c r="G42" s="223"/>
      <c r="H42" s="223"/>
      <c r="L42" s="286"/>
      <c r="N42" s="287"/>
    </row>
    <row r="43" spans="1:14">
      <c r="A43" s="222"/>
      <c r="B43" s="223"/>
      <c r="C43" s="223"/>
      <c r="D43" s="223"/>
      <c r="E43" s="223"/>
      <c r="F43" s="223"/>
      <c r="G43" s="223"/>
      <c r="H43" s="223"/>
      <c r="L43" s="286"/>
      <c r="N43" s="287"/>
    </row>
    <row r="44" spans="1:14">
      <c r="A44" s="222"/>
      <c r="B44" s="223"/>
      <c r="C44" s="223"/>
      <c r="D44" s="223"/>
      <c r="E44" s="223"/>
      <c r="F44" s="223"/>
      <c r="G44" s="224"/>
      <c r="H44" s="223"/>
      <c r="L44" s="286"/>
      <c r="N44" s="287"/>
    </row>
    <row r="45" spans="1:14">
      <c r="A45" s="222"/>
      <c r="B45" s="223"/>
      <c r="C45" s="223"/>
      <c r="D45" s="223"/>
      <c r="E45" s="223"/>
      <c r="F45" s="223"/>
      <c r="G45" s="224"/>
      <c r="H45" s="223"/>
      <c r="L45" s="286"/>
      <c r="N45" s="287"/>
    </row>
    <row r="46" spans="1:14">
      <c r="A46" s="222"/>
      <c r="B46" s="223"/>
      <c r="C46" s="223"/>
      <c r="D46" s="223"/>
      <c r="E46" s="223"/>
      <c r="F46" s="223"/>
      <c r="G46" s="223"/>
      <c r="H46" s="223"/>
      <c r="L46" s="286"/>
      <c r="N46" s="287"/>
    </row>
    <row r="47" spans="1:14">
      <c r="A47" s="222"/>
      <c r="B47" s="223"/>
      <c r="C47" s="223"/>
      <c r="D47" s="223"/>
      <c r="E47" s="223"/>
      <c r="F47" s="223"/>
      <c r="G47" s="223"/>
      <c r="H47" s="223"/>
      <c r="L47" s="286"/>
      <c r="N47" s="287"/>
    </row>
    <row r="48" spans="1:14">
      <c r="A48" s="222"/>
      <c r="B48" s="223"/>
      <c r="C48" s="223"/>
      <c r="D48" s="223"/>
      <c r="E48" s="223"/>
      <c r="F48" s="223"/>
      <c r="G48" s="223"/>
      <c r="H48" s="223"/>
      <c r="L48" s="286"/>
      <c r="N48" s="287"/>
    </row>
    <row r="49" spans="1:14">
      <c r="A49" s="222"/>
      <c r="B49" s="223"/>
      <c r="C49" s="223"/>
      <c r="D49" s="223"/>
      <c r="E49" s="223"/>
      <c r="F49" s="223"/>
      <c r="G49" s="223"/>
      <c r="H49" s="223"/>
      <c r="L49" s="286"/>
      <c r="N49" s="287"/>
    </row>
    <row r="50" spans="1:14">
      <c r="A50" s="222"/>
      <c r="B50" s="223"/>
      <c r="C50" s="223"/>
      <c r="D50" s="223"/>
      <c r="E50" s="223"/>
      <c r="F50" s="223"/>
      <c r="G50" s="224"/>
      <c r="H50" s="223"/>
      <c r="L50" s="286"/>
      <c r="N50" s="287"/>
    </row>
    <row r="51" spans="1:14">
      <c r="A51" s="222"/>
      <c r="B51" s="223"/>
      <c r="C51" s="223"/>
      <c r="D51" s="223"/>
      <c r="E51" s="223"/>
      <c r="F51" s="223"/>
      <c r="G51" s="224"/>
      <c r="H51" s="223"/>
      <c r="L51" s="286"/>
      <c r="N51" s="287"/>
    </row>
    <row r="52" spans="1:14">
      <c r="A52" s="222"/>
      <c r="B52" s="223"/>
      <c r="C52" s="223"/>
      <c r="D52" s="223"/>
      <c r="E52" s="223"/>
      <c r="F52" s="223"/>
      <c r="G52" s="223"/>
      <c r="H52" s="223"/>
      <c r="L52" s="286"/>
      <c r="N52" s="287"/>
    </row>
    <row r="53" spans="1:14">
      <c r="A53" s="222"/>
      <c r="B53" s="223"/>
      <c r="C53" s="223"/>
      <c r="D53" s="223"/>
      <c r="E53" s="223"/>
      <c r="F53" s="223"/>
      <c r="G53" s="223"/>
      <c r="H53" s="223"/>
      <c r="L53" s="286"/>
      <c r="N53" s="287"/>
    </row>
    <row r="54" spans="1:14">
      <c r="A54" s="222"/>
      <c r="B54" s="223"/>
      <c r="C54" s="223"/>
      <c r="D54" s="223"/>
      <c r="E54" s="223"/>
      <c r="F54" s="223"/>
      <c r="G54" s="223"/>
      <c r="H54" s="223"/>
      <c r="L54" s="286"/>
      <c r="N54" s="287"/>
    </row>
    <row r="55" spans="1:14">
      <c r="A55" s="222"/>
      <c r="B55" s="223"/>
      <c r="C55" s="223"/>
      <c r="D55" s="223"/>
      <c r="E55" s="223"/>
      <c r="F55" s="223"/>
      <c r="G55" s="223"/>
      <c r="H55" s="223"/>
      <c r="L55" s="286"/>
      <c r="N55" s="287"/>
    </row>
    <row r="56" spans="1:14">
      <c r="A56" s="222"/>
      <c r="B56" s="223"/>
      <c r="C56" s="223"/>
      <c r="D56" s="223"/>
      <c r="E56" s="223"/>
      <c r="F56" s="223"/>
      <c r="G56" s="224"/>
      <c r="H56" s="223"/>
      <c r="L56" s="286"/>
      <c r="N56" s="287"/>
    </row>
    <row r="57" spans="1:14">
      <c r="A57" s="222"/>
      <c r="B57" s="223"/>
      <c r="C57" s="223"/>
      <c r="D57" s="223"/>
      <c r="E57" s="223"/>
      <c r="F57" s="223"/>
      <c r="G57" s="224"/>
      <c r="H57" s="223"/>
      <c r="L57" s="286"/>
      <c r="N57" s="287"/>
    </row>
    <row r="58" spans="1:14">
      <c r="A58" s="222"/>
      <c r="B58" s="223"/>
      <c r="C58" s="223"/>
      <c r="D58" s="223"/>
      <c r="E58" s="223"/>
      <c r="F58" s="223"/>
      <c r="G58" s="223"/>
      <c r="H58" s="223"/>
      <c r="L58" s="286"/>
      <c r="N58" s="287"/>
    </row>
    <row r="59" spans="1:14">
      <c r="A59" s="222"/>
      <c r="B59" s="223"/>
      <c r="C59" s="223"/>
      <c r="D59" s="223"/>
      <c r="E59" s="223"/>
      <c r="F59" s="223"/>
      <c r="G59" s="223"/>
      <c r="H59" s="223"/>
      <c r="L59" s="286"/>
      <c r="N59" s="287"/>
    </row>
    <row r="60" spans="1:14">
      <c r="A60" s="222"/>
      <c r="B60" s="223"/>
      <c r="C60" s="223"/>
      <c r="D60" s="223"/>
      <c r="E60" s="223"/>
      <c r="F60" s="223"/>
      <c r="G60" s="223"/>
      <c r="H60" s="223"/>
      <c r="L60" s="286"/>
      <c r="N60" s="287"/>
    </row>
    <row r="61" spans="1:14">
      <c r="A61" s="222"/>
      <c r="B61" s="223"/>
      <c r="C61" s="223"/>
      <c r="D61" s="223"/>
      <c r="E61" s="223"/>
      <c r="F61" s="223"/>
      <c r="G61" s="223"/>
      <c r="H61" s="223"/>
      <c r="L61" s="286"/>
      <c r="N61" s="287"/>
    </row>
    <row r="62" spans="1:14">
      <c r="A62" s="222"/>
      <c r="B62" s="223"/>
      <c r="C62" s="223"/>
      <c r="D62" s="223"/>
      <c r="E62" s="223"/>
      <c r="F62" s="223"/>
      <c r="G62" s="224"/>
      <c r="H62" s="223"/>
      <c r="L62" s="286"/>
      <c r="N62" s="287"/>
    </row>
    <row r="63" spans="1:14">
      <c r="A63" s="222"/>
      <c r="B63" s="223"/>
      <c r="C63" s="223"/>
      <c r="D63" s="223"/>
      <c r="E63" s="223"/>
      <c r="F63" s="223"/>
      <c r="G63" s="224"/>
      <c r="H63" s="223"/>
      <c r="L63" s="286"/>
      <c r="N63" s="287"/>
    </row>
    <row r="64" spans="1:14">
      <c r="A64" s="222"/>
      <c r="B64" s="223"/>
      <c r="C64" s="223"/>
      <c r="D64" s="223"/>
      <c r="E64" s="223"/>
      <c r="F64" s="223"/>
      <c r="G64" s="223"/>
      <c r="H64" s="223"/>
      <c r="L64" s="286"/>
      <c r="N64" s="287"/>
    </row>
    <row r="65" spans="1:14">
      <c r="A65" s="222"/>
      <c r="B65" s="223"/>
      <c r="C65" s="223"/>
      <c r="D65" s="223"/>
      <c r="E65" s="223"/>
      <c r="F65" s="223"/>
      <c r="G65" s="223"/>
      <c r="H65" s="223"/>
      <c r="L65" s="286"/>
      <c r="N65" s="287"/>
    </row>
    <row r="66" spans="1:14">
      <c r="A66" s="222"/>
      <c r="B66" s="223"/>
      <c r="C66" s="223"/>
      <c r="D66" s="223"/>
      <c r="E66" s="223"/>
      <c r="F66" s="223"/>
      <c r="G66" s="223"/>
      <c r="H66" s="223"/>
      <c r="L66" s="286"/>
      <c r="N66" s="287"/>
    </row>
    <row r="67" spans="1:14">
      <c r="A67" s="222"/>
      <c r="B67" s="223"/>
      <c r="C67" s="223"/>
      <c r="D67" s="223"/>
      <c r="E67" s="223"/>
      <c r="F67" s="223"/>
      <c r="G67" s="223"/>
      <c r="H67" s="223"/>
      <c r="L67" s="286"/>
      <c r="N67" s="287"/>
    </row>
    <row r="68" spans="1:14">
      <c r="A68" s="222"/>
      <c r="B68" s="223"/>
      <c r="C68" s="223"/>
      <c r="D68" s="223"/>
      <c r="E68" s="223"/>
      <c r="F68" s="223"/>
      <c r="G68" s="224"/>
      <c r="H68" s="223"/>
      <c r="L68" s="286"/>
      <c r="N68" s="287"/>
    </row>
    <row r="69" spans="1:14">
      <c r="A69" s="222"/>
      <c r="B69" s="223"/>
      <c r="C69" s="223"/>
      <c r="D69" s="223"/>
      <c r="E69" s="223"/>
      <c r="F69" s="223"/>
      <c r="G69" s="224"/>
      <c r="H69" s="223"/>
      <c r="L69" s="286"/>
      <c r="N69" s="287"/>
    </row>
    <row r="70" spans="1:14">
      <c r="A70" s="222"/>
      <c r="B70" s="223"/>
      <c r="C70" s="223"/>
      <c r="D70" s="223"/>
      <c r="E70" s="223"/>
      <c r="F70" s="223"/>
      <c r="G70" s="223"/>
      <c r="H70" s="223"/>
      <c r="L70" s="286"/>
      <c r="N70" s="287"/>
    </row>
    <row r="71" spans="1:14">
      <c r="A71" s="222"/>
      <c r="B71" s="223"/>
      <c r="C71" s="223"/>
      <c r="D71" s="223"/>
      <c r="E71" s="223"/>
      <c r="F71" s="223"/>
      <c r="G71" s="223"/>
      <c r="H71" s="223"/>
      <c r="L71" s="286"/>
      <c r="N71" s="287"/>
    </row>
    <row r="72" spans="1:14">
      <c r="A72" s="222"/>
      <c r="B72" s="223"/>
      <c r="C72" s="223"/>
      <c r="D72" s="223"/>
      <c r="E72" s="223"/>
      <c r="F72" s="223"/>
      <c r="G72" s="223"/>
      <c r="H72" s="223"/>
      <c r="L72" s="286"/>
      <c r="N72" s="287"/>
    </row>
    <row r="73" spans="1:14">
      <c r="A73" s="222"/>
      <c r="B73" s="223"/>
      <c r="C73" s="223"/>
      <c r="D73" s="223"/>
      <c r="E73" s="223"/>
      <c r="F73" s="223"/>
      <c r="G73" s="223"/>
      <c r="H73" s="223"/>
      <c r="L73" s="286"/>
      <c r="N73" s="287"/>
    </row>
    <row r="74" spans="1:14">
      <c r="A74" s="222"/>
      <c r="B74" s="223"/>
      <c r="C74" s="223"/>
      <c r="D74" s="223"/>
      <c r="E74" s="223"/>
      <c r="F74" s="223"/>
      <c r="G74" s="224"/>
      <c r="H74" s="223"/>
      <c r="L74" s="286"/>
      <c r="N74" s="287"/>
    </row>
    <row r="75" spans="1:14">
      <c r="A75" s="222"/>
      <c r="B75" s="223"/>
      <c r="C75" s="223"/>
      <c r="D75" s="223"/>
      <c r="E75" s="223"/>
      <c r="F75" s="223"/>
      <c r="G75" s="224"/>
      <c r="H75" s="223"/>
      <c r="L75" s="286"/>
      <c r="N75" s="287"/>
    </row>
    <row r="76" spans="1:14">
      <c r="A76" s="222"/>
      <c r="B76" s="223"/>
      <c r="C76" s="223"/>
      <c r="D76" s="223"/>
      <c r="E76" s="223"/>
      <c r="F76" s="223"/>
      <c r="G76" s="223"/>
      <c r="H76" s="223"/>
      <c r="L76" s="286"/>
      <c r="N76" s="287"/>
    </row>
    <row r="77" spans="1:14">
      <c r="A77" s="222"/>
      <c r="B77" s="223"/>
      <c r="C77" s="223"/>
      <c r="D77" s="223"/>
      <c r="E77" s="223"/>
      <c r="F77" s="223"/>
      <c r="G77" s="223"/>
      <c r="H77" s="223"/>
      <c r="L77" s="286"/>
      <c r="N77" s="287"/>
    </row>
    <row r="78" spans="1:14">
      <c r="A78" s="222"/>
      <c r="B78" s="223"/>
      <c r="C78" s="223"/>
      <c r="D78" s="223"/>
      <c r="E78" s="223"/>
      <c r="F78" s="223"/>
      <c r="G78" s="223"/>
      <c r="H78" s="223"/>
      <c r="L78" s="286"/>
      <c r="N78" s="287"/>
    </row>
    <row r="79" spans="1:14">
      <c r="A79" s="222"/>
      <c r="B79" s="223"/>
      <c r="C79" s="223"/>
      <c r="D79" s="223"/>
      <c r="E79" s="223"/>
      <c r="F79" s="223"/>
      <c r="G79" s="223"/>
      <c r="H79" s="223"/>
      <c r="L79" s="286"/>
      <c r="N79" s="287"/>
    </row>
    <row r="80" spans="1:14">
      <c r="A80" s="222"/>
      <c r="B80" s="223"/>
      <c r="C80" s="223"/>
      <c r="D80" s="223"/>
      <c r="E80" s="223"/>
      <c r="F80" s="223"/>
      <c r="G80" s="224"/>
      <c r="H80" s="223"/>
      <c r="L80" s="286"/>
      <c r="N80" s="287"/>
    </row>
    <row r="81" spans="1:14">
      <c r="A81" s="222"/>
      <c r="B81" s="223"/>
      <c r="C81" s="223"/>
      <c r="D81" s="223"/>
      <c r="E81" s="223"/>
      <c r="F81" s="223"/>
      <c r="G81" s="224"/>
      <c r="H81" s="223"/>
      <c r="L81" s="286"/>
      <c r="N81" s="287"/>
    </row>
    <row r="82" spans="1:14">
      <c r="A82" s="222"/>
      <c r="B82" s="223"/>
      <c r="C82" s="223"/>
      <c r="D82" s="223"/>
      <c r="E82" s="223"/>
      <c r="F82" s="223"/>
      <c r="G82" s="223"/>
      <c r="H82" s="223"/>
      <c r="L82" s="286"/>
      <c r="N82" s="287"/>
    </row>
    <row r="83" spans="1:14">
      <c r="A83" s="222"/>
      <c r="B83" s="223"/>
      <c r="C83" s="223"/>
      <c r="D83" s="223"/>
      <c r="E83" s="223"/>
      <c r="F83" s="223"/>
      <c r="G83" s="223"/>
      <c r="H83" s="223"/>
      <c r="L83" s="286"/>
      <c r="N83" s="287"/>
    </row>
    <row r="84" spans="1:14">
      <c r="A84" s="222"/>
      <c r="B84" s="223"/>
      <c r="C84" s="223"/>
      <c r="D84" s="223"/>
      <c r="E84" s="223"/>
      <c r="F84" s="223"/>
      <c r="G84" s="223"/>
      <c r="H84" s="223"/>
      <c r="L84" s="286"/>
      <c r="N84" s="287"/>
    </row>
    <row r="85" spans="1:14">
      <c r="A85" s="222"/>
      <c r="B85" s="223"/>
      <c r="C85" s="223"/>
      <c r="D85" s="223"/>
      <c r="E85" s="223"/>
      <c r="F85" s="223"/>
      <c r="G85" s="223"/>
      <c r="H85" s="223"/>
      <c r="L85" s="286"/>
      <c r="N85" s="287"/>
    </row>
    <row r="86" spans="1:14">
      <c r="A86" s="222"/>
      <c r="B86" s="223"/>
      <c r="C86" s="223"/>
      <c r="D86" s="223"/>
      <c r="E86" s="223"/>
      <c r="F86" s="223"/>
      <c r="G86" s="224"/>
      <c r="H86" s="223"/>
      <c r="L86" s="286"/>
      <c r="N86" s="287"/>
    </row>
    <row r="87" spans="1:14">
      <c r="A87" s="222"/>
      <c r="B87" s="223"/>
      <c r="C87" s="223"/>
      <c r="D87" s="223"/>
      <c r="E87" s="223"/>
      <c r="F87" s="223"/>
      <c r="G87" s="224"/>
      <c r="H87" s="223"/>
      <c r="L87" s="286"/>
      <c r="N87" s="287"/>
    </row>
    <row r="88" spans="1:14">
      <c r="A88" s="222"/>
      <c r="B88" s="223"/>
      <c r="C88" s="223"/>
      <c r="D88" s="223"/>
      <c r="E88" s="223"/>
      <c r="F88" s="223"/>
      <c r="G88" s="223"/>
      <c r="H88" s="223"/>
      <c r="L88" s="286"/>
      <c r="N88" s="287"/>
    </row>
    <row r="89" spans="1:14">
      <c r="A89" s="222"/>
      <c r="B89" s="223"/>
      <c r="C89" s="223"/>
      <c r="D89" s="223"/>
      <c r="E89" s="223"/>
      <c r="F89" s="223"/>
      <c r="G89" s="223"/>
      <c r="H89" s="223"/>
      <c r="L89" s="286"/>
      <c r="N89" s="287"/>
    </row>
    <row r="90" spans="1:14">
      <c r="A90" s="222"/>
      <c r="B90" s="223"/>
      <c r="C90" s="223"/>
      <c r="D90" s="223"/>
      <c r="E90" s="223"/>
      <c r="F90" s="223"/>
      <c r="G90" s="223"/>
      <c r="H90" s="223"/>
      <c r="L90" s="286"/>
      <c r="N90" s="287"/>
    </row>
    <row r="91" spans="1:14">
      <c r="A91" s="222"/>
      <c r="B91" s="223"/>
      <c r="C91" s="223"/>
      <c r="D91" s="223"/>
      <c r="E91" s="223"/>
      <c r="F91" s="223"/>
      <c r="G91" s="223"/>
      <c r="H91" s="223"/>
      <c r="L91" s="286"/>
      <c r="N91" s="287"/>
    </row>
    <row r="92" spans="1:14">
      <c r="A92" s="222"/>
      <c r="B92" s="223"/>
      <c r="C92" s="223"/>
      <c r="D92" s="223"/>
      <c r="E92" s="223"/>
      <c r="F92" s="223"/>
      <c r="G92" s="224"/>
      <c r="H92" s="223"/>
      <c r="L92" s="286"/>
      <c r="N92" s="287"/>
    </row>
    <row r="93" spans="1:14">
      <c r="A93" s="222"/>
      <c r="B93" s="223"/>
      <c r="C93" s="223"/>
      <c r="D93" s="223"/>
      <c r="E93" s="223"/>
      <c r="F93" s="223"/>
      <c r="G93" s="224"/>
      <c r="H93" s="223"/>
      <c r="L93" s="286"/>
      <c r="N93" s="287"/>
    </row>
    <row r="94" spans="1:14">
      <c r="A94" s="222"/>
      <c r="B94" s="223"/>
      <c r="C94" s="223"/>
      <c r="D94" s="223"/>
      <c r="E94" s="223"/>
      <c r="F94" s="223"/>
      <c r="G94" s="223"/>
      <c r="H94" s="223"/>
      <c r="L94" s="286"/>
      <c r="N94" s="287"/>
    </row>
    <row r="95" spans="1:14">
      <c r="A95" s="222"/>
      <c r="B95" s="223"/>
      <c r="C95" s="223"/>
      <c r="D95" s="223"/>
      <c r="E95" s="223"/>
      <c r="F95" s="223"/>
      <c r="G95" s="223"/>
      <c r="H95" s="223"/>
      <c r="L95" s="286"/>
      <c r="N95" s="287"/>
    </row>
    <row r="96" spans="1:14">
      <c r="A96" s="222"/>
      <c r="B96" s="223"/>
      <c r="C96" s="223"/>
      <c r="D96" s="223"/>
      <c r="E96" s="223"/>
      <c r="F96" s="223"/>
      <c r="G96" s="223"/>
      <c r="H96" s="223"/>
      <c r="L96" s="286"/>
      <c r="N96" s="287"/>
    </row>
    <row r="97" spans="1:14">
      <c r="A97" s="222"/>
      <c r="B97" s="223"/>
      <c r="C97" s="223"/>
      <c r="D97" s="223"/>
      <c r="E97" s="223"/>
      <c r="F97" s="223"/>
      <c r="G97" s="223"/>
      <c r="H97" s="223"/>
      <c r="L97" s="286"/>
      <c r="N97" s="287"/>
    </row>
    <row r="98" spans="1:14">
      <c r="A98" s="222"/>
      <c r="B98" s="223"/>
      <c r="C98" s="223"/>
      <c r="D98" s="223"/>
      <c r="E98" s="223"/>
      <c r="F98" s="223"/>
      <c r="G98" s="224"/>
      <c r="H98" s="223"/>
      <c r="L98" s="286"/>
      <c r="N98" s="287"/>
    </row>
    <row r="99" spans="1:14">
      <c r="A99" s="222"/>
      <c r="B99" s="223"/>
      <c r="C99" s="223"/>
      <c r="D99" s="223"/>
      <c r="E99" s="223"/>
      <c r="F99" s="223"/>
      <c r="G99" s="224"/>
      <c r="H99" s="223"/>
      <c r="L99" s="286"/>
      <c r="N99" s="287"/>
    </row>
    <row r="100" spans="1:14">
      <c r="A100" s="222"/>
      <c r="B100" s="223"/>
      <c r="C100" s="223"/>
      <c r="D100" s="223"/>
      <c r="E100" s="223"/>
      <c r="F100" s="223"/>
      <c r="G100" s="223"/>
      <c r="H100" s="223"/>
      <c r="L100" s="286"/>
      <c r="N100" s="287"/>
    </row>
    <row r="101" spans="1:14">
      <c r="A101" s="222"/>
      <c r="B101" s="223"/>
      <c r="C101" s="223"/>
      <c r="D101" s="223"/>
      <c r="E101" s="223"/>
      <c r="F101" s="223"/>
      <c r="G101" s="223"/>
      <c r="H101" s="223"/>
      <c r="L101" s="286"/>
      <c r="N101" s="287"/>
    </row>
    <row r="102" spans="1:14">
      <c r="A102" s="222"/>
      <c r="B102" s="223"/>
      <c r="C102" s="223"/>
      <c r="D102" s="223"/>
      <c r="E102" s="223"/>
      <c r="F102" s="223"/>
      <c r="G102" s="223"/>
      <c r="H102" s="223"/>
      <c r="L102" s="286"/>
      <c r="N102" s="287"/>
    </row>
    <row r="103" spans="1:14">
      <c r="A103" s="222"/>
      <c r="B103" s="223"/>
      <c r="C103" s="223"/>
      <c r="D103" s="223"/>
      <c r="E103" s="223"/>
      <c r="F103" s="223"/>
      <c r="G103" s="223"/>
      <c r="H103" s="223"/>
      <c r="L103" s="286"/>
      <c r="N103" s="287"/>
    </row>
    <row r="104" spans="1:14">
      <c r="A104" s="222"/>
      <c r="B104" s="223"/>
      <c r="C104" s="223"/>
      <c r="D104" s="223"/>
      <c r="E104" s="223"/>
      <c r="F104" s="223"/>
      <c r="G104" s="223"/>
      <c r="H104" s="223"/>
      <c r="L104" s="286"/>
      <c r="N104" s="287"/>
    </row>
    <row r="105" spans="1:14">
      <c r="A105" s="222"/>
      <c r="B105" s="223"/>
      <c r="C105" s="223"/>
      <c r="D105" s="223"/>
      <c r="E105" s="223"/>
      <c r="F105" s="223"/>
      <c r="G105" s="223"/>
      <c r="H105" s="223"/>
      <c r="L105" s="286"/>
      <c r="N105" s="287"/>
    </row>
    <row r="106" spans="1:14">
      <c r="A106" s="222"/>
      <c r="B106" s="223"/>
      <c r="C106" s="223"/>
      <c r="D106" s="223"/>
      <c r="E106" s="223"/>
      <c r="F106" s="223"/>
      <c r="G106" s="223"/>
      <c r="H106" s="223"/>
      <c r="L106" s="286"/>
      <c r="N106" s="287"/>
    </row>
    <row r="107" spans="1:14">
      <c r="A107" s="222"/>
      <c r="B107" s="223"/>
      <c r="C107" s="223"/>
      <c r="D107" s="223"/>
      <c r="E107" s="223"/>
      <c r="F107" s="223"/>
      <c r="G107" s="223"/>
      <c r="H107" s="223"/>
      <c r="L107" s="286"/>
      <c r="N107" s="287"/>
    </row>
    <row r="108" spans="1:14">
      <c r="A108" s="222"/>
      <c r="B108" s="223"/>
      <c r="C108" s="223"/>
      <c r="D108" s="223"/>
      <c r="E108" s="223"/>
      <c r="F108" s="223"/>
      <c r="G108" s="224"/>
      <c r="H108" s="223"/>
      <c r="L108" s="286"/>
      <c r="N108" s="287"/>
    </row>
    <row r="109" spans="1:14">
      <c r="A109" s="222"/>
      <c r="B109" s="223"/>
      <c r="C109" s="223"/>
      <c r="D109" s="223"/>
      <c r="E109" s="223"/>
      <c r="F109" s="223"/>
      <c r="G109" s="224"/>
      <c r="H109" s="223"/>
      <c r="L109" s="286"/>
      <c r="N109" s="287"/>
    </row>
    <row r="110" spans="1:14">
      <c r="A110" s="222"/>
      <c r="B110" s="223"/>
      <c r="C110" s="223"/>
      <c r="D110" s="223"/>
      <c r="E110" s="223"/>
      <c r="F110" s="223"/>
      <c r="G110" s="224"/>
      <c r="H110" s="223"/>
      <c r="L110" s="286"/>
      <c r="N110" s="287"/>
    </row>
    <row r="111" spans="1:14">
      <c r="A111" s="222"/>
      <c r="B111" s="223"/>
      <c r="C111" s="223"/>
      <c r="D111" s="223"/>
      <c r="E111" s="223"/>
      <c r="F111" s="223"/>
      <c r="G111" s="224"/>
      <c r="H111" s="223"/>
      <c r="L111" s="286"/>
      <c r="N111" s="287"/>
    </row>
    <row r="112" spans="1:14">
      <c r="A112" s="222"/>
      <c r="B112" s="223"/>
      <c r="C112" s="223"/>
      <c r="D112" s="223"/>
      <c r="E112" s="223"/>
      <c r="F112" s="223"/>
      <c r="G112" s="223"/>
      <c r="H112" s="223"/>
      <c r="L112" s="286"/>
      <c r="N112" s="287"/>
    </row>
    <row r="113" spans="1:14">
      <c r="A113" s="222"/>
      <c r="B113" s="223"/>
      <c r="C113" s="223"/>
      <c r="D113" s="223"/>
      <c r="E113" s="223"/>
      <c r="F113" s="223"/>
      <c r="G113" s="223"/>
      <c r="H113" s="223"/>
      <c r="L113" s="286"/>
      <c r="N113" s="287"/>
    </row>
    <row r="114" spans="1:14">
      <c r="A114" s="222"/>
      <c r="B114" s="223"/>
      <c r="C114" s="223"/>
      <c r="D114" s="223"/>
      <c r="E114" s="223"/>
      <c r="F114" s="223"/>
      <c r="G114" s="223"/>
      <c r="H114" s="223"/>
      <c r="L114" s="286"/>
      <c r="N114" s="287"/>
    </row>
    <row r="115" spans="1:14">
      <c r="A115" s="222"/>
      <c r="B115" s="223"/>
      <c r="C115" s="223"/>
      <c r="D115" s="223"/>
      <c r="E115" s="223"/>
      <c r="F115" s="223"/>
      <c r="G115" s="223"/>
      <c r="H115" s="223"/>
      <c r="L115" s="286"/>
      <c r="N115" s="287"/>
    </row>
    <row r="116" spans="1:14">
      <c r="A116" s="222"/>
      <c r="B116" s="223"/>
      <c r="C116" s="223"/>
      <c r="D116" s="223"/>
      <c r="E116" s="223"/>
      <c r="F116" s="223"/>
      <c r="G116" s="223"/>
      <c r="H116" s="223"/>
      <c r="L116" s="286"/>
      <c r="N116" s="287"/>
    </row>
    <row r="117" spans="1:14">
      <c r="A117" s="222"/>
      <c r="B117" s="223"/>
      <c r="C117" s="223"/>
      <c r="D117" s="223"/>
      <c r="E117" s="223"/>
      <c r="F117" s="223"/>
      <c r="G117" s="223"/>
      <c r="H117" s="223"/>
      <c r="L117" s="286"/>
      <c r="N117" s="287"/>
    </row>
    <row r="118" spans="1:14">
      <c r="A118" s="222"/>
      <c r="B118" s="223"/>
      <c r="C118" s="223"/>
      <c r="D118" s="223"/>
      <c r="E118" s="223"/>
      <c r="F118" s="223"/>
      <c r="G118" s="223"/>
      <c r="H118" s="223"/>
      <c r="L118" s="286"/>
      <c r="N118" s="287"/>
    </row>
    <row r="119" spans="1:14">
      <c r="A119" s="222"/>
      <c r="B119" s="223"/>
      <c r="C119" s="223"/>
      <c r="D119" s="223"/>
      <c r="E119" s="223"/>
      <c r="F119" s="223"/>
      <c r="G119" s="223"/>
      <c r="H119" s="223"/>
      <c r="L119" s="286"/>
      <c r="N119" s="287"/>
    </row>
    <row r="120" spans="1:14">
      <c r="A120" s="222"/>
      <c r="B120" s="223"/>
      <c r="C120" s="223"/>
      <c r="D120" s="223"/>
      <c r="E120" s="223"/>
      <c r="F120" s="223"/>
      <c r="G120" s="224"/>
      <c r="H120" s="223"/>
      <c r="L120" s="286"/>
      <c r="N120" s="287"/>
    </row>
    <row r="121" spans="1:14">
      <c r="A121" s="222"/>
      <c r="B121" s="223"/>
      <c r="C121" s="223"/>
      <c r="D121" s="223"/>
      <c r="E121" s="223"/>
      <c r="F121" s="223"/>
      <c r="G121" s="224"/>
      <c r="H121" s="223"/>
      <c r="L121" s="286"/>
      <c r="N121" s="287"/>
    </row>
    <row r="122" spans="1:14">
      <c r="A122" s="222"/>
      <c r="B122" s="223"/>
      <c r="C122" s="223"/>
      <c r="D122" s="223"/>
      <c r="E122" s="223"/>
      <c r="F122" s="223"/>
      <c r="G122" s="224"/>
      <c r="H122" s="223"/>
      <c r="L122" s="286"/>
      <c r="N122" s="287"/>
    </row>
    <row r="123" spans="1:14">
      <c r="A123" s="222"/>
      <c r="B123" s="223"/>
      <c r="C123" s="223"/>
      <c r="D123" s="223"/>
      <c r="E123" s="223"/>
      <c r="F123" s="223"/>
      <c r="G123" s="224"/>
      <c r="H123" s="223"/>
      <c r="L123" s="286"/>
      <c r="N123" s="287"/>
    </row>
    <row r="124" spans="1:14">
      <c r="A124" s="222"/>
      <c r="B124" s="223"/>
      <c r="C124" s="223"/>
      <c r="D124" s="223"/>
      <c r="E124" s="223"/>
      <c r="F124" s="223"/>
      <c r="G124" s="223"/>
      <c r="H124" s="223"/>
      <c r="L124" s="286"/>
      <c r="N124" s="287"/>
    </row>
    <row r="125" spans="1:14">
      <c r="A125" s="222"/>
      <c r="B125" s="223"/>
      <c r="C125" s="223"/>
      <c r="D125" s="223"/>
      <c r="E125" s="223"/>
      <c r="F125" s="223"/>
      <c r="G125" s="223"/>
      <c r="H125" s="223"/>
      <c r="L125" s="286"/>
      <c r="N125" s="287"/>
    </row>
    <row r="126" spans="1:14">
      <c r="A126" s="222"/>
      <c r="B126" s="223"/>
      <c r="C126" s="223"/>
      <c r="D126" s="223"/>
      <c r="E126" s="223"/>
      <c r="F126" s="223"/>
      <c r="G126" s="223"/>
      <c r="H126" s="223"/>
      <c r="L126" s="286"/>
      <c r="N126" s="287"/>
    </row>
    <row r="127" spans="1:14">
      <c r="A127" s="222"/>
      <c r="B127" s="223"/>
      <c r="C127" s="223"/>
      <c r="D127" s="223"/>
      <c r="E127" s="223"/>
      <c r="F127" s="223"/>
      <c r="G127" s="223"/>
      <c r="H127" s="223"/>
      <c r="L127" s="286"/>
      <c r="N127" s="287"/>
    </row>
    <row r="128" spans="1:14">
      <c r="A128" s="222"/>
      <c r="B128" s="223"/>
      <c r="C128" s="223"/>
      <c r="D128" s="223"/>
      <c r="E128" s="223"/>
      <c r="F128" s="223"/>
      <c r="G128" s="223"/>
      <c r="H128" s="223"/>
      <c r="L128" s="286"/>
      <c r="N128" s="287"/>
    </row>
    <row r="129" spans="1:14">
      <c r="A129" s="222"/>
      <c r="B129" s="223"/>
      <c r="C129" s="223"/>
      <c r="D129" s="223"/>
      <c r="E129" s="223"/>
      <c r="F129" s="223"/>
      <c r="G129" s="223"/>
      <c r="H129" s="223"/>
      <c r="L129" s="286"/>
      <c r="N129" s="287"/>
    </row>
    <row r="130" spans="1:14">
      <c r="A130" s="222"/>
      <c r="B130" s="223"/>
      <c r="C130" s="223"/>
      <c r="D130" s="223"/>
      <c r="E130" s="223"/>
      <c r="F130" s="223"/>
      <c r="G130" s="223"/>
      <c r="H130" s="223"/>
      <c r="L130" s="286"/>
      <c r="N130" s="287"/>
    </row>
    <row r="131" spans="1:14">
      <c r="A131" s="222"/>
      <c r="B131" s="223"/>
      <c r="C131" s="223"/>
      <c r="D131" s="223"/>
      <c r="E131" s="223"/>
      <c r="F131" s="223"/>
      <c r="G131" s="223"/>
      <c r="H131" s="223"/>
      <c r="L131" s="286"/>
      <c r="N131" s="287"/>
    </row>
    <row r="132" spans="1:14">
      <c r="A132" s="222"/>
      <c r="B132" s="223"/>
      <c r="C132" s="223"/>
      <c r="D132" s="223"/>
      <c r="E132" s="223"/>
      <c r="F132" s="223"/>
      <c r="G132" s="224"/>
      <c r="H132" s="223"/>
      <c r="L132" s="286"/>
      <c r="N132" s="287"/>
    </row>
    <row r="133" spans="1:14">
      <c r="A133" s="222"/>
      <c r="B133" s="223"/>
      <c r="C133" s="223"/>
      <c r="D133" s="223"/>
      <c r="E133" s="223"/>
      <c r="F133" s="223"/>
      <c r="G133" s="224"/>
      <c r="H133" s="223"/>
      <c r="L133" s="286"/>
      <c r="N133" s="287"/>
    </row>
    <row r="134" spans="1:14">
      <c r="A134" s="222"/>
      <c r="B134" s="223"/>
      <c r="C134" s="223"/>
      <c r="D134" s="223"/>
      <c r="E134" s="223"/>
      <c r="F134" s="223"/>
      <c r="G134" s="224"/>
      <c r="H134" s="223"/>
      <c r="L134" s="286"/>
      <c r="N134" s="287"/>
    </row>
    <row r="135" spans="1:14">
      <c r="A135" s="222"/>
      <c r="B135" s="223"/>
      <c r="C135" s="223"/>
      <c r="D135" s="223"/>
      <c r="E135" s="223"/>
      <c r="F135" s="223"/>
      <c r="G135" s="224"/>
      <c r="H135" s="223"/>
      <c r="L135" s="286"/>
      <c r="N135" s="287"/>
    </row>
    <row r="136" spans="1:14">
      <c r="A136" s="222"/>
      <c r="B136" s="223"/>
      <c r="C136" s="223"/>
      <c r="D136" s="223"/>
      <c r="E136" s="223"/>
      <c r="F136" s="223"/>
      <c r="G136" s="223"/>
      <c r="H136" s="223"/>
      <c r="L136" s="286"/>
      <c r="N136" s="287"/>
    </row>
    <row r="137" spans="1:14">
      <c r="A137" s="222"/>
      <c r="B137" s="223"/>
      <c r="C137" s="223"/>
      <c r="D137" s="223"/>
      <c r="E137" s="223"/>
      <c r="F137" s="223"/>
      <c r="G137" s="223"/>
      <c r="H137" s="223"/>
      <c r="L137" s="286"/>
      <c r="N137" s="287"/>
    </row>
    <row r="138" spans="1:14">
      <c r="A138" s="222"/>
      <c r="B138" s="223"/>
      <c r="C138" s="223"/>
      <c r="D138" s="223"/>
      <c r="E138" s="223"/>
      <c r="F138" s="223"/>
      <c r="G138" s="223"/>
      <c r="H138" s="223"/>
      <c r="L138" s="286"/>
      <c r="N138" s="287"/>
    </row>
    <row r="139" spans="1:14">
      <c r="A139" s="222"/>
      <c r="B139" s="223"/>
      <c r="C139" s="223"/>
      <c r="D139" s="223"/>
      <c r="E139" s="223"/>
      <c r="F139" s="223"/>
      <c r="G139" s="223"/>
      <c r="H139" s="223"/>
      <c r="L139" s="286"/>
      <c r="N139" s="287"/>
    </row>
    <row r="140" spans="1:14">
      <c r="A140" s="222"/>
      <c r="B140" s="223"/>
      <c r="C140" s="223"/>
      <c r="D140" s="223"/>
      <c r="E140" s="223"/>
      <c r="F140" s="223"/>
      <c r="G140" s="223"/>
      <c r="H140" s="223"/>
      <c r="L140" s="286"/>
      <c r="N140" s="287"/>
    </row>
    <row r="141" spans="1:14">
      <c r="A141" s="222"/>
      <c r="B141" s="223"/>
      <c r="C141" s="223"/>
      <c r="D141" s="223"/>
      <c r="E141" s="223"/>
      <c r="F141" s="223"/>
      <c r="G141" s="223"/>
      <c r="H141" s="223"/>
      <c r="L141" s="286"/>
      <c r="N141" s="287"/>
    </row>
    <row r="142" spans="1:14">
      <c r="A142" s="222"/>
      <c r="B142" s="223"/>
      <c r="C142" s="223"/>
      <c r="D142" s="223"/>
      <c r="E142" s="223"/>
      <c r="F142" s="223"/>
      <c r="G142" s="223"/>
      <c r="H142" s="223"/>
      <c r="L142" s="286"/>
      <c r="N142" s="287"/>
    </row>
    <row r="143" spans="1:14">
      <c r="A143" s="222"/>
      <c r="B143" s="223"/>
      <c r="C143" s="223"/>
      <c r="D143" s="223"/>
      <c r="E143" s="223"/>
      <c r="F143" s="223"/>
      <c r="G143" s="223"/>
      <c r="H143" s="223"/>
      <c r="L143" s="286"/>
      <c r="N143" s="287"/>
    </row>
    <row r="144" spans="1:14">
      <c r="A144" s="222"/>
      <c r="B144" s="223"/>
      <c r="C144" s="223"/>
      <c r="D144" s="223"/>
      <c r="E144" s="223"/>
      <c r="F144" s="223"/>
      <c r="G144" s="224"/>
      <c r="H144" s="223"/>
      <c r="L144" s="286"/>
      <c r="N144" s="287"/>
    </row>
    <row r="145" spans="1:14">
      <c r="A145" s="222"/>
      <c r="B145" s="223"/>
      <c r="C145" s="223"/>
      <c r="D145" s="223"/>
      <c r="E145" s="223"/>
      <c r="F145" s="223"/>
      <c r="G145" s="224"/>
      <c r="H145" s="223"/>
      <c r="L145" s="286"/>
      <c r="N145" s="287"/>
    </row>
    <row r="146" spans="1:14">
      <c r="A146" s="222"/>
      <c r="B146" s="223"/>
      <c r="C146" s="223"/>
      <c r="D146" s="223"/>
      <c r="E146" s="223"/>
      <c r="F146" s="223"/>
      <c r="G146" s="224"/>
      <c r="H146" s="223"/>
      <c r="L146" s="286"/>
      <c r="N146" s="287"/>
    </row>
    <row r="147" spans="1:14">
      <c r="A147" s="222"/>
      <c r="B147" s="223"/>
      <c r="C147" s="223"/>
      <c r="D147" s="223"/>
      <c r="E147" s="223"/>
      <c r="F147" s="223"/>
      <c r="G147" s="224"/>
      <c r="H147" s="223"/>
      <c r="L147" s="286"/>
      <c r="N147" s="287"/>
    </row>
    <row r="148" spans="1:14">
      <c r="A148" s="222"/>
      <c r="B148" s="223"/>
      <c r="C148" s="223"/>
      <c r="D148" s="223"/>
      <c r="E148" s="223"/>
      <c r="F148" s="223"/>
      <c r="G148" s="223"/>
      <c r="H148" s="223"/>
      <c r="L148" s="286"/>
      <c r="N148" s="287"/>
    </row>
    <row r="149" spans="1:14">
      <c r="A149" s="222"/>
      <c r="B149" s="223"/>
      <c r="C149" s="223"/>
      <c r="D149" s="223"/>
      <c r="E149" s="223"/>
      <c r="F149" s="223"/>
      <c r="G149" s="223"/>
      <c r="H149" s="223"/>
      <c r="L149" s="286"/>
      <c r="N149" s="287"/>
    </row>
    <row r="150" spans="1:14">
      <c r="A150" s="222"/>
      <c r="B150" s="223"/>
      <c r="C150" s="223"/>
      <c r="D150" s="223"/>
      <c r="E150" s="223"/>
      <c r="F150" s="223"/>
      <c r="G150" s="223"/>
      <c r="H150" s="223"/>
      <c r="L150" s="286"/>
      <c r="N150" s="287"/>
    </row>
    <row r="151" spans="1:14">
      <c r="A151" s="222"/>
      <c r="B151" s="223"/>
      <c r="C151" s="223"/>
      <c r="D151" s="223"/>
      <c r="E151" s="223"/>
      <c r="F151" s="223"/>
      <c r="G151" s="223"/>
      <c r="H151" s="223"/>
      <c r="L151" s="286"/>
      <c r="N151" s="287"/>
    </row>
    <row r="152" spans="1:14">
      <c r="A152" s="222"/>
      <c r="B152" s="223"/>
      <c r="C152" s="223"/>
      <c r="D152" s="223"/>
      <c r="E152" s="223"/>
      <c r="F152" s="223"/>
      <c r="G152" s="223"/>
      <c r="H152" s="223"/>
      <c r="L152" s="286"/>
      <c r="N152" s="287"/>
    </row>
    <row r="153" spans="1:14">
      <c r="A153" s="222"/>
      <c r="B153" s="223"/>
      <c r="C153" s="223"/>
      <c r="D153" s="223"/>
      <c r="E153" s="223"/>
      <c r="F153" s="223"/>
      <c r="G153" s="223"/>
      <c r="H153" s="223"/>
      <c r="L153" s="286"/>
      <c r="N153" s="287"/>
    </row>
    <row r="154" spans="1:14">
      <c r="A154" s="222"/>
      <c r="B154" s="223"/>
      <c r="C154" s="223"/>
      <c r="D154" s="223"/>
      <c r="E154" s="223"/>
      <c r="F154" s="223"/>
      <c r="G154" s="223"/>
      <c r="H154" s="223"/>
      <c r="L154" s="286"/>
      <c r="N154" s="287"/>
    </row>
    <row r="155" spans="1:14">
      <c r="A155" s="222"/>
      <c r="B155" s="223"/>
      <c r="C155" s="223"/>
      <c r="D155" s="223"/>
      <c r="E155" s="223"/>
      <c r="F155" s="223"/>
      <c r="G155" s="223"/>
      <c r="H155" s="223"/>
      <c r="L155" s="286"/>
      <c r="N155" s="287"/>
    </row>
    <row r="156" spans="1:14">
      <c r="A156" s="222"/>
      <c r="B156" s="223"/>
      <c r="C156" s="223"/>
      <c r="D156" s="223"/>
      <c r="E156" s="223"/>
      <c r="F156" s="223"/>
      <c r="G156" s="224"/>
      <c r="H156" s="223"/>
      <c r="L156" s="286"/>
      <c r="N156" s="287"/>
    </row>
    <row r="157" spans="1:14">
      <c r="A157" s="222"/>
      <c r="B157" s="223"/>
      <c r="C157" s="223"/>
      <c r="D157" s="223"/>
      <c r="E157" s="223"/>
      <c r="F157" s="223"/>
      <c r="G157" s="224"/>
      <c r="H157" s="223"/>
      <c r="L157" s="286"/>
      <c r="N157" s="287"/>
    </row>
    <row r="158" spans="1:14">
      <c r="A158" s="222"/>
      <c r="B158" s="223"/>
      <c r="C158" s="223"/>
      <c r="D158" s="223"/>
      <c r="E158" s="223"/>
      <c r="F158" s="223"/>
      <c r="G158" s="224"/>
      <c r="H158" s="223"/>
      <c r="L158" s="286"/>
      <c r="N158" s="287"/>
    </row>
    <row r="159" spans="1:14">
      <c r="A159" s="222"/>
      <c r="B159" s="223"/>
      <c r="C159" s="223"/>
      <c r="D159" s="223"/>
      <c r="E159" s="223"/>
      <c r="F159" s="223"/>
      <c r="G159" s="224"/>
      <c r="H159" s="223"/>
      <c r="L159" s="286"/>
      <c r="N159" s="287"/>
    </row>
    <row r="160" spans="1:14">
      <c r="A160" s="222"/>
      <c r="B160" s="223"/>
      <c r="C160" s="223"/>
      <c r="D160" s="223"/>
      <c r="E160" s="223"/>
      <c r="F160" s="223"/>
      <c r="G160" s="223"/>
      <c r="H160" s="223"/>
      <c r="L160" s="286"/>
      <c r="N160" s="287"/>
    </row>
    <row r="161" spans="1:14">
      <c r="A161" s="222"/>
      <c r="B161" s="223"/>
      <c r="C161" s="223"/>
      <c r="D161" s="223"/>
      <c r="E161" s="223"/>
      <c r="F161" s="223"/>
      <c r="G161" s="223"/>
      <c r="H161" s="223"/>
      <c r="L161" s="286"/>
      <c r="N161" s="287"/>
    </row>
    <row r="162" spans="1:14">
      <c r="A162" s="222"/>
      <c r="B162" s="223"/>
      <c r="C162" s="223"/>
      <c r="D162" s="223"/>
      <c r="E162" s="223"/>
      <c r="F162" s="223"/>
      <c r="G162" s="223"/>
      <c r="H162" s="223"/>
      <c r="L162" s="286"/>
      <c r="N162" s="287"/>
    </row>
    <row r="163" spans="1:14">
      <c r="A163" s="222"/>
      <c r="B163" s="223"/>
      <c r="C163" s="223"/>
      <c r="D163" s="223"/>
      <c r="E163" s="223"/>
      <c r="F163" s="223"/>
      <c r="G163" s="223"/>
      <c r="H163" s="223"/>
      <c r="L163" s="286"/>
      <c r="N163" s="287"/>
    </row>
    <row r="164" spans="1:14">
      <c r="A164" s="222"/>
      <c r="B164" s="223"/>
      <c r="C164" s="223"/>
      <c r="D164" s="223"/>
      <c r="E164" s="223"/>
      <c r="F164" s="223"/>
      <c r="G164" s="223"/>
      <c r="H164" s="223"/>
      <c r="L164" s="286"/>
      <c r="N164" s="287"/>
    </row>
    <row r="165" spans="1:14">
      <c r="A165" s="222"/>
      <c r="B165" s="223"/>
      <c r="C165" s="223"/>
      <c r="D165" s="223"/>
      <c r="E165" s="223"/>
      <c r="F165" s="223"/>
      <c r="G165" s="223"/>
      <c r="H165" s="223"/>
      <c r="L165" s="286"/>
      <c r="N165" s="287"/>
    </row>
    <row r="166" spans="1:14">
      <c r="A166" s="222"/>
      <c r="B166" s="223"/>
      <c r="C166" s="223"/>
      <c r="D166" s="223"/>
      <c r="E166" s="223"/>
      <c r="F166" s="223"/>
      <c r="G166" s="223"/>
      <c r="H166" s="223"/>
      <c r="L166" s="286"/>
      <c r="N166" s="287"/>
    </row>
    <row r="167" spans="1:14">
      <c r="A167" s="222"/>
      <c r="B167" s="223"/>
      <c r="C167" s="223"/>
      <c r="D167" s="223"/>
      <c r="E167" s="223"/>
      <c r="F167" s="223"/>
      <c r="G167" s="223"/>
      <c r="H167" s="223"/>
      <c r="L167" s="286"/>
      <c r="N167" s="287"/>
    </row>
    <row r="168" spans="1:14">
      <c r="A168" s="222"/>
      <c r="B168" s="223"/>
      <c r="C168" s="223"/>
      <c r="D168" s="223"/>
      <c r="E168" s="223"/>
      <c r="F168" s="223"/>
      <c r="G168" s="224"/>
      <c r="H168" s="223"/>
      <c r="L168" s="286"/>
      <c r="N168" s="287"/>
    </row>
    <row r="169" spans="1:14">
      <c r="A169" s="222"/>
      <c r="B169" s="223"/>
      <c r="C169" s="223"/>
      <c r="D169" s="223"/>
      <c r="E169" s="223"/>
      <c r="F169" s="223"/>
      <c r="G169" s="224"/>
      <c r="H169" s="223"/>
      <c r="L169" s="286"/>
      <c r="N169" s="287"/>
    </row>
    <row r="170" spans="1:14">
      <c r="A170" s="222"/>
      <c r="B170" s="223"/>
      <c r="C170" s="223"/>
      <c r="D170" s="223"/>
      <c r="E170" s="223"/>
      <c r="F170" s="223"/>
      <c r="G170" s="224"/>
      <c r="H170" s="223"/>
      <c r="L170" s="286"/>
      <c r="N170" s="287"/>
    </row>
    <row r="171" spans="1:14">
      <c r="A171" s="222"/>
      <c r="B171" s="223"/>
      <c r="C171" s="223"/>
      <c r="D171" s="223"/>
      <c r="E171" s="223"/>
      <c r="F171" s="223"/>
      <c r="G171" s="224"/>
      <c r="H171" s="223"/>
      <c r="L171" s="286"/>
      <c r="N171" s="287"/>
    </row>
    <row r="172" spans="1:14">
      <c r="A172" s="222"/>
      <c r="B172" s="223"/>
      <c r="C172" s="223"/>
      <c r="D172" s="223"/>
      <c r="E172" s="223"/>
      <c r="F172" s="223"/>
      <c r="G172" s="223"/>
      <c r="H172" s="223"/>
      <c r="L172" s="286"/>
      <c r="N172" s="287"/>
    </row>
    <row r="173" spans="1:14">
      <c r="A173" s="222"/>
      <c r="B173" s="223"/>
      <c r="C173" s="223"/>
      <c r="D173" s="223"/>
      <c r="E173" s="223"/>
      <c r="F173" s="223"/>
      <c r="G173" s="223"/>
      <c r="H173" s="223"/>
      <c r="L173" s="286"/>
      <c r="N173" s="287"/>
    </row>
    <row r="174" spans="1:14">
      <c r="A174" s="222"/>
      <c r="B174" s="223"/>
      <c r="C174" s="223"/>
      <c r="D174" s="223"/>
      <c r="E174" s="223"/>
      <c r="F174" s="223"/>
      <c r="G174" s="223"/>
      <c r="H174" s="223"/>
      <c r="L174" s="286"/>
      <c r="N174" s="287"/>
    </row>
    <row r="175" spans="1:14">
      <c r="A175" s="222"/>
      <c r="B175" s="223"/>
      <c r="C175" s="223"/>
      <c r="D175" s="223"/>
      <c r="E175" s="223"/>
      <c r="F175" s="223"/>
      <c r="G175" s="223"/>
      <c r="H175" s="223"/>
      <c r="L175" s="286"/>
      <c r="N175" s="287"/>
    </row>
    <row r="176" spans="1:14">
      <c r="A176" s="222"/>
      <c r="B176" s="223"/>
      <c r="C176" s="223"/>
      <c r="D176" s="223"/>
      <c r="E176" s="223"/>
      <c r="F176" s="223"/>
      <c r="G176" s="223"/>
      <c r="H176" s="223"/>
      <c r="L176" s="286"/>
      <c r="N176" s="287"/>
    </row>
    <row r="177" spans="1:14">
      <c r="A177" s="222"/>
      <c r="B177" s="223"/>
      <c r="C177" s="223"/>
      <c r="D177" s="223"/>
      <c r="E177" s="223"/>
      <c r="F177" s="223"/>
      <c r="G177" s="223"/>
      <c r="H177" s="223"/>
      <c r="L177" s="286"/>
      <c r="N177" s="287"/>
    </row>
    <row r="178" spans="1:14">
      <c r="A178" s="222"/>
      <c r="B178" s="223"/>
      <c r="C178" s="223"/>
      <c r="D178" s="223"/>
      <c r="E178" s="223"/>
      <c r="F178" s="223"/>
      <c r="G178" s="223"/>
      <c r="H178" s="223"/>
      <c r="L178" s="286"/>
      <c r="N178" s="287"/>
    </row>
    <row r="179" spans="1:14">
      <c r="A179" s="222"/>
      <c r="B179" s="223"/>
      <c r="C179" s="223"/>
      <c r="D179" s="223"/>
      <c r="E179" s="223"/>
      <c r="F179" s="223"/>
      <c r="G179" s="223"/>
      <c r="H179" s="223"/>
      <c r="L179" s="286"/>
      <c r="N179" s="287"/>
    </row>
    <row r="180" spans="1:14">
      <c r="A180" s="222"/>
      <c r="B180" s="223"/>
      <c r="C180" s="223"/>
      <c r="D180" s="223"/>
      <c r="E180" s="223"/>
      <c r="F180" s="223"/>
      <c r="G180" s="224"/>
      <c r="H180" s="223"/>
      <c r="L180" s="286"/>
      <c r="N180" s="287"/>
    </row>
    <row r="181" spans="1:14">
      <c r="A181" s="222"/>
      <c r="B181" s="223"/>
      <c r="C181" s="223"/>
      <c r="D181" s="223"/>
      <c r="E181" s="223"/>
      <c r="F181" s="223"/>
      <c r="G181" s="224"/>
      <c r="H181" s="223"/>
      <c r="L181" s="286"/>
      <c r="N181" s="287"/>
    </row>
    <row r="182" spans="1:14">
      <c r="A182" s="222"/>
      <c r="B182" s="223"/>
      <c r="C182" s="223"/>
      <c r="D182" s="223"/>
      <c r="E182" s="223"/>
      <c r="F182" s="223"/>
      <c r="G182" s="224"/>
      <c r="H182" s="223"/>
      <c r="L182" s="286"/>
      <c r="N182" s="287"/>
    </row>
    <row r="183" spans="1:14">
      <c r="A183" s="222"/>
      <c r="B183" s="223"/>
      <c r="C183" s="223"/>
      <c r="D183" s="223"/>
      <c r="E183" s="223"/>
      <c r="F183" s="223"/>
      <c r="G183" s="224"/>
      <c r="H183" s="223"/>
      <c r="L183" s="286"/>
      <c r="N183" s="287"/>
    </row>
    <row r="184" spans="1:14">
      <c r="A184" s="222"/>
      <c r="B184" s="223"/>
      <c r="C184" s="223"/>
      <c r="D184" s="223"/>
      <c r="E184" s="223"/>
      <c r="F184" s="223"/>
      <c r="G184" s="223"/>
      <c r="H184" s="223"/>
      <c r="L184" s="286"/>
      <c r="N184" s="287"/>
    </row>
    <row r="185" spans="1:14">
      <c r="A185" s="222"/>
      <c r="B185" s="223"/>
      <c r="C185" s="223"/>
      <c r="D185" s="223"/>
      <c r="E185" s="223"/>
      <c r="F185" s="223"/>
      <c r="G185" s="223"/>
      <c r="H185" s="223"/>
      <c r="L185" s="286"/>
      <c r="N185" s="287"/>
    </row>
    <row r="186" spans="1:14">
      <c r="A186" s="222"/>
      <c r="B186" s="223"/>
      <c r="C186" s="223"/>
      <c r="D186" s="223"/>
      <c r="E186" s="223"/>
      <c r="F186" s="223"/>
      <c r="G186" s="223"/>
      <c r="H186" s="223"/>
      <c r="L186" s="286"/>
      <c r="N186" s="287"/>
    </row>
    <row r="187" spans="1:14">
      <c r="A187" s="222"/>
      <c r="B187" s="223"/>
      <c r="C187" s="223"/>
      <c r="D187" s="223"/>
      <c r="E187" s="223"/>
      <c r="F187" s="223"/>
      <c r="G187" s="223"/>
      <c r="H187" s="223"/>
      <c r="L187" s="286"/>
      <c r="N187" s="287"/>
    </row>
    <row r="188" spans="1:14">
      <c r="A188" s="222"/>
      <c r="B188" s="223"/>
      <c r="C188" s="223"/>
      <c r="D188" s="223"/>
      <c r="E188" s="223"/>
      <c r="F188" s="223"/>
      <c r="G188" s="223"/>
      <c r="H188" s="223"/>
      <c r="L188" s="286"/>
      <c r="N188" s="287"/>
    </row>
    <row r="189" spans="1:14">
      <c r="A189" s="222"/>
      <c r="B189" s="223"/>
      <c r="C189" s="223"/>
      <c r="D189" s="223"/>
      <c r="E189" s="223"/>
      <c r="F189" s="223"/>
      <c r="G189" s="223"/>
      <c r="H189" s="223"/>
      <c r="L189" s="286"/>
      <c r="N189" s="287"/>
    </row>
    <row r="190" spans="1:14">
      <c r="A190" s="222"/>
      <c r="B190" s="223"/>
      <c r="C190" s="223"/>
      <c r="D190" s="223"/>
      <c r="E190" s="223"/>
      <c r="F190" s="223"/>
      <c r="G190" s="223"/>
      <c r="H190" s="223"/>
      <c r="L190" s="286"/>
      <c r="N190" s="287"/>
    </row>
    <row r="191" spans="1:14">
      <c r="A191" s="222"/>
      <c r="B191" s="223"/>
      <c r="C191" s="223"/>
      <c r="D191" s="223"/>
      <c r="E191" s="223"/>
      <c r="F191" s="223"/>
      <c r="G191" s="223"/>
      <c r="H191" s="223"/>
      <c r="L191" s="286"/>
      <c r="N191" s="287"/>
    </row>
    <row r="192" spans="1:14">
      <c r="A192" s="222"/>
      <c r="B192" s="223"/>
      <c r="C192" s="223"/>
      <c r="D192" s="223"/>
      <c r="E192" s="223"/>
      <c r="F192" s="223"/>
      <c r="G192" s="224"/>
      <c r="H192" s="223"/>
      <c r="L192" s="286"/>
      <c r="N192" s="287"/>
    </row>
    <row r="193" spans="1:14">
      <c r="A193" s="222"/>
      <c r="B193" s="223"/>
      <c r="C193" s="223"/>
      <c r="D193" s="223"/>
      <c r="E193" s="223"/>
      <c r="F193" s="223"/>
      <c r="G193" s="224"/>
      <c r="H193" s="223"/>
      <c r="L193" s="286"/>
      <c r="N193" s="287"/>
    </row>
    <row r="194" spans="1:14">
      <c r="A194" s="222"/>
      <c r="B194" s="223"/>
      <c r="C194" s="223"/>
      <c r="D194" s="223"/>
      <c r="E194" s="223"/>
      <c r="F194" s="223"/>
      <c r="G194" s="224"/>
      <c r="H194" s="223"/>
      <c r="L194" s="286"/>
      <c r="N194" s="287"/>
    </row>
    <row r="195" spans="1:14">
      <c r="A195" s="222"/>
      <c r="B195" s="223"/>
      <c r="C195" s="223"/>
      <c r="D195" s="223"/>
      <c r="E195" s="223"/>
      <c r="F195" s="223"/>
      <c r="G195" s="224"/>
      <c r="H195" s="223"/>
      <c r="L195" s="286"/>
      <c r="N195" s="287"/>
    </row>
    <row r="196" spans="1:14">
      <c r="A196" s="222"/>
      <c r="B196" s="223"/>
      <c r="C196" s="223"/>
      <c r="D196" s="223"/>
      <c r="E196" s="223"/>
      <c r="F196" s="223"/>
      <c r="G196" s="223"/>
      <c r="H196" s="223"/>
      <c r="L196" s="286"/>
      <c r="N196" s="287"/>
    </row>
    <row r="197" spans="1:14">
      <c r="A197" s="222"/>
      <c r="B197" s="223"/>
      <c r="C197" s="223"/>
      <c r="D197" s="223"/>
      <c r="E197" s="223"/>
      <c r="F197" s="223"/>
      <c r="G197" s="223"/>
      <c r="H197" s="223"/>
      <c r="L197" s="286"/>
      <c r="N197" s="287"/>
    </row>
    <row r="198" spans="1:14">
      <c r="A198" s="222"/>
      <c r="B198" s="223"/>
      <c r="C198" s="223"/>
      <c r="D198" s="223"/>
      <c r="E198" s="223"/>
      <c r="F198" s="223"/>
      <c r="G198" s="223"/>
      <c r="H198" s="223"/>
      <c r="L198" s="286"/>
      <c r="N198" s="287"/>
    </row>
    <row r="199" spans="1:14">
      <c r="A199" s="222"/>
      <c r="B199" s="223"/>
      <c r="C199" s="223"/>
      <c r="D199" s="223"/>
      <c r="E199" s="223"/>
      <c r="F199" s="223"/>
      <c r="G199" s="223"/>
      <c r="H199" s="223"/>
      <c r="L199" s="286"/>
      <c r="N199" s="287"/>
    </row>
    <row r="200" spans="1:14">
      <c r="A200" s="222"/>
      <c r="B200" s="223"/>
      <c r="C200" s="223"/>
      <c r="D200" s="223"/>
      <c r="E200" s="223"/>
      <c r="F200" s="223"/>
      <c r="G200" s="223"/>
      <c r="H200" s="223"/>
      <c r="L200" s="286"/>
      <c r="N200" s="287"/>
    </row>
    <row r="201" spans="1:14">
      <c r="A201" s="222"/>
      <c r="B201" s="223"/>
      <c r="C201" s="223"/>
      <c r="D201" s="223"/>
      <c r="E201" s="223"/>
      <c r="F201" s="223"/>
      <c r="G201" s="223"/>
      <c r="H201" s="223"/>
      <c r="L201" s="286"/>
      <c r="N201" s="287"/>
    </row>
    <row r="202" spans="1:14">
      <c r="A202" s="222"/>
      <c r="B202" s="223"/>
      <c r="C202" s="223"/>
      <c r="D202" s="223"/>
      <c r="E202" s="223"/>
      <c r="F202" s="223"/>
      <c r="G202" s="223"/>
      <c r="H202" s="223"/>
      <c r="L202" s="331"/>
      <c r="N202" s="287"/>
    </row>
    <row r="203" spans="1:14">
      <c r="A203" s="222"/>
      <c r="B203" s="223"/>
      <c r="C203" s="223"/>
      <c r="D203" s="223"/>
      <c r="E203" s="223"/>
      <c r="F203" s="223"/>
      <c r="G203" s="223"/>
      <c r="H203" s="223"/>
      <c r="L203" s="331"/>
      <c r="N203" s="287"/>
    </row>
    <row r="204" spans="1:14">
      <c r="A204" s="222"/>
      <c r="B204" s="223"/>
      <c r="C204" s="223"/>
      <c r="D204" s="223"/>
      <c r="E204" s="223"/>
      <c r="F204" s="223"/>
      <c r="G204" s="224"/>
      <c r="H204" s="223"/>
      <c r="L204" s="331"/>
      <c r="N204" s="287"/>
    </row>
    <row r="205" spans="1:14">
      <c r="A205" s="222"/>
      <c r="B205" s="223"/>
      <c r="C205" s="223"/>
      <c r="D205" s="223"/>
      <c r="E205" s="223"/>
      <c r="F205" s="223"/>
      <c r="G205" s="224"/>
      <c r="H205" s="223"/>
      <c r="L205" s="331"/>
      <c r="N205" s="287"/>
    </row>
    <row r="206" spans="1:14">
      <c r="A206" s="222"/>
      <c r="B206" s="223"/>
      <c r="C206" s="223"/>
      <c r="D206" s="223"/>
      <c r="E206" s="223"/>
      <c r="F206" s="223"/>
      <c r="G206" s="224"/>
      <c r="H206" s="223"/>
      <c r="L206" s="331"/>
      <c r="N206" s="287"/>
    </row>
    <row r="207" spans="1:14">
      <c r="A207" s="222"/>
      <c r="B207" s="223"/>
      <c r="C207" s="223"/>
      <c r="D207" s="223"/>
      <c r="E207" s="223"/>
      <c r="F207" s="223"/>
      <c r="G207" s="224"/>
      <c r="H207" s="223"/>
      <c r="L207" s="286"/>
      <c r="N207" s="287"/>
    </row>
    <row r="208" spans="1:14">
      <c r="A208" s="222"/>
      <c r="B208" s="223"/>
      <c r="C208" s="223"/>
      <c r="D208" s="223"/>
      <c r="E208" s="223"/>
      <c r="F208" s="223"/>
      <c r="G208" s="223"/>
      <c r="H208" s="223"/>
      <c r="L208" s="286"/>
      <c r="N208" s="287"/>
    </row>
    <row r="209" spans="1:14">
      <c r="A209" s="222"/>
      <c r="B209" s="223"/>
      <c r="C209" s="223"/>
      <c r="D209" s="223"/>
      <c r="E209" s="223"/>
      <c r="F209" s="223"/>
      <c r="G209" s="223"/>
      <c r="H209" s="223"/>
      <c r="L209" s="286"/>
      <c r="N209" s="287"/>
    </row>
    <row r="210" spans="1:14">
      <c r="A210" s="222"/>
      <c r="B210" s="223"/>
      <c r="C210" s="223"/>
      <c r="D210" s="223"/>
      <c r="E210" s="223"/>
      <c r="F210" s="223"/>
      <c r="G210" s="223"/>
      <c r="H210" s="223"/>
      <c r="L210" s="286"/>
      <c r="N210" s="287"/>
    </row>
    <row r="211" spans="1:14">
      <c r="A211" s="222"/>
      <c r="B211" s="223"/>
      <c r="C211" s="223"/>
      <c r="D211" s="223"/>
      <c r="E211" s="223"/>
      <c r="F211" s="223"/>
      <c r="G211" s="223"/>
      <c r="H211" s="223"/>
      <c r="L211" s="286"/>
      <c r="N211" s="287"/>
    </row>
    <row r="212" spans="1:14">
      <c r="A212" s="222"/>
      <c r="B212" s="223"/>
      <c r="C212" s="223"/>
      <c r="D212" s="223"/>
      <c r="E212" s="223"/>
      <c r="F212" s="223"/>
      <c r="G212" s="224"/>
      <c r="H212" s="223"/>
      <c r="L212" s="286"/>
      <c r="N212" s="287"/>
    </row>
    <row r="213" spans="1:14">
      <c r="A213" s="222"/>
      <c r="B213" s="223"/>
      <c r="C213" s="223"/>
      <c r="D213" s="223"/>
      <c r="E213" s="223"/>
      <c r="F213" s="223"/>
      <c r="G213" s="224"/>
      <c r="H213" s="223"/>
      <c r="L213" s="286"/>
      <c r="N213" s="287"/>
    </row>
    <row r="214" spans="1:14">
      <c r="A214" s="222"/>
      <c r="B214" s="223"/>
      <c r="C214" s="223"/>
      <c r="D214" s="223"/>
      <c r="E214" s="223"/>
      <c r="F214" s="223"/>
      <c r="G214" s="223"/>
      <c r="H214" s="223"/>
      <c r="L214" s="286"/>
      <c r="N214" s="287"/>
    </row>
    <row r="215" spans="1:14">
      <c r="A215" s="222"/>
      <c r="B215" s="223"/>
      <c r="C215" s="223"/>
      <c r="D215" s="223"/>
      <c r="E215" s="223"/>
      <c r="F215" s="223"/>
      <c r="G215" s="223"/>
      <c r="H215" s="223"/>
      <c r="L215" s="286"/>
      <c r="N215" s="287"/>
    </row>
    <row r="216" spans="1:14">
      <c r="A216" s="222"/>
      <c r="B216" s="223"/>
      <c r="C216" s="223"/>
      <c r="D216" s="223"/>
      <c r="E216" s="223"/>
      <c r="F216" s="223"/>
      <c r="G216" s="223"/>
      <c r="H216" s="223"/>
      <c r="L216" s="286"/>
      <c r="N216" s="287"/>
    </row>
    <row r="217" spans="1:14">
      <c r="A217" s="222"/>
      <c r="B217" s="223"/>
      <c r="C217" s="223"/>
      <c r="D217" s="223"/>
      <c r="E217" s="223"/>
      <c r="F217" s="223"/>
      <c r="G217" s="223"/>
      <c r="H217" s="223"/>
      <c r="L217" s="286"/>
      <c r="N217" s="287"/>
    </row>
    <row r="218" spans="1:14">
      <c r="A218" s="222"/>
      <c r="B218" s="223"/>
      <c r="C218" s="223"/>
      <c r="D218" s="223"/>
      <c r="E218" s="223"/>
      <c r="F218" s="223"/>
      <c r="G218" s="224"/>
      <c r="H218" s="223"/>
      <c r="L218" s="286"/>
      <c r="N218" s="287"/>
    </row>
    <row r="219" spans="1:14">
      <c r="A219" s="222"/>
      <c r="B219" s="223"/>
      <c r="C219" s="223"/>
      <c r="D219" s="223"/>
      <c r="E219" s="223"/>
      <c r="F219" s="223"/>
      <c r="G219" s="224"/>
      <c r="H219" s="223"/>
      <c r="L219" s="286"/>
      <c r="N219" s="287"/>
    </row>
    <row r="220" spans="1:14">
      <c r="A220" s="222"/>
      <c r="B220" s="223"/>
      <c r="C220" s="223"/>
      <c r="D220" s="223"/>
      <c r="E220" s="223"/>
      <c r="F220" s="223"/>
      <c r="G220" s="223"/>
      <c r="H220" s="223"/>
      <c r="L220" s="286"/>
      <c r="N220" s="287"/>
    </row>
    <row r="221" spans="1:14">
      <c r="A221" s="222"/>
      <c r="B221" s="223"/>
      <c r="C221" s="223"/>
      <c r="D221" s="223"/>
      <c r="E221" s="223"/>
      <c r="F221" s="223"/>
      <c r="G221" s="223"/>
      <c r="H221" s="223"/>
      <c r="L221" s="286"/>
      <c r="N221" s="287"/>
    </row>
    <row r="222" spans="1:14">
      <c r="A222" s="222"/>
      <c r="B222" s="223"/>
      <c r="C222" s="223"/>
      <c r="D222" s="223"/>
      <c r="E222" s="223"/>
      <c r="F222" s="223"/>
      <c r="G222" s="223"/>
      <c r="H222" s="223"/>
      <c r="L222" s="286"/>
      <c r="N222" s="287"/>
    </row>
    <row r="223" spans="1:14">
      <c r="A223" s="222"/>
      <c r="B223" s="223"/>
      <c r="C223" s="223"/>
      <c r="D223" s="223"/>
      <c r="E223" s="223"/>
      <c r="F223" s="223"/>
      <c r="G223" s="223"/>
      <c r="H223" s="223"/>
      <c r="L223" s="286"/>
      <c r="N223" s="287"/>
    </row>
    <row r="224" spans="1:14">
      <c r="A224" s="222"/>
      <c r="B224" s="223"/>
      <c r="C224" s="223"/>
      <c r="D224" s="223"/>
      <c r="E224" s="223"/>
      <c r="F224" s="223"/>
      <c r="G224" s="224"/>
      <c r="H224" s="223"/>
      <c r="L224" s="286"/>
      <c r="N224" s="287"/>
    </row>
    <row r="225" spans="1:14">
      <c r="A225" s="222"/>
      <c r="B225" s="223"/>
      <c r="C225" s="223"/>
      <c r="D225" s="223"/>
      <c r="E225" s="223"/>
      <c r="F225" s="223"/>
      <c r="G225" s="224"/>
      <c r="H225" s="223"/>
      <c r="L225" s="286"/>
      <c r="N225" s="287"/>
    </row>
    <row r="226" spans="1:14">
      <c r="A226" s="222"/>
      <c r="B226" s="223"/>
      <c r="C226" s="223"/>
      <c r="D226" s="223"/>
      <c r="E226" s="223"/>
      <c r="F226" s="223"/>
      <c r="G226" s="223"/>
      <c r="H226" s="223"/>
      <c r="L226" s="286"/>
      <c r="N226" s="287"/>
    </row>
    <row r="227" spans="1:14">
      <c r="A227" s="222"/>
      <c r="B227" s="223"/>
      <c r="C227" s="223"/>
      <c r="D227" s="223"/>
      <c r="E227" s="223"/>
      <c r="F227" s="223"/>
      <c r="G227" s="223"/>
      <c r="H227" s="223"/>
      <c r="L227" s="286"/>
      <c r="N227" s="287"/>
    </row>
    <row r="228" spans="1:14">
      <c r="A228" s="222"/>
      <c r="B228" s="223"/>
      <c r="C228" s="223"/>
      <c r="D228" s="223"/>
      <c r="E228" s="223"/>
      <c r="F228" s="223"/>
      <c r="G228" s="223"/>
      <c r="H228" s="223"/>
      <c r="L228" s="286"/>
      <c r="N228" s="287"/>
    </row>
    <row r="229" spans="1:14">
      <c r="A229" s="222"/>
      <c r="B229" s="223"/>
      <c r="C229" s="223"/>
      <c r="D229" s="223"/>
      <c r="E229" s="223"/>
      <c r="F229" s="223"/>
      <c r="G229" s="223"/>
      <c r="H229" s="223"/>
      <c r="L229" s="286"/>
      <c r="N229" s="287"/>
    </row>
    <row r="230" spans="1:14">
      <c r="A230" s="222"/>
      <c r="B230" s="223"/>
      <c r="C230" s="223"/>
      <c r="D230" s="223"/>
      <c r="E230" s="223"/>
      <c r="F230" s="223"/>
      <c r="G230" s="224"/>
      <c r="H230" s="223"/>
      <c r="L230" s="286"/>
      <c r="N230" s="287"/>
    </row>
    <row r="231" spans="1:14">
      <c r="A231" s="222"/>
      <c r="B231" s="223"/>
      <c r="C231" s="223"/>
      <c r="D231" s="223"/>
      <c r="E231" s="223"/>
      <c r="F231" s="223"/>
      <c r="G231" s="224"/>
      <c r="H231" s="223"/>
      <c r="L231" s="286"/>
      <c r="N231" s="287"/>
    </row>
    <row r="232" spans="1:14">
      <c r="A232" s="222"/>
      <c r="B232" s="223"/>
      <c r="C232" s="223"/>
      <c r="D232" s="223"/>
      <c r="E232" s="223"/>
      <c r="F232" s="223"/>
      <c r="G232" s="223"/>
      <c r="H232" s="223"/>
      <c r="L232" s="286"/>
      <c r="N232" s="287"/>
    </row>
    <row r="233" spans="1:14">
      <c r="A233" s="222"/>
      <c r="B233" s="223"/>
      <c r="C233" s="223"/>
      <c r="D233" s="223"/>
      <c r="E233" s="223"/>
      <c r="F233" s="223"/>
      <c r="G233" s="223"/>
      <c r="H233" s="223"/>
      <c r="L233" s="286"/>
      <c r="N233" s="287"/>
    </row>
    <row r="234" spans="1:14">
      <c r="A234" s="222"/>
      <c r="B234" s="223"/>
      <c r="C234" s="223"/>
      <c r="D234" s="223"/>
      <c r="E234" s="223"/>
      <c r="F234" s="223"/>
      <c r="G234" s="223"/>
      <c r="H234" s="223"/>
      <c r="L234" s="286"/>
      <c r="N234" s="287"/>
    </row>
    <row r="235" spans="1:14">
      <c r="A235" s="222"/>
      <c r="B235" s="223"/>
      <c r="C235" s="223"/>
      <c r="D235" s="223"/>
      <c r="E235" s="223"/>
      <c r="F235" s="223"/>
      <c r="G235" s="223"/>
      <c r="H235" s="223"/>
      <c r="L235" s="286"/>
      <c r="N235" s="287"/>
    </row>
    <row r="236" spans="1:14">
      <c r="A236" s="222"/>
      <c r="B236" s="223"/>
      <c r="C236" s="223"/>
      <c r="D236" s="223"/>
      <c r="E236" s="223"/>
      <c r="F236" s="223"/>
      <c r="G236" s="224"/>
      <c r="H236" s="223"/>
      <c r="L236" s="286"/>
      <c r="N236" s="287"/>
    </row>
    <row r="237" spans="1:14">
      <c r="A237" s="222"/>
      <c r="B237" s="223"/>
      <c r="C237" s="223"/>
      <c r="D237" s="223"/>
      <c r="E237" s="223"/>
      <c r="F237" s="223"/>
      <c r="G237" s="224"/>
      <c r="H237" s="223"/>
      <c r="L237" s="286"/>
      <c r="N237" s="287"/>
    </row>
    <row r="238" spans="1:14">
      <c r="A238" s="222"/>
      <c r="B238" s="223"/>
      <c r="C238" s="223"/>
      <c r="D238" s="223"/>
      <c r="E238" s="223"/>
      <c r="F238" s="223"/>
      <c r="G238" s="223"/>
      <c r="H238" s="223"/>
      <c r="L238" s="286"/>
      <c r="N238" s="287"/>
    </row>
    <row r="239" spans="1:14">
      <c r="A239" s="222"/>
      <c r="B239" s="223"/>
      <c r="C239" s="223"/>
      <c r="D239" s="223"/>
      <c r="E239" s="223"/>
      <c r="F239" s="223"/>
      <c r="G239" s="223"/>
      <c r="H239" s="223"/>
      <c r="L239" s="286"/>
      <c r="N239" s="287"/>
    </row>
    <row r="240" spans="1:14">
      <c r="A240" s="222"/>
      <c r="B240" s="223"/>
      <c r="C240" s="223"/>
      <c r="D240" s="223"/>
      <c r="E240" s="223"/>
      <c r="F240" s="223"/>
      <c r="G240" s="223"/>
      <c r="H240" s="223"/>
      <c r="L240" s="286"/>
      <c r="N240" s="287"/>
    </row>
    <row r="241" spans="1:14">
      <c r="A241" s="222"/>
      <c r="B241" s="223"/>
      <c r="C241" s="223"/>
      <c r="D241" s="223"/>
      <c r="E241" s="223"/>
      <c r="F241" s="223"/>
      <c r="G241" s="223"/>
      <c r="H241" s="223"/>
      <c r="L241" s="286"/>
      <c r="N241" s="287"/>
    </row>
    <row r="242" spans="1:14">
      <c r="A242" s="222"/>
      <c r="B242" s="223"/>
      <c r="C242" s="223"/>
      <c r="D242" s="223"/>
      <c r="E242" s="223"/>
      <c r="F242" s="223"/>
      <c r="G242" s="223"/>
      <c r="H242" s="223"/>
      <c r="L242" s="286"/>
      <c r="N242" s="287"/>
    </row>
    <row r="243" spans="1:14">
      <c r="A243" s="222"/>
      <c r="B243" s="223"/>
      <c r="C243" s="223"/>
      <c r="D243" s="223"/>
      <c r="E243" s="223"/>
      <c r="F243" s="223"/>
      <c r="G243" s="223"/>
      <c r="H243" s="223"/>
      <c r="L243" s="286"/>
      <c r="N243" s="287"/>
    </row>
    <row r="244" spans="1:14">
      <c r="A244" s="222"/>
      <c r="B244" s="223"/>
      <c r="C244" s="223"/>
      <c r="D244" s="223"/>
      <c r="E244" s="223"/>
      <c r="F244" s="223"/>
      <c r="G244" s="223"/>
      <c r="H244" s="223"/>
      <c r="L244" s="286"/>
      <c r="N244" s="287"/>
    </row>
    <row r="245" spans="1:14">
      <c r="A245" s="222"/>
      <c r="B245" s="223"/>
      <c r="C245" s="223"/>
      <c r="D245" s="223"/>
      <c r="E245" s="223"/>
      <c r="F245" s="223"/>
      <c r="G245" s="223"/>
      <c r="H245" s="223"/>
      <c r="L245" s="286"/>
      <c r="N245" s="287"/>
    </row>
    <row r="246" spans="1:14">
      <c r="A246" s="222"/>
      <c r="B246" s="223"/>
      <c r="C246" s="223"/>
      <c r="D246" s="223"/>
      <c r="E246" s="223"/>
      <c r="F246" s="223"/>
      <c r="G246" s="224"/>
      <c r="H246" s="223"/>
      <c r="L246" s="286"/>
      <c r="N246" s="287"/>
    </row>
    <row r="247" spans="1:14">
      <c r="A247" s="222"/>
      <c r="B247" s="223"/>
      <c r="C247" s="223"/>
      <c r="D247" s="223"/>
      <c r="E247" s="223"/>
      <c r="F247" s="223"/>
      <c r="G247" s="224"/>
      <c r="H247" s="223"/>
      <c r="L247" s="286"/>
      <c r="N247" s="287"/>
    </row>
    <row r="248" spans="1:14">
      <c r="A248" s="222"/>
      <c r="B248" s="223"/>
      <c r="C248" s="223"/>
      <c r="D248" s="223"/>
      <c r="E248" s="223"/>
      <c r="F248" s="223"/>
      <c r="G248" s="224"/>
      <c r="H248" s="223"/>
      <c r="L248" s="286"/>
      <c r="N248" s="287"/>
    </row>
    <row r="249" spans="1:14">
      <c r="A249" s="222"/>
      <c r="B249" s="223"/>
      <c r="C249" s="223"/>
      <c r="D249" s="223"/>
      <c r="E249" s="223"/>
      <c r="F249" s="223"/>
      <c r="G249" s="224"/>
      <c r="H249" s="223"/>
      <c r="L249" s="286"/>
      <c r="N249" s="287"/>
    </row>
    <row r="250" spans="1:14">
      <c r="A250" s="222"/>
      <c r="B250" s="223"/>
      <c r="C250" s="223"/>
      <c r="D250" s="223"/>
      <c r="E250" s="223"/>
      <c r="F250" s="223"/>
      <c r="G250" s="223"/>
      <c r="H250" s="223"/>
      <c r="L250" s="286"/>
      <c r="N250" s="287"/>
    </row>
    <row r="251" spans="1:14">
      <c r="A251" s="222"/>
      <c r="B251" s="223"/>
      <c r="C251" s="223"/>
      <c r="D251" s="223"/>
      <c r="E251" s="223"/>
      <c r="F251" s="223"/>
      <c r="G251" s="223"/>
      <c r="H251" s="223"/>
      <c r="L251" s="286"/>
      <c r="N251" s="287"/>
    </row>
    <row r="252" spans="1:14">
      <c r="A252" s="222"/>
      <c r="B252" s="223"/>
      <c r="C252" s="223"/>
      <c r="D252" s="223"/>
      <c r="E252" s="223"/>
      <c r="F252" s="223"/>
      <c r="G252" s="223"/>
      <c r="H252" s="223"/>
      <c r="L252" s="286"/>
      <c r="N252" s="287"/>
    </row>
    <row r="253" spans="1:14">
      <c r="A253" s="222"/>
      <c r="B253" s="223"/>
      <c r="C253" s="223"/>
      <c r="D253" s="223"/>
      <c r="E253" s="223"/>
      <c r="F253" s="223"/>
      <c r="G253" s="223"/>
      <c r="H253" s="223"/>
      <c r="L253" s="286"/>
      <c r="N253" s="287"/>
    </row>
    <row r="254" spans="1:14">
      <c r="A254" s="222"/>
      <c r="B254" s="223"/>
      <c r="C254" s="223"/>
      <c r="D254" s="223"/>
      <c r="E254" s="223"/>
      <c r="F254" s="223"/>
      <c r="G254" s="223"/>
      <c r="H254" s="223"/>
      <c r="L254" s="286"/>
      <c r="N254" s="287"/>
    </row>
    <row r="255" spans="1:14">
      <c r="A255" s="222"/>
      <c r="B255" s="223"/>
      <c r="C255" s="223"/>
      <c r="D255" s="223"/>
      <c r="E255" s="223"/>
      <c r="F255" s="223"/>
      <c r="G255" s="224"/>
      <c r="H255" s="223"/>
      <c r="L255" s="286"/>
      <c r="N255" s="287"/>
    </row>
    <row r="256" spans="1:14">
      <c r="A256" s="222"/>
      <c r="B256" s="223"/>
      <c r="C256" s="223"/>
      <c r="D256" s="223"/>
      <c r="E256" s="223"/>
      <c r="F256" s="223"/>
      <c r="G256" s="224"/>
      <c r="H256" s="223"/>
      <c r="L256" s="286"/>
      <c r="N256" s="287"/>
    </row>
    <row r="257" spans="1:14">
      <c r="A257" s="222"/>
      <c r="B257" s="223"/>
      <c r="C257" s="223"/>
      <c r="D257" s="223"/>
      <c r="E257" s="223"/>
      <c r="F257" s="223"/>
      <c r="G257" s="223"/>
      <c r="H257" s="223"/>
      <c r="L257" s="286"/>
      <c r="N257" s="287"/>
    </row>
    <row r="258" spans="1:14">
      <c r="A258" s="222"/>
      <c r="B258" s="223"/>
      <c r="C258" s="223"/>
      <c r="D258" s="223"/>
      <c r="E258" s="223"/>
      <c r="F258" s="223"/>
      <c r="G258" s="223"/>
      <c r="H258" s="223"/>
      <c r="L258" s="286"/>
      <c r="N258" s="287"/>
    </row>
    <row r="259" spans="1:14">
      <c r="A259" s="222"/>
      <c r="B259" s="223"/>
      <c r="C259" s="223"/>
      <c r="D259" s="223"/>
      <c r="E259" s="223"/>
      <c r="F259" s="223"/>
      <c r="G259" s="223"/>
      <c r="H259" s="223"/>
      <c r="L259" s="286"/>
      <c r="N259" s="287"/>
    </row>
    <row r="260" spans="1:14">
      <c r="A260" s="222"/>
      <c r="B260" s="223"/>
      <c r="C260" s="223"/>
      <c r="D260" s="223"/>
      <c r="E260" s="223"/>
      <c r="F260" s="223"/>
      <c r="G260" s="223"/>
      <c r="H260" s="223"/>
      <c r="L260" s="286"/>
      <c r="N260" s="287"/>
    </row>
    <row r="261" spans="1:14">
      <c r="A261" s="222"/>
      <c r="B261" s="223"/>
      <c r="C261" s="223"/>
      <c r="D261" s="223"/>
      <c r="E261" s="223"/>
      <c r="F261" s="223"/>
      <c r="G261" s="223"/>
      <c r="H261" s="223"/>
      <c r="L261" s="286"/>
      <c r="N261" s="287"/>
    </row>
    <row r="262" spans="1:14">
      <c r="A262" s="222"/>
      <c r="B262" s="223"/>
      <c r="C262" s="223"/>
      <c r="D262" s="223"/>
      <c r="E262" s="223"/>
      <c r="F262" s="223"/>
      <c r="G262" s="223"/>
      <c r="H262" s="223"/>
      <c r="L262" s="286"/>
      <c r="N262" s="287"/>
    </row>
    <row r="263" spans="1:14">
      <c r="A263" s="222"/>
      <c r="B263" s="223"/>
      <c r="C263" s="223"/>
      <c r="D263" s="223"/>
      <c r="E263" s="223"/>
      <c r="F263" s="223"/>
      <c r="G263" s="223"/>
      <c r="H263" s="223"/>
      <c r="L263" s="286"/>
      <c r="N263" s="287"/>
    </row>
    <row r="264" spans="1:14">
      <c r="A264" s="222"/>
      <c r="B264" s="223"/>
      <c r="C264" s="223"/>
      <c r="D264" s="223"/>
      <c r="E264" s="223"/>
      <c r="F264" s="223"/>
      <c r="G264" s="223"/>
      <c r="H264" s="223"/>
      <c r="L264" s="286"/>
      <c r="N264" s="287"/>
    </row>
    <row r="265" spans="1:14">
      <c r="A265" s="222"/>
      <c r="B265" s="223"/>
      <c r="C265" s="223"/>
      <c r="D265" s="223"/>
      <c r="E265" s="223"/>
      <c r="F265" s="223"/>
      <c r="G265" s="224"/>
      <c r="H265" s="223"/>
      <c r="L265" s="286"/>
      <c r="N265" s="287"/>
    </row>
    <row r="266" spans="1:14">
      <c r="A266" s="222"/>
      <c r="B266" s="223"/>
      <c r="C266" s="223"/>
      <c r="D266" s="223"/>
      <c r="E266" s="223"/>
      <c r="F266" s="223"/>
      <c r="G266" s="224"/>
      <c r="H266" s="223"/>
      <c r="L266" s="286"/>
      <c r="N266" s="287"/>
    </row>
    <row r="267" spans="1:14">
      <c r="A267" s="222"/>
      <c r="B267" s="223"/>
      <c r="C267" s="223"/>
      <c r="D267" s="223"/>
      <c r="E267" s="223"/>
      <c r="F267" s="223"/>
      <c r="G267" s="224"/>
      <c r="H267" s="223"/>
      <c r="L267" s="286"/>
      <c r="N267" s="287"/>
    </row>
    <row r="268" spans="1:14">
      <c r="A268" s="222"/>
      <c r="B268" s="223"/>
      <c r="C268" s="223"/>
      <c r="D268" s="223"/>
      <c r="E268" s="223"/>
      <c r="F268" s="223"/>
      <c r="G268" s="224"/>
      <c r="H268" s="223"/>
      <c r="L268" s="286"/>
      <c r="N268" s="287"/>
    </row>
    <row r="269" spans="1:14">
      <c r="A269" s="222"/>
      <c r="B269" s="223"/>
      <c r="C269" s="223"/>
      <c r="D269" s="223"/>
      <c r="E269" s="223"/>
      <c r="F269" s="223"/>
      <c r="G269" s="223"/>
      <c r="H269" s="223"/>
      <c r="L269" s="286"/>
      <c r="N269" s="287"/>
    </row>
    <row r="270" spans="1:14">
      <c r="A270" s="222"/>
      <c r="B270" s="223"/>
      <c r="C270" s="223"/>
      <c r="D270" s="223"/>
      <c r="E270" s="223"/>
      <c r="F270" s="223"/>
      <c r="G270" s="223"/>
      <c r="H270" s="223"/>
      <c r="L270" s="286"/>
      <c r="N270" s="287"/>
    </row>
    <row r="271" spans="1:14">
      <c r="A271" s="222"/>
      <c r="B271" s="223"/>
      <c r="C271" s="223"/>
      <c r="D271" s="223"/>
      <c r="E271" s="223"/>
      <c r="F271" s="223"/>
      <c r="G271" s="223"/>
      <c r="H271" s="223"/>
      <c r="L271" s="286"/>
      <c r="N271" s="287"/>
    </row>
    <row r="272" spans="1:14">
      <c r="A272" s="222"/>
      <c r="B272" s="223"/>
      <c r="C272" s="223"/>
      <c r="D272" s="223"/>
      <c r="E272" s="223"/>
      <c r="F272" s="223"/>
      <c r="G272" s="223"/>
      <c r="H272" s="223"/>
      <c r="L272" s="286"/>
      <c r="N272" s="287"/>
    </row>
    <row r="273" spans="1:14">
      <c r="A273" s="222"/>
      <c r="B273" s="223"/>
      <c r="C273" s="223"/>
      <c r="D273" s="223"/>
      <c r="E273" s="223"/>
      <c r="F273" s="223"/>
      <c r="G273" s="224"/>
      <c r="H273" s="223"/>
      <c r="L273" s="286"/>
      <c r="N273" s="287"/>
    </row>
    <row r="274" spans="1:14">
      <c r="A274" s="222"/>
      <c r="B274" s="223"/>
      <c r="C274" s="223"/>
      <c r="D274" s="223"/>
      <c r="E274" s="223"/>
      <c r="F274" s="223"/>
      <c r="G274" s="224"/>
      <c r="H274" s="223"/>
      <c r="L274" s="286"/>
      <c r="N274" s="287"/>
    </row>
    <row r="275" spans="1:14">
      <c r="A275" s="222"/>
      <c r="B275" s="223"/>
      <c r="C275" s="223"/>
      <c r="D275" s="223"/>
      <c r="E275" s="223"/>
      <c r="F275" s="223"/>
      <c r="G275" s="223"/>
      <c r="H275" s="223"/>
      <c r="L275" s="286"/>
      <c r="N275" s="287"/>
    </row>
    <row r="276" spans="1:14">
      <c r="A276" s="222"/>
      <c r="B276" s="223"/>
      <c r="C276" s="223"/>
      <c r="D276" s="223"/>
      <c r="E276" s="223"/>
      <c r="F276" s="223"/>
      <c r="G276" s="223"/>
      <c r="H276" s="223"/>
      <c r="L276" s="286"/>
      <c r="N276" s="287"/>
    </row>
    <row r="277" spans="1:14">
      <c r="A277" s="222"/>
      <c r="B277" s="223"/>
      <c r="C277" s="223"/>
      <c r="D277" s="223"/>
      <c r="E277" s="223"/>
      <c r="F277" s="223"/>
      <c r="G277" s="223"/>
      <c r="H277" s="223"/>
      <c r="L277" s="286"/>
      <c r="N277" s="287"/>
    </row>
    <row r="278" spans="1:14">
      <c r="A278" s="222"/>
      <c r="B278" s="223"/>
      <c r="C278" s="223"/>
      <c r="D278" s="223"/>
      <c r="E278" s="223"/>
      <c r="F278" s="223"/>
      <c r="G278" s="223"/>
      <c r="H278" s="223"/>
      <c r="L278" s="286"/>
      <c r="N278" s="287"/>
    </row>
    <row r="279" spans="1:14">
      <c r="A279" s="222"/>
      <c r="B279" s="223"/>
      <c r="C279" s="223"/>
      <c r="D279" s="223"/>
      <c r="E279" s="223"/>
      <c r="F279" s="223"/>
      <c r="G279" s="224"/>
      <c r="H279" s="223"/>
      <c r="L279" s="286"/>
      <c r="N279" s="287"/>
    </row>
    <row r="280" spans="1:14">
      <c r="A280" s="222"/>
      <c r="B280" s="223"/>
      <c r="C280" s="223"/>
      <c r="D280" s="223"/>
      <c r="E280" s="223"/>
      <c r="F280" s="223"/>
      <c r="G280" s="224"/>
      <c r="H280" s="223"/>
      <c r="L280" s="286"/>
      <c r="N280" s="287"/>
    </row>
    <row r="281" spans="1:14">
      <c r="A281" s="222"/>
      <c r="B281" s="223"/>
      <c r="C281" s="223"/>
      <c r="D281" s="223"/>
      <c r="E281" s="223"/>
      <c r="F281" s="223"/>
      <c r="G281" s="223"/>
      <c r="H281" s="223"/>
      <c r="L281" s="286"/>
      <c r="N281" s="287"/>
    </row>
    <row r="282" spans="1:14">
      <c r="A282" s="222"/>
      <c r="B282" s="223"/>
      <c r="C282" s="223"/>
      <c r="D282" s="223"/>
      <c r="E282" s="223"/>
      <c r="F282" s="223"/>
      <c r="G282" s="223"/>
      <c r="H282" s="223"/>
      <c r="L282" s="286"/>
      <c r="N282" s="287"/>
    </row>
    <row r="283" spans="1:14">
      <c r="A283" s="222"/>
      <c r="B283" s="223"/>
      <c r="C283" s="223"/>
      <c r="D283" s="223"/>
      <c r="E283" s="223"/>
      <c r="F283" s="223"/>
      <c r="G283" s="223"/>
      <c r="H283" s="223"/>
      <c r="L283" s="286"/>
      <c r="N283" s="287"/>
    </row>
    <row r="284" spans="1:14">
      <c r="A284" s="222"/>
      <c r="B284" s="223"/>
      <c r="C284" s="223"/>
      <c r="D284" s="223"/>
      <c r="E284" s="223"/>
      <c r="F284" s="223"/>
      <c r="G284" s="223"/>
      <c r="H284" s="223"/>
      <c r="L284" s="286"/>
      <c r="N284" s="287"/>
    </row>
    <row r="285" spans="1:14">
      <c r="A285" s="222"/>
      <c r="B285" s="223"/>
      <c r="C285" s="223"/>
      <c r="D285" s="223"/>
      <c r="E285" s="223"/>
      <c r="F285" s="223"/>
      <c r="G285" s="223"/>
      <c r="H285" s="223"/>
      <c r="L285" s="286"/>
      <c r="N285" s="287"/>
    </row>
    <row r="286" spans="1:14">
      <c r="A286" s="222"/>
      <c r="B286" s="223"/>
      <c r="C286" s="223"/>
      <c r="D286" s="223"/>
      <c r="E286" s="223"/>
      <c r="F286" s="223"/>
      <c r="G286" s="223"/>
      <c r="H286" s="223"/>
      <c r="L286" s="286"/>
      <c r="N286" s="287"/>
    </row>
    <row r="287" spans="1:14">
      <c r="A287" s="222"/>
      <c r="B287" s="223"/>
      <c r="C287" s="223"/>
      <c r="D287" s="223"/>
      <c r="E287" s="223"/>
      <c r="F287" s="223"/>
      <c r="G287" s="223"/>
      <c r="H287" s="223"/>
      <c r="L287" s="286"/>
      <c r="N287" s="287"/>
    </row>
    <row r="288" spans="1:14">
      <c r="A288" s="222"/>
      <c r="B288" s="223"/>
      <c r="C288" s="223"/>
      <c r="D288" s="223"/>
      <c r="E288" s="223"/>
      <c r="F288" s="223"/>
      <c r="G288" s="223"/>
      <c r="H288" s="223"/>
      <c r="L288" s="286"/>
      <c r="N288" s="287"/>
    </row>
    <row r="289" spans="1:14">
      <c r="A289" s="222"/>
      <c r="B289" s="223"/>
      <c r="C289" s="223"/>
      <c r="D289" s="223"/>
      <c r="E289" s="223"/>
      <c r="F289" s="223"/>
      <c r="G289" s="224"/>
      <c r="H289" s="223"/>
      <c r="L289" s="286"/>
      <c r="N289" s="287"/>
    </row>
    <row r="290" spans="1:14">
      <c r="A290" s="222"/>
      <c r="B290" s="223"/>
      <c r="C290" s="223"/>
      <c r="D290" s="223"/>
      <c r="E290" s="223"/>
      <c r="F290" s="223"/>
      <c r="G290" s="224"/>
      <c r="H290" s="223"/>
      <c r="L290" s="286"/>
      <c r="N290" s="287"/>
    </row>
    <row r="291" spans="1:14">
      <c r="A291" s="222"/>
      <c r="B291" s="223"/>
      <c r="C291" s="223"/>
      <c r="D291" s="223"/>
      <c r="E291" s="223"/>
      <c r="F291" s="223"/>
      <c r="G291" s="224"/>
      <c r="H291" s="223"/>
      <c r="L291" s="286"/>
      <c r="N291" s="287"/>
    </row>
    <row r="292" spans="1:14">
      <c r="A292" s="222"/>
      <c r="B292" s="223"/>
      <c r="C292" s="223"/>
      <c r="D292" s="223"/>
      <c r="E292" s="223"/>
      <c r="F292" s="223"/>
      <c r="G292" s="224"/>
      <c r="H292" s="223"/>
      <c r="L292" s="286"/>
      <c r="N292" s="287"/>
    </row>
    <row r="293" spans="1:14">
      <c r="A293" s="222"/>
      <c r="B293" s="223"/>
      <c r="C293" s="223"/>
      <c r="D293" s="223"/>
      <c r="E293" s="223"/>
      <c r="F293" s="223"/>
      <c r="G293" s="223"/>
      <c r="H293" s="223"/>
      <c r="L293" s="286"/>
      <c r="N293" s="287"/>
    </row>
    <row r="294" spans="1:14">
      <c r="A294" s="222"/>
      <c r="B294" s="223"/>
      <c r="C294" s="223"/>
      <c r="D294" s="223"/>
      <c r="E294" s="223"/>
      <c r="F294" s="223"/>
      <c r="G294" s="223"/>
      <c r="H294" s="223"/>
      <c r="L294" s="286"/>
      <c r="N294" s="287"/>
    </row>
    <row r="295" spans="1:14">
      <c r="A295" s="222"/>
      <c r="B295" s="223"/>
      <c r="C295" s="223"/>
      <c r="D295" s="223"/>
      <c r="E295" s="223"/>
      <c r="F295" s="223"/>
      <c r="G295" s="223"/>
      <c r="H295" s="223"/>
      <c r="L295" s="286"/>
      <c r="N295" s="287"/>
    </row>
    <row r="296" spans="1:14">
      <c r="A296" s="222"/>
      <c r="B296" s="223"/>
      <c r="C296" s="223"/>
      <c r="D296" s="223"/>
      <c r="E296" s="223"/>
      <c r="F296" s="223"/>
      <c r="G296" s="223"/>
      <c r="H296" s="223"/>
      <c r="L296" s="286"/>
      <c r="N296" s="287"/>
    </row>
    <row r="297" spans="1:14">
      <c r="A297" s="222"/>
      <c r="B297" s="223"/>
      <c r="C297" s="223"/>
      <c r="D297" s="223"/>
      <c r="E297" s="223"/>
      <c r="F297" s="223"/>
      <c r="G297" s="223"/>
      <c r="H297" s="223"/>
      <c r="L297" s="286"/>
      <c r="N297" s="287"/>
    </row>
    <row r="298" spans="1:14">
      <c r="A298" s="222"/>
      <c r="B298" s="223"/>
      <c r="C298" s="223"/>
      <c r="D298" s="223"/>
      <c r="E298" s="223"/>
      <c r="F298" s="223"/>
      <c r="G298" s="223"/>
      <c r="H298" s="223"/>
      <c r="L298" s="286"/>
      <c r="N298" s="287"/>
    </row>
    <row r="299" spans="1:14">
      <c r="A299" s="222"/>
      <c r="B299" s="223"/>
      <c r="C299" s="223"/>
      <c r="D299" s="223"/>
      <c r="E299" s="223"/>
      <c r="F299" s="223"/>
      <c r="G299" s="223"/>
      <c r="H299" s="223"/>
      <c r="L299" s="286"/>
      <c r="N299" s="287"/>
    </row>
    <row r="300" spans="1:14">
      <c r="A300" s="222"/>
      <c r="B300" s="223"/>
      <c r="C300" s="223"/>
      <c r="D300" s="223"/>
      <c r="E300" s="223"/>
      <c r="F300" s="223"/>
      <c r="G300" s="223"/>
      <c r="H300" s="223"/>
      <c r="L300" s="286"/>
      <c r="N300" s="287"/>
    </row>
    <row r="301" spans="1:14">
      <c r="A301" s="222"/>
      <c r="B301" s="223"/>
      <c r="C301" s="223"/>
      <c r="D301" s="223"/>
      <c r="E301" s="223"/>
      <c r="F301" s="223"/>
      <c r="G301" s="224"/>
      <c r="H301" s="223"/>
      <c r="L301" s="286"/>
      <c r="N301" s="287"/>
    </row>
    <row r="302" spans="1:14">
      <c r="A302" s="222"/>
      <c r="B302" s="223"/>
      <c r="C302" s="223"/>
      <c r="D302" s="223"/>
      <c r="E302" s="223"/>
      <c r="F302" s="223"/>
      <c r="G302" s="224"/>
      <c r="H302" s="223"/>
      <c r="L302" s="286"/>
      <c r="N302" s="287"/>
    </row>
    <row r="303" spans="1:14">
      <c r="A303" s="222"/>
      <c r="B303" s="223"/>
      <c r="C303" s="223"/>
      <c r="D303" s="223"/>
      <c r="E303" s="223"/>
      <c r="F303" s="223"/>
      <c r="G303" s="224"/>
      <c r="H303" s="223"/>
      <c r="L303" s="286"/>
      <c r="N303" s="287"/>
    </row>
    <row r="304" spans="1:14">
      <c r="A304" s="222"/>
      <c r="B304" s="223"/>
      <c r="C304" s="223"/>
      <c r="D304" s="223"/>
      <c r="E304" s="223"/>
      <c r="F304" s="223"/>
      <c r="G304" s="224"/>
      <c r="H304" s="223"/>
      <c r="L304" s="286"/>
      <c r="N304" s="287"/>
    </row>
    <row r="305" spans="1:14">
      <c r="A305" s="222"/>
      <c r="B305" s="223"/>
      <c r="C305" s="223"/>
      <c r="D305" s="223"/>
      <c r="E305" s="223"/>
      <c r="F305" s="223"/>
      <c r="G305" s="223"/>
      <c r="H305" s="223"/>
      <c r="L305" s="286"/>
      <c r="N305" s="287"/>
    </row>
    <row r="306" spans="1:14">
      <c r="A306" s="222"/>
      <c r="B306" s="223"/>
      <c r="C306" s="223"/>
      <c r="D306" s="223"/>
      <c r="E306" s="223"/>
      <c r="F306" s="223"/>
      <c r="G306" s="223"/>
      <c r="H306" s="223"/>
      <c r="L306" s="286"/>
      <c r="N306" s="287"/>
    </row>
    <row r="307" spans="1:14">
      <c r="A307" s="222"/>
      <c r="B307" s="223"/>
      <c r="C307" s="223"/>
      <c r="D307" s="223"/>
      <c r="E307" s="223"/>
      <c r="F307" s="223"/>
      <c r="G307" s="223"/>
      <c r="H307" s="223"/>
      <c r="L307" s="286"/>
      <c r="N307" s="287"/>
    </row>
    <row r="308" spans="1:14">
      <c r="A308" s="222"/>
      <c r="B308" s="223"/>
      <c r="C308" s="223"/>
      <c r="D308" s="223"/>
      <c r="E308" s="223"/>
      <c r="F308" s="223"/>
      <c r="G308" s="223"/>
      <c r="H308" s="223"/>
      <c r="L308" s="286"/>
      <c r="N308" s="287"/>
    </row>
    <row r="309" spans="1:14">
      <c r="A309" s="222"/>
      <c r="B309" s="223"/>
      <c r="C309" s="223"/>
      <c r="D309" s="223"/>
      <c r="E309" s="223"/>
      <c r="F309" s="223"/>
      <c r="G309" s="223"/>
      <c r="H309" s="223"/>
      <c r="L309" s="286"/>
      <c r="N309" s="287"/>
    </row>
    <row r="310" spans="1:14">
      <c r="A310" s="222"/>
      <c r="B310" s="223"/>
      <c r="C310" s="223"/>
      <c r="D310" s="223"/>
      <c r="E310" s="223"/>
      <c r="F310" s="223"/>
      <c r="G310" s="223"/>
      <c r="H310" s="223"/>
      <c r="L310" s="286"/>
      <c r="N310" s="287"/>
    </row>
    <row r="311" spans="1:14">
      <c r="A311" s="222"/>
      <c r="B311" s="223"/>
      <c r="C311" s="223"/>
      <c r="D311" s="223"/>
      <c r="E311" s="223"/>
      <c r="F311" s="223"/>
      <c r="G311" s="223"/>
      <c r="H311" s="223"/>
      <c r="L311" s="286"/>
      <c r="N311" s="287"/>
    </row>
    <row r="312" spans="1:14">
      <c r="A312" s="222"/>
      <c r="B312" s="223"/>
      <c r="C312" s="223"/>
      <c r="D312" s="223"/>
      <c r="E312" s="223"/>
      <c r="F312" s="223"/>
      <c r="G312" s="223"/>
      <c r="H312" s="223"/>
      <c r="L312" s="286"/>
      <c r="N312" s="287"/>
    </row>
    <row r="313" spans="1:14">
      <c r="A313" s="222"/>
      <c r="B313" s="223"/>
      <c r="C313" s="223"/>
      <c r="D313" s="223"/>
      <c r="E313" s="223"/>
      <c r="F313" s="223"/>
      <c r="G313" s="224"/>
      <c r="H313" s="223"/>
      <c r="L313" s="286"/>
      <c r="N313" s="287"/>
    </row>
    <row r="314" spans="1:14">
      <c r="A314" s="222"/>
      <c r="B314" s="223"/>
      <c r="C314" s="223"/>
      <c r="D314" s="223"/>
      <c r="E314" s="223"/>
      <c r="F314" s="223"/>
      <c r="G314" s="224"/>
      <c r="H314" s="223"/>
      <c r="L314" s="286"/>
      <c r="N314" s="287"/>
    </row>
    <row r="315" spans="1:14">
      <c r="A315" s="222"/>
      <c r="B315" s="223"/>
      <c r="C315" s="223"/>
      <c r="D315" s="223"/>
      <c r="E315" s="223"/>
      <c r="F315" s="223"/>
      <c r="G315" s="224"/>
      <c r="H315" s="223"/>
      <c r="L315" s="286"/>
      <c r="N315" s="287"/>
    </row>
    <row r="316" spans="1:14">
      <c r="A316" s="222"/>
      <c r="B316" s="223"/>
      <c r="C316" s="223"/>
      <c r="D316" s="223"/>
      <c r="E316" s="223"/>
      <c r="F316" s="223"/>
      <c r="G316" s="224"/>
      <c r="H316" s="223"/>
      <c r="L316" s="286"/>
      <c r="N316" s="287"/>
    </row>
    <row r="317" spans="1:14">
      <c r="A317" s="222"/>
      <c r="B317" s="223"/>
      <c r="C317" s="223"/>
      <c r="D317" s="223"/>
      <c r="E317" s="223"/>
      <c r="F317" s="223"/>
      <c r="G317" s="223"/>
      <c r="H317" s="223"/>
      <c r="L317" s="286"/>
      <c r="N317" s="287"/>
    </row>
    <row r="318" spans="1:14">
      <c r="A318" s="222"/>
      <c r="B318" s="223"/>
      <c r="C318" s="223"/>
      <c r="D318" s="223"/>
      <c r="E318" s="223"/>
      <c r="F318" s="223"/>
      <c r="G318" s="223"/>
      <c r="H318" s="223"/>
      <c r="L318" s="286"/>
      <c r="N318" s="287"/>
    </row>
    <row r="319" spans="1:14">
      <c r="A319" s="222"/>
      <c r="B319" s="223"/>
      <c r="C319" s="223"/>
      <c r="D319" s="223"/>
      <c r="E319" s="223"/>
      <c r="F319" s="223"/>
      <c r="G319" s="223"/>
      <c r="H319" s="223"/>
      <c r="L319" s="286"/>
      <c r="N319" s="287"/>
    </row>
    <row r="320" spans="1:14">
      <c r="A320" s="222"/>
      <c r="B320" s="223"/>
      <c r="C320" s="223"/>
      <c r="E320" s="223"/>
      <c r="F320" s="223"/>
      <c r="G320" s="223"/>
      <c r="H320" s="223"/>
      <c r="L320" s="286"/>
      <c r="N320" s="287"/>
    </row>
    <row r="321" spans="1:14">
      <c r="A321" s="222"/>
      <c r="B321" s="223"/>
      <c r="C321" s="223"/>
      <c r="E321" s="223"/>
      <c r="F321" s="223"/>
      <c r="G321" s="224"/>
      <c r="H321" s="223"/>
      <c r="L321" s="286"/>
      <c r="N321" s="287"/>
    </row>
    <row r="322" spans="1:14">
      <c r="A322" s="222"/>
      <c r="B322" s="223"/>
      <c r="C322" s="223"/>
      <c r="E322" s="223"/>
      <c r="F322" s="223"/>
      <c r="G322" s="224"/>
      <c r="H322" s="223"/>
      <c r="L322" s="286"/>
      <c r="N322" s="287"/>
    </row>
    <row r="323" spans="1:14">
      <c r="A323" s="222"/>
      <c r="B323" s="223"/>
      <c r="C323" s="223"/>
      <c r="E323" s="223"/>
      <c r="F323" s="223"/>
      <c r="G323" s="223"/>
      <c r="H323" s="223"/>
      <c r="L323" s="286"/>
      <c r="N323" s="287"/>
    </row>
    <row r="324" spans="1:14">
      <c r="A324" s="222"/>
      <c r="B324" s="223"/>
      <c r="C324" s="223"/>
      <c r="E324" s="223"/>
      <c r="F324" s="223"/>
      <c r="G324" s="223"/>
      <c r="H324" s="223"/>
      <c r="L324" s="286"/>
      <c r="N324" s="287"/>
    </row>
    <row r="325" spans="1:14">
      <c r="A325" s="222"/>
      <c r="B325" s="223"/>
      <c r="C325" s="223"/>
      <c r="E325" s="223"/>
      <c r="F325" s="223"/>
      <c r="G325" s="223"/>
      <c r="H325" s="223"/>
      <c r="L325" s="286"/>
      <c r="N325" s="287"/>
    </row>
    <row r="326" spans="1:14">
      <c r="A326" s="222"/>
      <c r="B326" s="223"/>
      <c r="C326" s="223"/>
      <c r="E326" s="223"/>
      <c r="F326" s="223"/>
      <c r="G326" s="223"/>
      <c r="H326" s="223"/>
      <c r="L326" s="286"/>
      <c r="N326" s="287"/>
    </row>
    <row r="327" spans="1:14">
      <c r="A327" s="222"/>
      <c r="B327" s="223"/>
      <c r="C327" s="223"/>
      <c r="E327" s="223"/>
      <c r="F327" s="223"/>
      <c r="G327" s="224"/>
      <c r="H327" s="223"/>
      <c r="L327" s="286"/>
      <c r="N327" s="287"/>
    </row>
    <row r="328" spans="1:14">
      <c r="A328" s="222"/>
      <c r="B328" s="223"/>
      <c r="C328" s="223"/>
      <c r="E328" s="223"/>
      <c r="F328" s="223"/>
      <c r="G328" s="224"/>
      <c r="H328" s="223"/>
      <c r="L328" s="286"/>
      <c r="N328" s="287"/>
    </row>
    <row r="329" spans="1:14">
      <c r="A329" s="222"/>
      <c r="B329" s="223"/>
      <c r="C329" s="223"/>
      <c r="E329" s="223"/>
      <c r="F329" s="223"/>
      <c r="G329" s="223"/>
      <c r="H329" s="223"/>
      <c r="L329" s="286"/>
      <c r="N329" s="287"/>
    </row>
    <row r="330" spans="1:14">
      <c r="A330" s="222"/>
      <c r="B330" s="223"/>
      <c r="C330" s="223"/>
      <c r="E330" s="223"/>
      <c r="F330" s="223"/>
      <c r="G330" s="223"/>
      <c r="H330" s="223"/>
      <c r="L330" s="286"/>
      <c r="N330" s="287"/>
    </row>
    <row r="331" spans="1:14">
      <c r="A331" s="222"/>
      <c r="B331" s="223"/>
      <c r="C331" s="223"/>
      <c r="E331" s="223"/>
      <c r="F331" s="223"/>
      <c r="G331" s="223"/>
      <c r="H331" s="223"/>
      <c r="L331" s="286"/>
      <c r="N331" s="287"/>
    </row>
    <row r="332" spans="1:14">
      <c r="A332" s="222"/>
      <c r="B332" s="223"/>
      <c r="C332" s="223"/>
      <c r="E332" s="223"/>
      <c r="F332" s="223"/>
      <c r="G332" s="223"/>
      <c r="H332" s="223"/>
      <c r="L332" s="286"/>
      <c r="N332" s="287"/>
    </row>
    <row r="333" spans="1:14">
      <c r="A333" s="222"/>
      <c r="B333" s="223"/>
      <c r="C333" s="223"/>
      <c r="E333" s="223"/>
      <c r="F333" s="223"/>
      <c r="G333" s="224"/>
      <c r="H333" s="223"/>
      <c r="L333" s="286"/>
      <c r="N333" s="287"/>
    </row>
    <row r="334" spans="1:14">
      <c r="A334" s="222"/>
      <c r="B334" s="223"/>
      <c r="C334" s="223"/>
      <c r="E334" s="223"/>
      <c r="F334" s="223"/>
      <c r="G334" s="224"/>
      <c r="H334" s="223"/>
      <c r="L334" s="286"/>
      <c r="N334" s="287"/>
    </row>
    <row r="335" spans="1:14">
      <c r="A335" s="222"/>
      <c r="B335" s="223"/>
      <c r="C335" s="223"/>
      <c r="E335" s="223"/>
      <c r="F335" s="223"/>
      <c r="G335" s="223"/>
      <c r="H335" s="223"/>
      <c r="L335" s="286"/>
      <c r="N335" s="287"/>
    </row>
    <row r="336" spans="1:14">
      <c r="A336" s="222"/>
      <c r="B336" s="223"/>
      <c r="C336" s="223"/>
      <c r="E336" s="223"/>
      <c r="F336" s="223"/>
      <c r="G336" s="223"/>
      <c r="H336" s="223"/>
      <c r="L336" s="286"/>
      <c r="N336" s="287"/>
    </row>
    <row r="337" spans="1:14">
      <c r="A337" s="222"/>
      <c r="B337" s="223"/>
      <c r="C337" s="223"/>
      <c r="E337" s="223"/>
      <c r="F337" s="223"/>
      <c r="G337" s="223"/>
      <c r="H337" s="223"/>
      <c r="L337" s="286"/>
      <c r="N337" s="287"/>
    </row>
    <row r="338" spans="1:14">
      <c r="A338" s="222"/>
      <c r="B338" s="223"/>
      <c r="C338" s="223"/>
      <c r="E338" s="223"/>
      <c r="F338" s="223"/>
      <c r="G338" s="223"/>
      <c r="H338" s="223"/>
      <c r="L338" s="286"/>
      <c r="N338" s="287"/>
    </row>
    <row r="339" spans="1:14">
      <c r="A339" s="222"/>
      <c r="B339" s="223"/>
      <c r="C339" s="223"/>
      <c r="E339" s="223"/>
      <c r="F339" s="223"/>
      <c r="G339" s="224"/>
      <c r="H339" s="223"/>
      <c r="L339" s="286"/>
      <c r="N339" s="287"/>
    </row>
    <row r="340" spans="1:14">
      <c r="A340" s="222"/>
      <c r="B340" s="223"/>
      <c r="C340" s="223"/>
      <c r="E340" s="223"/>
      <c r="F340" s="223"/>
      <c r="G340" s="224"/>
      <c r="H340" s="223"/>
      <c r="L340" s="286"/>
      <c r="N340" s="287"/>
    </row>
    <row r="341" spans="1:14">
      <c r="A341" s="222"/>
      <c r="B341" s="223"/>
      <c r="C341" s="223"/>
      <c r="E341" s="223"/>
      <c r="F341" s="223"/>
      <c r="G341" s="223"/>
      <c r="H341" s="223"/>
      <c r="L341" s="286"/>
      <c r="N341" s="287"/>
    </row>
    <row r="342" spans="1:14">
      <c r="A342" s="222"/>
      <c r="B342" s="223"/>
      <c r="C342" s="223"/>
      <c r="E342" s="223"/>
      <c r="F342" s="223"/>
      <c r="G342" s="223"/>
      <c r="H342" s="223"/>
      <c r="L342" s="286"/>
      <c r="N342" s="287"/>
    </row>
    <row r="343" spans="1:14">
      <c r="A343" s="222"/>
      <c r="B343" s="223"/>
      <c r="C343" s="223"/>
      <c r="E343" s="223"/>
      <c r="F343" s="223"/>
      <c r="G343" s="223"/>
      <c r="H343" s="223"/>
      <c r="L343" s="286"/>
      <c r="N343" s="287"/>
    </row>
    <row r="344" spans="1:14">
      <c r="A344" s="222"/>
      <c r="B344" s="223"/>
      <c r="C344" s="223"/>
      <c r="E344" s="223"/>
      <c r="F344" s="223"/>
      <c r="G344" s="223"/>
      <c r="H344" s="223"/>
      <c r="L344" s="286"/>
      <c r="N344" s="287"/>
    </row>
    <row r="345" spans="1:14">
      <c r="A345" s="222"/>
      <c r="B345" s="223"/>
      <c r="C345" s="223"/>
      <c r="E345" s="223"/>
      <c r="F345" s="223"/>
      <c r="G345" s="223"/>
      <c r="H345" s="223"/>
      <c r="L345" s="286"/>
      <c r="N345" s="287"/>
    </row>
    <row r="346" spans="1:14">
      <c r="A346" s="222"/>
      <c r="B346" s="223"/>
      <c r="C346" s="223"/>
      <c r="E346" s="223"/>
      <c r="F346" s="223"/>
      <c r="G346" s="223"/>
      <c r="H346" s="223"/>
      <c r="L346" s="286"/>
      <c r="N346" s="287"/>
    </row>
    <row r="347" spans="1:14">
      <c r="A347" s="222"/>
      <c r="B347" s="223"/>
      <c r="C347" s="223"/>
      <c r="E347" s="223"/>
      <c r="F347" s="223"/>
      <c r="G347" s="223"/>
      <c r="H347" s="223"/>
      <c r="L347" s="286"/>
      <c r="N347" s="287"/>
    </row>
    <row r="348" spans="1:14">
      <c r="A348" s="222"/>
      <c r="B348" s="223"/>
      <c r="C348" s="223"/>
      <c r="E348" s="223"/>
      <c r="F348" s="223"/>
      <c r="G348" s="223"/>
      <c r="H348" s="223"/>
      <c r="L348" s="286"/>
      <c r="N348" s="287"/>
    </row>
    <row r="349" spans="1:14">
      <c r="A349" s="222"/>
      <c r="B349" s="223"/>
      <c r="C349" s="223"/>
      <c r="E349" s="223"/>
      <c r="F349" s="223"/>
      <c r="G349" s="224"/>
      <c r="H349" s="223"/>
      <c r="L349" s="286"/>
      <c r="N349" s="287"/>
    </row>
    <row r="350" spans="1:14">
      <c r="A350" s="222"/>
      <c r="B350" s="223"/>
      <c r="C350" s="223"/>
      <c r="E350" s="223"/>
      <c r="F350" s="223"/>
      <c r="G350" s="224"/>
      <c r="H350" s="223"/>
      <c r="L350" s="286"/>
      <c r="N350" s="287"/>
    </row>
    <row r="351" spans="1:14">
      <c r="A351" s="222"/>
      <c r="B351" s="223"/>
      <c r="C351" s="223"/>
      <c r="E351" s="223"/>
      <c r="F351" s="223"/>
      <c r="G351" s="224"/>
      <c r="H351" s="223"/>
      <c r="L351" s="286"/>
      <c r="N351" s="287"/>
    </row>
    <row r="352" spans="1:14">
      <c r="A352" s="222"/>
      <c r="B352" s="223"/>
      <c r="C352" s="223"/>
      <c r="E352" s="223"/>
      <c r="F352" s="223"/>
      <c r="G352" s="224"/>
      <c r="H352" s="223"/>
      <c r="L352" s="286"/>
      <c r="N352" s="287"/>
    </row>
    <row r="353" spans="1:14">
      <c r="A353" s="222"/>
      <c r="B353" s="223"/>
      <c r="C353" s="223"/>
      <c r="E353" s="223"/>
      <c r="F353" s="223"/>
      <c r="G353" s="223"/>
      <c r="H353" s="223"/>
      <c r="L353" s="286"/>
      <c r="N353" s="287"/>
    </row>
    <row r="354" spans="1:14">
      <c r="A354" s="222"/>
      <c r="B354" s="223"/>
      <c r="C354" s="223"/>
      <c r="E354" s="223"/>
      <c r="F354" s="223"/>
      <c r="G354" s="223"/>
      <c r="H354" s="223"/>
      <c r="L354" s="286"/>
      <c r="N354" s="287"/>
    </row>
    <row r="355" spans="1:14">
      <c r="A355" s="222"/>
      <c r="B355" s="223"/>
      <c r="C355" s="223"/>
      <c r="E355" s="223"/>
      <c r="F355" s="223"/>
      <c r="G355" s="223"/>
      <c r="H355" s="223"/>
      <c r="L355" s="286"/>
      <c r="N355" s="287"/>
    </row>
    <row r="356" spans="1:14">
      <c r="A356" s="222"/>
      <c r="B356" s="223"/>
      <c r="C356" s="223"/>
      <c r="E356" s="223"/>
      <c r="F356" s="223"/>
      <c r="G356" s="223"/>
      <c r="H356" s="223"/>
      <c r="L356" s="286"/>
      <c r="N356" s="287"/>
    </row>
    <row r="357" spans="1:14">
      <c r="A357" s="222"/>
      <c r="B357" s="223"/>
      <c r="C357" s="223"/>
      <c r="E357" s="223"/>
      <c r="F357" s="223"/>
      <c r="G357" s="223"/>
      <c r="H357" s="223"/>
      <c r="L357" s="286"/>
      <c r="N357" s="287"/>
    </row>
    <row r="358" spans="1:14">
      <c r="A358" s="222"/>
      <c r="B358" s="223"/>
      <c r="C358" s="223"/>
      <c r="E358" s="223"/>
      <c r="F358" s="223"/>
      <c r="G358" s="223"/>
      <c r="H358" s="223"/>
      <c r="L358" s="286"/>
      <c r="N358" s="287"/>
    </row>
    <row r="359" spans="1:14">
      <c r="A359" s="222"/>
      <c r="B359" s="223"/>
      <c r="C359" s="223"/>
      <c r="E359" s="223"/>
      <c r="F359" s="223"/>
      <c r="G359" s="223"/>
      <c r="H359" s="223"/>
      <c r="L359" s="286"/>
      <c r="N359" s="287"/>
    </row>
    <row r="360" spans="1:14">
      <c r="A360" s="222"/>
      <c r="B360" s="223"/>
      <c r="C360" s="223"/>
      <c r="E360" s="223"/>
      <c r="F360" s="223"/>
      <c r="G360" s="223"/>
      <c r="H360" s="223"/>
      <c r="L360" s="286"/>
      <c r="N360" s="287"/>
    </row>
    <row r="361" spans="1:14">
      <c r="A361" s="222"/>
      <c r="B361" s="223"/>
      <c r="C361" s="223"/>
      <c r="E361" s="223"/>
      <c r="F361" s="223"/>
      <c r="G361" s="224"/>
      <c r="H361" s="223"/>
      <c r="L361" s="286"/>
      <c r="N361" s="287"/>
    </row>
    <row r="362" spans="1:14">
      <c r="A362" s="222"/>
      <c r="B362" s="223"/>
      <c r="C362" s="223"/>
      <c r="E362" s="223"/>
      <c r="F362" s="223"/>
      <c r="G362" s="224"/>
      <c r="H362" s="223"/>
      <c r="L362" s="286"/>
      <c r="N362" s="287"/>
    </row>
    <row r="363" spans="1:14">
      <c r="A363" s="222"/>
      <c r="B363" s="223"/>
      <c r="C363" s="223"/>
      <c r="E363" s="223"/>
      <c r="F363" s="223"/>
      <c r="G363" s="224"/>
      <c r="H363" s="223"/>
      <c r="L363" s="286"/>
      <c r="N363" s="287"/>
    </row>
    <row r="364" spans="1:14">
      <c r="A364" s="222"/>
      <c r="B364" s="223"/>
      <c r="C364" s="223"/>
      <c r="E364" s="223"/>
      <c r="F364" s="223"/>
      <c r="G364" s="224"/>
      <c r="H364" s="223"/>
      <c r="L364" s="286"/>
      <c r="N364" s="287"/>
    </row>
    <row r="365" spans="1:14">
      <c r="A365" s="222"/>
      <c r="B365" s="223"/>
      <c r="C365" s="223"/>
      <c r="E365" s="223"/>
      <c r="F365" s="223"/>
      <c r="G365" s="223"/>
      <c r="H365" s="223"/>
      <c r="L365" s="286"/>
      <c r="N365" s="287"/>
    </row>
    <row r="366" spans="1:14">
      <c r="A366" s="222"/>
      <c r="B366" s="223"/>
      <c r="C366" s="223"/>
      <c r="E366" s="223"/>
      <c r="F366" s="223"/>
      <c r="G366" s="223"/>
      <c r="H366" s="223"/>
      <c r="L366" s="286"/>
      <c r="N366" s="287"/>
    </row>
    <row r="367" spans="1:14">
      <c r="A367" s="222"/>
      <c r="B367" s="223"/>
      <c r="C367" s="223"/>
      <c r="E367" s="223"/>
      <c r="F367" s="223"/>
      <c r="G367" s="223"/>
      <c r="H367" s="223"/>
      <c r="L367" s="286"/>
      <c r="N367" s="287"/>
    </row>
    <row r="368" spans="1:14">
      <c r="A368" s="222"/>
      <c r="B368" s="223"/>
      <c r="C368" s="223"/>
      <c r="E368" s="223"/>
      <c r="F368" s="223"/>
      <c r="G368" s="223"/>
      <c r="H368" s="223"/>
      <c r="L368" s="286"/>
      <c r="N368" s="287"/>
    </row>
    <row r="369" spans="1:14">
      <c r="A369" s="222"/>
      <c r="B369" s="223"/>
      <c r="C369" s="223"/>
      <c r="E369" s="223"/>
      <c r="F369" s="223"/>
      <c r="G369" s="224"/>
      <c r="H369" s="223"/>
      <c r="L369" s="286"/>
      <c r="N369" s="287"/>
    </row>
    <row r="370" spans="1:14">
      <c r="A370" s="222"/>
      <c r="B370" s="223"/>
      <c r="C370" s="223"/>
      <c r="E370" s="223"/>
      <c r="F370" s="223"/>
      <c r="G370" s="224"/>
      <c r="H370" s="223"/>
      <c r="L370" s="286"/>
      <c r="N370" s="287"/>
    </row>
    <row r="371" spans="1:14">
      <c r="A371" s="222"/>
      <c r="B371" s="223"/>
      <c r="C371" s="223"/>
      <c r="E371" s="223"/>
      <c r="F371" s="223"/>
      <c r="G371" s="223"/>
      <c r="H371" s="223"/>
      <c r="L371" s="286"/>
      <c r="N371" s="287"/>
    </row>
    <row r="372" spans="1:14">
      <c r="A372" s="222"/>
      <c r="B372" s="223"/>
      <c r="C372" s="223"/>
      <c r="E372" s="223"/>
      <c r="F372" s="223"/>
      <c r="G372" s="223"/>
      <c r="H372" s="223"/>
      <c r="L372" s="286"/>
      <c r="N372" s="287"/>
    </row>
    <row r="373" spans="1:14">
      <c r="A373" s="222"/>
      <c r="B373" s="223"/>
      <c r="C373" s="223"/>
      <c r="E373" s="223"/>
      <c r="F373" s="223"/>
      <c r="G373" s="223"/>
      <c r="H373" s="223"/>
      <c r="L373" s="286"/>
      <c r="N373" s="287"/>
    </row>
    <row r="374" spans="1:14">
      <c r="A374" s="222"/>
      <c r="B374" s="223"/>
      <c r="C374" s="223"/>
      <c r="E374" s="223"/>
      <c r="F374" s="223"/>
      <c r="G374" s="223"/>
      <c r="H374" s="223"/>
      <c r="L374" s="286"/>
      <c r="N374" s="287"/>
    </row>
    <row r="375" spans="1:14">
      <c r="A375" s="222"/>
      <c r="B375" s="223"/>
      <c r="C375" s="223"/>
      <c r="E375" s="223"/>
      <c r="F375" s="223"/>
      <c r="G375" s="224"/>
      <c r="H375" s="223"/>
      <c r="L375" s="286"/>
      <c r="N375" s="287"/>
    </row>
    <row r="376" spans="1:14">
      <c r="A376" s="222"/>
      <c r="B376" s="223"/>
      <c r="C376" s="223"/>
      <c r="E376" s="223"/>
      <c r="F376" s="223"/>
      <c r="G376" s="224"/>
      <c r="H376" s="223"/>
      <c r="L376" s="286"/>
      <c r="N376" s="287"/>
    </row>
    <row r="377" spans="1:14">
      <c r="A377" s="222"/>
      <c r="B377" s="223"/>
      <c r="C377" s="223"/>
      <c r="E377" s="223"/>
      <c r="F377" s="223"/>
      <c r="G377" s="223"/>
      <c r="H377" s="223"/>
      <c r="L377" s="286"/>
      <c r="N377" s="287"/>
    </row>
    <row r="378" spans="1:14">
      <c r="A378" s="222"/>
      <c r="B378" s="223"/>
      <c r="C378" s="223"/>
      <c r="E378" s="223"/>
      <c r="F378" s="223"/>
      <c r="G378" s="223"/>
      <c r="H378" s="223"/>
      <c r="L378" s="286"/>
      <c r="N378" s="287"/>
    </row>
    <row r="379" spans="1:14">
      <c r="A379" s="222"/>
      <c r="B379" s="223"/>
      <c r="C379" s="223"/>
      <c r="E379" s="223"/>
      <c r="F379" s="223"/>
      <c r="G379" s="223"/>
      <c r="H379" s="223"/>
      <c r="L379" s="286"/>
      <c r="N379" s="287"/>
    </row>
    <row r="380" spans="1:14">
      <c r="A380" s="222"/>
      <c r="B380" s="223"/>
      <c r="C380" s="223"/>
      <c r="E380" s="223"/>
      <c r="F380" s="223"/>
      <c r="G380" s="223"/>
      <c r="H380" s="223"/>
      <c r="L380" s="286"/>
      <c r="N380" s="287"/>
    </row>
    <row r="381" spans="1:14">
      <c r="A381" s="222"/>
      <c r="B381" s="223"/>
      <c r="C381" s="223"/>
      <c r="E381" s="223"/>
      <c r="F381" s="223"/>
      <c r="G381" s="224"/>
      <c r="H381" s="223"/>
      <c r="L381" s="286"/>
      <c r="N381" s="287"/>
    </row>
    <row r="382" spans="1:14">
      <c r="A382" s="222"/>
      <c r="B382" s="223"/>
      <c r="C382" s="223"/>
      <c r="E382" s="223"/>
      <c r="F382" s="223"/>
      <c r="G382" s="224"/>
      <c r="H382" s="223"/>
      <c r="L382" s="286"/>
      <c r="N382" s="287"/>
    </row>
    <row r="383" spans="1:14">
      <c r="A383" s="222"/>
      <c r="B383" s="223"/>
      <c r="C383" s="223"/>
      <c r="E383" s="223"/>
      <c r="F383" s="223"/>
      <c r="G383" s="223"/>
      <c r="H383" s="223"/>
      <c r="L383" s="286"/>
      <c r="N383" s="287"/>
    </row>
    <row r="384" spans="1:14">
      <c r="A384" s="222"/>
      <c r="B384" s="223"/>
      <c r="C384" s="223"/>
      <c r="E384" s="223"/>
      <c r="F384" s="223"/>
      <c r="G384" s="223"/>
      <c r="H384" s="223"/>
      <c r="L384" s="286"/>
      <c r="N384" s="287"/>
    </row>
    <row r="385" spans="1:14">
      <c r="A385" s="222"/>
      <c r="B385" s="223"/>
      <c r="C385" s="223"/>
      <c r="E385" s="223"/>
      <c r="F385" s="223"/>
      <c r="G385" s="223"/>
      <c r="H385" s="223"/>
      <c r="L385" s="286"/>
      <c r="N385" s="287"/>
    </row>
    <row r="386" spans="1:14">
      <c r="A386" s="222"/>
      <c r="B386" s="223"/>
      <c r="C386" s="223"/>
      <c r="E386" s="223"/>
      <c r="F386" s="223"/>
      <c r="G386" s="223"/>
      <c r="H386" s="223"/>
      <c r="L386" s="286"/>
      <c r="N386" s="287"/>
    </row>
    <row r="387" spans="1:14">
      <c r="A387" s="222"/>
      <c r="B387" s="223"/>
      <c r="C387" s="223"/>
      <c r="E387" s="223"/>
      <c r="F387" s="223"/>
      <c r="G387" s="224"/>
      <c r="H387" s="223"/>
      <c r="N387" s="287"/>
    </row>
    <row r="388" spans="1:14">
      <c r="A388" s="222"/>
      <c r="B388" s="223"/>
      <c r="C388" s="223"/>
      <c r="E388" s="223"/>
      <c r="F388" s="223"/>
      <c r="G388" s="224"/>
      <c r="H388" s="223"/>
      <c r="N388" s="287"/>
    </row>
    <row r="389" spans="1:14">
      <c r="A389" s="222"/>
      <c r="B389" s="223"/>
      <c r="C389" s="223"/>
      <c r="E389" s="223"/>
      <c r="F389" s="223"/>
      <c r="G389" s="223"/>
      <c r="H389" s="223"/>
      <c r="N389" s="286"/>
    </row>
    <row r="390" spans="1:14">
      <c r="A390" s="222"/>
      <c r="B390" s="223"/>
      <c r="C390" s="223"/>
      <c r="E390" s="223"/>
      <c r="F390" s="223"/>
      <c r="G390" s="223"/>
      <c r="H390" s="223"/>
      <c r="N390" s="286"/>
    </row>
    <row r="391" spans="1:14">
      <c r="A391" s="222"/>
      <c r="B391" s="223"/>
      <c r="C391" s="223"/>
      <c r="E391" s="223"/>
      <c r="F391" s="223"/>
      <c r="G391" s="223"/>
      <c r="H391" s="223"/>
      <c r="N391" s="286"/>
    </row>
    <row r="392" spans="1:14">
      <c r="A392" s="222"/>
      <c r="B392" s="223"/>
      <c r="C392" s="223"/>
      <c r="E392" s="223"/>
      <c r="F392" s="223"/>
      <c r="G392" s="223"/>
      <c r="H392" s="223"/>
      <c r="N392" s="286"/>
    </row>
    <row r="393" spans="1:14">
      <c r="A393" s="222"/>
      <c r="B393" s="223"/>
      <c r="C393" s="223"/>
      <c r="E393" s="223"/>
      <c r="F393" s="223"/>
      <c r="G393" s="224"/>
      <c r="H393" s="223"/>
      <c r="N393" s="286"/>
    </row>
    <row r="394" spans="1:14">
      <c r="A394" s="222"/>
      <c r="B394" s="223"/>
      <c r="C394" s="223"/>
      <c r="E394" s="223"/>
      <c r="F394" s="223"/>
      <c r="G394" s="224"/>
      <c r="H394" s="223"/>
    </row>
    <row r="395" spans="1:14">
      <c r="A395" s="222"/>
      <c r="B395" s="223"/>
      <c r="C395" s="223"/>
      <c r="E395" s="223"/>
      <c r="F395" s="223"/>
      <c r="G395" s="223"/>
      <c r="H395" s="223"/>
    </row>
    <row r="396" spans="1:14">
      <c r="A396" s="222"/>
      <c r="B396" s="223"/>
      <c r="C396" s="223"/>
      <c r="E396" s="223"/>
      <c r="F396" s="223"/>
      <c r="G396" s="223"/>
      <c r="H396" s="223"/>
    </row>
    <row r="397" spans="1:14">
      <c r="A397" s="222"/>
      <c r="B397" s="223"/>
      <c r="C397" s="223"/>
      <c r="E397" s="223"/>
      <c r="F397" s="223"/>
      <c r="G397" s="223"/>
      <c r="H397" s="223"/>
    </row>
    <row r="398" spans="1:14">
      <c r="A398" s="222"/>
      <c r="B398" s="223"/>
      <c r="C398" s="223"/>
      <c r="E398" s="223"/>
      <c r="F398" s="223"/>
      <c r="G398" s="223"/>
      <c r="H398" s="223"/>
    </row>
    <row r="399" spans="1:14">
      <c r="A399" s="222"/>
      <c r="B399" s="223"/>
      <c r="C399" s="223"/>
      <c r="E399" s="223"/>
      <c r="F399" s="223"/>
      <c r="G399" s="223"/>
      <c r="H399" s="223"/>
    </row>
    <row r="400" spans="1:14">
      <c r="A400" s="222"/>
      <c r="B400" s="223"/>
      <c r="C400" s="223"/>
      <c r="E400" s="223"/>
      <c r="F400" s="223"/>
      <c r="G400" s="223"/>
      <c r="H400" s="223"/>
    </row>
    <row r="401" spans="1:8">
      <c r="A401" s="222"/>
      <c r="B401" s="223"/>
      <c r="C401" s="223"/>
      <c r="E401" s="223"/>
      <c r="F401" s="223"/>
      <c r="G401" s="223"/>
      <c r="H401" s="223"/>
    </row>
    <row r="402" spans="1:8">
      <c r="A402" s="222"/>
      <c r="B402" s="223"/>
      <c r="C402" s="223"/>
      <c r="E402" s="223"/>
      <c r="F402" s="223"/>
      <c r="G402" s="223"/>
      <c r="H402" s="223"/>
    </row>
    <row r="403" spans="1:8">
      <c r="A403" s="222"/>
      <c r="B403" s="223"/>
      <c r="C403" s="223"/>
      <c r="E403" s="223"/>
      <c r="F403" s="223"/>
      <c r="G403" s="224"/>
      <c r="H403" s="223"/>
    </row>
    <row r="404" spans="1:8">
      <c r="A404" s="222"/>
      <c r="B404" s="223"/>
      <c r="C404" s="223"/>
      <c r="E404" s="223"/>
      <c r="F404" s="223"/>
      <c r="G404" s="224"/>
      <c r="H404" s="223"/>
    </row>
    <row r="405" spans="1:8">
      <c r="A405" s="222"/>
      <c r="B405" s="223"/>
      <c r="C405" s="223"/>
      <c r="E405" s="223"/>
      <c r="F405" s="223"/>
      <c r="G405" s="224"/>
      <c r="H405" s="223"/>
    </row>
    <row r="406" spans="1:8">
      <c r="A406" s="222"/>
      <c r="B406" s="223"/>
      <c r="C406" s="223"/>
      <c r="E406" s="223"/>
      <c r="F406" s="223"/>
      <c r="G406" s="224"/>
      <c r="H406" s="223"/>
    </row>
    <row r="407" spans="1:8">
      <c r="A407" s="222"/>
      <c r="B407" s="223"/>
      <c r="C407" s="223"/>
      <c r="E407" s="223"/>
      <c r="F407" s="223"/>
      <c r="G407" s="223"/>
      <c r="H407" s="223"/>
    </row>
    <row r="408" spans="1:8">
      <c r="A408" s="222"/>
      <c r="B408" s="223"/>
      <c r="C408" s="223"/>
      <c r="E408" s="223"/>
      <c r="F408" s="223"/>
      <c r="G408" s="223"/>
      <c r="H408" s="223"/>
    </row>
    <row r="409" spans="1:8">
      <c r="A409" s="222"/>
      <c r="B409" s="223"/>
      <c r="C409" s="223"/>
      <c r="E409" s="223"/>
      <c r="F409" s="223"/>
      <c r="G409" s="223"/>
      <c r="H409" s="223"/>
    </row>
    <row r="410" spans="1:8">
      <c r="A410" s="222"/>
      <c r="B410" s="223"/>
      <c r="C410" s="223"/>
      <c r="E410" s="223"/>
      <c r="F410" s="223"/>
      <c r="G410" s="223"/>
      <c r="H410" s="223"/>
    </row>
    <row r="411" spans="1:8">
      <c r="A411" s="222"/>
      <c r="B411" s="223"/>
      <c r="C411" s="223"/>
      <c r="E411" s="223"/>
      <c r="F411" s="223"/>
      <c r="G411" s="224"/>
      <c r="H411" s="223"/>
    </row>
    <row r="412" spans="1:8">
      <c r="A412" s="222"/>
      <c r="B412" s="223"/>
      <c r="C412" s="223"/>
      <c r="E412" s="223"/>
      <c r="F412" s="223"/>
      <c r="G412" s="224"/>
      <c r="H412" s="223"/>
    </row>
    <row r="413" spans="1:8">
      <c r="A413" s="222"/>
      <c r="B413" s="223"/>
      <c r="C413" s="223"/>
      <c r="E413" s="223"/>
      <c r="F413" s="223"/>
      <c r="G413" s="223"/>
      <c r="H413" s="223"/>
    </row>
    <row r="414" spans="1:8">
      <c r="A414" s="222"/>
      <c r="B414" s="223"/>
      <c r="C414" s="223"/>
      <c r="E414" s="223"/>
      <c r="F414" s="223"/>
      <c r="G414" s="223"/>
      <c r="H414" s="223"/>
    </row>
    <row r="415" spans="1:8">
      <c r="A415" s="222"/>
      <c r="B415" s="223"/>
      <c r="C415" s="223"/>
      <c r="E415" s="223"/>
      <c r="F415" s="223"/>
      <c r="G415" s="223"/>
      <c r="H415" s="223"/>
    </row>
    <row r="416" spans="1:8">
      <c r="A416" s="222"/>
      <c r="B416" s="223"/>
      <c r="C416" s="223"/>
      <c r="E416" s="223"/>
      <c r="F416" s="223"/>
      <c r="G416" s="223"/>
      <c r="H416" s="223"/>
    </row>
    <row r="417" spans="1:8">
      <c r="A417" s="222"/>
      <c r="B417" s="223"/>
      <c r="C417" s="223"/>
      <c r="E417" s="223"/>
      <c r="F417" s="223"/>
      <c r="G417" s="224"/>
      <c r="H417" s="223"/>
    </row>
    <row r="418" spans="1:8">
      <c r="A418" s="222"/>
      <c r="B418" s="223"/>
      <c r="C418" s="223"/>
      <c r="E418" s="223"/>
      <c r="F418" s="223"/>
      <c r="G418" s="224"/>
      <c r="H418" s="223"/>
    </row>
    <row r="419" spans="1:8">
      <c r="A419" s="222"/>
      <c r="B419" s="223"/>
      <c r="C419" s="223"/>
      <c r="E419" s="223"/>
      <c r="F419" s="223"/>
      <c r="G419" s="223"/>
      <c r="H419" s="223"/>
    </row>
    <row r="420" spans="1:8">
      <c r="A420" s="222"/>
      <c r="B420" s="223"/>
      <c r="C420" s="223"/>
      <c r="E420" s="223"/>
      <c r="F420" s="223"/>
      <c r="G420" s="223"/>
      <c r="H420" s="223"/>
    </row>
    <row r="421" spans="1:8">
      <c r="A421" s="222"/>
      <c r="B421" s="223"/>
      <c r="C421" s="223"/>
      <c r="E421" s="223"/>
      <c r="F421" s="223"/>
      <c r="G421" s="223"/>
      <c r="H421" s="223"/>
    </row>
    <row r="422" spans="1:8">
      <c r="A422" s="222"/>
      <c r="B422" s="223"/>
      <c r="C422" s="223"/>
      <c r="E422" s="223"/>
      <c r="F422" s="223"/>
      <c r="G422" s="223"/>
      <c r="H422" s="223"/>
    </row>
    <row r="423" spans="1:8">
      <c r="A423" s="222"/>
      <c r="B423" s="223"/>
      <c r="C423" s="223"/>
      <c r="E423" s="223"/>
      <c r="F423" s="223"/>
      <c r="G423" s="224"/>
      <c r="H423" s="223"/>
    </row>
    <row r="424" spans="1:8">
      <c r="A424" s="222"/>
      <c r="B424" s="223"/>
      <c r="C424" s="223"/>
      <c r="E424" s="223"/>
      <c r="F424" s="223"/>
      <c r="G424" s="224"/>
      <c r="H424" s="223"/>
    </row>
  </sheetData>
  <autoFilter ref="A1:N432" xr:uid="{00000000-0009-0000-0000-000007000000}"/>
  <dataValidations count="1">
    <dataValidation type="list" allowBlank="1" showInputMessage="1" showErrorMessage="1" sqref="H102 H104 H106 H108 H110 H112 H114 H116 H118 H120 H122 H124 H126 H128 H130 H132 H134 H136 H138 H140 H142 H144 H146 H148 H150 H152 H154 H156 H158 H160 H162 H164 H166 H168 H170 H172 H174 H176 H178 H180 H182 H184 H186 H188 H190 H192 H194 H196 H198 H200 H202 H204 H206 H208:H238 H240 H242 H244 H246 H248 H250 H252:H257 H259 H261 H263 H265 H267 H269:H281 H283 H285 H287 H289 H291 H293 H295 H297 H299 H301 H303 H305 H307 H309 H311 H313 H315 H317:H341 H343 H345 H347 H349 H351 H353 H355 H357 H359 H361 H363 H365:H395 H397 H399 H401 H403 H405 H407:H424 B31:B424 N2:N29 F2:G424 B2:B27 H2:H100" xr:uid="{00000000-0002-0000-0700-000000000000}"/>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C80BA2CEED28742A4F8AC2D51BC246E" ma:contentTypeVersion="13" ma:contentTypeDescription="Create a new document." ma:contentTypeScope="" ma:versionID="ed79611eb46743cce0f50fda5d02bbca">
  <xsd:schema xmlns:xsd="http://www.w3.org/2001/XMLSchema" xmlns:xs="http://www.w3.org/2001/XMLSchema" xmlns:p="http://schemas.microsoft.com/office/2006/metadata/properties" xmlns:ns2="1438cc18-f613-495a-893f-1116621d34dd" xmlns:ns3="b2130a69-70b2-4abb-afa6-fe5edc804dca" targetNamespace="http://schemas.microsoft.com/office/2006/metadata/properties" ma:root="true" ma:fieldsID="15a9670c644504deea4e4d8225bbf8c0" ns2:_="" ns3:_="">
    <xsd:import namespace="1438cc18-f613-495a-893f-1116621d34dd"/>
    <xsd:import namespace="b2130a69-70b2-4abb-afa6-fe5edc804dc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38cc18-f613-495a-893f-1116621d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130a69-70b2-4abb-afa6-fe5edc804dc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929628-be75-4929-8336-c013cf3c6647}" ma:internalName="TaxCatchAll" ma:showField="CatchAllData" ma:web="b2130a69-70b2-4abb-afa6-fe5edc804dc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2130a69-70b2-4abb-afa6-fe5edc804dca" xsi:nil="true"/>
    <lcf76f155ced4ddcb4097134ff3c332f xmlns="1438cc18-f613-495a-893f-1116621d34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1F5545-3FB6-4350-BB3A-9F4E5B3F214C}"/>
</file>

<file path=customXml/itemProps2.xml><?xml version="1.0" encoding="utf-8"?>
<ds:datastoreItem xmlns:ds="http://schemas.openxmlformats.org/officeDocument/2006/customXml" ds:itemID="{B749808E-BA78-44D4-9182-7B9FE4505154}"/>
</file>

<file path=customXml/itemProps3.xml><?xml version="1.0" encoding="utf-8"?>
<ds:datastoreItem xmlns:ds="http://schemas.openxmlformats.org/officeDocument/2006/customXml" ds:itemID="{7D00B7CD-2F53-4091-80D1-0A5ADE03D492}"/>
</file>

<file path=docProps/app.xml><?xml version="1.0" encoding="utf-8"?>
<Properties xmlns="http://schemas.openxmlformats.org/officeDocument/2006/extended-properties" xmlns:vt="http://schemas.openxmlformats.org/officeDocument/2006/docPropsVTypes">
  <Application>Microsoft Excel Online</Application>
  <Manager/>
  <Company>BAE Systems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Chong, Kerry (US)</dc:creator>
  <cp:keywords/>
  <dc:description/>
  <cp:lastModifiedBy>Bossert, Olivia E CIV (USA)</cp:lastModifiedBy>
  <cp:revision/>
  <dcterms:created xsi:type="dcterms:W3CDTF">2020-10-22T18:30:03Z</dcterms:created>
  <dcterms:modified xsi:type="dcterms:W3CDTF">2026-02-19T15:20:17Z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0x0101007C80BA2CEED28742A4F8AC2D51BC246E</vt:lpwstr>
  </property>
  <property fmtid="{D5CDD505-2E9C-101B-9397-08002B2CF9AE}" pid="3" name="MediaServiceImageTags">
    <vt:lpwstr/>
  </property>
</Properties>
</file>