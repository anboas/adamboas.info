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amy_g_davis_civ_us_navy_mil/Documents/Desktop/SRA Attachments/"/>
    </mc:Choice>
  </mc:AlternateContent>
  <xr:revisionPtr revIDLastSave="0" documentId="8_{A7452818-7894-46D8-8D47-26894BC16134}" xr6:coauthVersionLast="47" xr6:coauthVersionMax="47" xr10:uidLastSave="{00000000-0000-0000-0000-000000000000}"/>
  <bookViews>
    <workbookView xWindow="8340" yWindow="2400" windowWidth="22935" windowHeight="15345" tabRatio="784" xr2:uid="{00000000-000D-0000-FFFF-FFFF00000000}"/>
  </bookViews>
  <sheets>
    <sheet name="Definitions" sheetId="17" r:id="rId1"/>
    <sheet name="Title Page" sheetId="1" r:id="rId2"/>
    <sheet name=" IDIQ Basic Roll Up" sheetId="7" r:id="rId3"/>
    <sheet name="COR TO Data Breakout" sheetId="2" r:id="rId4"/>
    <sheet name="Rate Analysis COR only file" sheetId="3" r:id="rId5"/>
    <sheet name="COR Spend plan per CLIN" sheetId="11" r:id="rId6"/>
    <sheet name="COR ODC Roll Up Reporting" sheetId="6" r:id="rId7"/>
  </sheets>
  <definedNames>
    <definedName name="_xlnm._FilterDatabase" localSheetId="4" hidden="1">'Rate Analysis COR only file'!$A$13:$AB$13</definedName>
    <definedName name="_xlnm.Print_Area" localSheetId="3">'COR TO Data Breakout'!$A$1:$AI$103</definedName>
    <definedName name="_xlnm.Print_Area" localSheetId="4">'Rate Analysis COR only file'!$A$1:$AB$66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4" i="3" l="1"/>
  <c r="Z24" i="3"/>
  <c r="M42" i="11" l="1"/>
  <c r="L42" i="11"/>
  <c r="K42" i="11"/>
  <c r="J42" i="11"/>
  <c r="I42" i="11"/>
  <c r="H42" i="11"/>
  <c r="G42" i="11"/>
  <c r="F42" i="11"/>
  <c r="E42" i="11"/>
  <c r="D42" i="11"/>
  <c r="C42" i="11"/>
  <c r="B42" i="11"/>
  <c r="B11" i="7" l="1"/>
  <c r="B12" i="7" s="1"/>
  <c r="C12" i="7" s="1"/>
</calcChain>
</file>

<file path=xl/sharedStrings.xml><?xml version="1.0" encoding="utf-8"?>
<sst xmlns="http://schemas.openxmlformats.org/spreadsheetml/2006/main" count="821" uniqueCount="391">
  <si>
    <t>Contractor's Name</t>
  </si>
  <si>
    <t>Program/System Nomenclature</t>
  </si>
  <si>
    <t>Date of Report</t>
  </si>
  <si>
    <t>Period Covered by Report</t>
  </si>
  <si>
    <t>Title of Report</t>
  </si>
  <si>
    <t>CDRL #</t>
  </si>
  <si>
    <t>Security Classification or other appropriate markings</t>
  </si>
  <si>
    <t>Project Name</t>
  </si>
  <si>
    <t>Funding Balance</t>
  </si>
  <si>
    <t>Prime Contract No</t>
  </si>
  <si>
    <t>TO Number</t>
  </si>
  <si>
    <t>Invoice Number</t>
  </si>
  <si>
    <t>Invoice Date</t>
  </si>
  <si>
    <t>PoP</t>
  </si>
  <si>
    <t>Billing Period</t>
  </si>
  <si>
    <t>Prime</t>
  </si>
  <si>
    <t>Subs</t>
  </si>
  <si>
    <t xml:space="preserve">Labor </t>
  </si>
  <si>
    <t>Travel</t>
  </si>
  <si>
    <t>Material</t>
  </si>
  <si>
    <t>% Funding Expended</t>
  </si>
  <si>
    <t>TDL #</t>
  </si>
  <si>
    <t>Subtask # (If Applicable)</t>
  </si>
  <si>
    <t xml:space="preserve">TDL1 </t>
  </si>
  <si>
    <t>TDL 2</t>
  </si>
  <si>
    <t>Subtask 1</t>
  </si>
  <si>
    <t>Subtask 2</t>
  </si>
  <si>
    <t>TDL 3</t>
  </si>
  <si>
    <t>Subtask 3</t>
  </si>
  <si>
    <t>Subtask 4</t>
  </si>
  <si>
    <t>Subtask 5</t>
  </si>
  <si>
    <t>Subtask 6</t>
  </si>
  <si>
    <t>Subtask 7</t>
  </si>
  <si>
    <t>Awarded Ceiling Hrs</t>
  </si>
  <si>
    <t>Awarded Ceiling $</t>
  </si>
  <si>
    <t>% Ceiling Expended $</t>
  </si>
  <si>
    <t>% Ceiling Expended Hrs</t>
  </si>
  <si>
    <t>Current Reg Hrs</t>
  </si>
  <si>
    <t>Current UT/TTA Hrs</t>
  </si>
  <si>
    <t>Total Current Hrs</t>
  </si>
  <si>
    <t>Date Issued</t>
  </si>
  <si>
    <t>TO Totals</t>
  </si>
  <si>
    <t>EAC</t>
  </si>
  <si>
    <t>Employee Identifier</t>
  </si>
  <si>
    <t>LCAT</t>
  </si>
  <si>
    <t>Current Hrs Billed</t>
  </si>
  <si>
    <t>Current Burdened Cost</t>
  </si>
  <si>
    <t>Actual Rate</t>
  </si>
  <si>
    <t>Bid Rate</t>
  </si>
  <si>
    <t>% variation</t>
  </si>
  <si>
    <t>On/Off site</t>
  </si>
  <si>
    <t>Date Resume submitted</t>
  </si>
  <si>
    <t>Date Resume Approved</t>
  </si>
  <si>
    <t>Date Removed (if Applicable)</t>
  </si>
  <si>
    <t>Name of Replacement</t>
  </si>
  <si>
    <t>Material Purchases</t>
  </si>
  <si>
    <t>Item Name</t>
  </si>
  <si>
    <t>Description</t>
  </si>
  <si>
    <t xml:space="preserve">Quantity </t>
  </si>
  <si>
    <t>Purpose</t>
  </si>
  <si>
    <t>Vendor</t>
  </si>
  <si>
    <t>Unit Price</t>
  </si>
  <si>
    <t>Disposition</t>
  </si>
  <si>
    <t>Total:</t>
  </si>
  <si>
    <t>Gov Approver if required by Contract</t>
  </si>
  <si>
    <t>Date of Travel</t>
  </si>
  <si>
    <t>Traveler</t>
  </si>
  <si>
    <t>TO/TDL/Subtask</t>
  </si>
  <si>
    <t>Destination</t>
  </si>
  <si>
    <t>PO#</t>
  </si>
  <si>
    <t>Length (days)</t>
  </si>
  <si>
    <t>Estimated Cost</t>
  </si>
  <si>
    <t>Actual Cost</t>
  </si>
  <si>
    <t>TO period</t>
  </si>
  <si>
    <t>Base, OPT I, OPT II</t>
  </si>
  <si>
    <t>CLIN</t>
  </si>
  <si>
    <t>CLIN 1</t>
  </si>
  <si>
    <t>CLIN 2</t>
  </si>
  <si>
    <t>SubCLIN</t>
  </si>
  <si>
    <t>Outstanding Commitments</t>
  </si>
  <si>
    <t>TO base</t>
  </si>
  <si>
    <t>TO mod 2</t>
  </si>
  <si>
    <t>CLIN TRAVEL</t>
  </si>
  <si>
    <t>CLIN MATERIAL</t>
  </si>
  <si>
    <t>Expended as of date of report</t>
  </si>
  <si>
    <t>TO Summary</t>
  </si>
  <si>
    <t>Contract Summary</t>
  </si>
  <si>
    <t>Base</t>
  </si>
  <si>
    <t>Mod 2</t>
  </si>
  <si>
    <t>LABOR</t>
  </si>
  <si>
    <t>TDL 2 Total:</t>
  </si>
  <si>
    <t>TDL 3 Total:</t>
  </si>
  <si>
    <t>Estimated Amount $</t>
  </si>
  <si>
    <t>Estimated HRS</t>
  </si>
  <si>
    <t>(Estimated Amt - Funded)</t>
  </si>
  <si>
    <t>Funded HRS Bal</t>
  </si>
  <si>
    <t>Cost Incurred To-Date (Total)</t>
  </si>
  <si>
    <t>(current Reg Hrs + Current UT/TTA Hrs)</t>
  </si>
  <si>
    <t>Current Travel</t>
  </si>
  <si>
    <t>Other ODC</t>
  </si>
  <si>
    <t>Current Material</t>
  </si>
  <si>
    <t>Current Other ODC</t>
  </si>
  <si>
    <t>Projected date for 75% notification (Based on expenditure to-date)</t>
  </si>
  <si>
    <t xml:space="preserve">Includes current </t>
  </si>
  <si>
    <t>Budgeted Hrs</t>
  </si>
  <si>
    <t>Prior Period Adjustment Hrs</t>
  </si>
  <si>
    <t>(Expenditures to date + outstanding commitments)</t>
  </si>
  <si>
    <t>SME SPT LOE 12 mo</t>
  </si>
  <si>
    <t>Funded Hrs</t>
  </si>
  <si>
    <t>Analyst, Senior</t>
  </si>
  <si>
    <t>N/A</t>
  </si>
  <si>
    <t>Variance (between estimated and actual costs)</t>
  </si>
  <si>
    <t>Cost Incurred</t>
  </si>
  <si>
    <t>Cost Incurred w/commitments</t>
  </si>
  <si>
    <t>Unfunded Ceiling</t>
  </si>
  <si>
    <t>Balance (funded - Exp)</t>
  </si>
  <si>
    <t>% Ceiling Expended $ w/commitments</t>
  </si>
  <si>
    <t>Projected funding needed</t>
  </si>
  <si>
    <t>Burn Rate</t>
  </si>
  <si>
    <t>Hours</t>
  </si>
  <si>
    <t>Op Rate</t>
  </si>
  <si>
    <t>Variance</t>
  </si>
  <si>
    <t>Percentage</t>
  </si>
  <si>
    <t>FUNDED</t>
  </si>
  <si>
    <t>COSTS</t>
  </si>
  <si>
    <t>PROJECTED TOTAL</t>
  </si>
  <si>
    <t>CEILING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</si>
  <si>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</si>
  <si>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</si>
  <si>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</si>
  <si>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</si>
  <si>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</si>
  <si>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</si>
  <si>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</si>
  <si>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</si>
  <si>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</si>
  <si>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</si>
  <si>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</si>
  <si>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</si>
  <si>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Key/Non-Key</t>
  </si>
  <si>
    <t>Justification</t>
  </si>
  <si>
    <t>Government approval date</t>
  </si>
  <si>
    <t>Funding</t>
  </si>
  <si>
    <t>CLIN LABOR HRS</t>
  </si>
  <si>
    <t>CLIN LABOR Dollars</t>
  </si>
  <si>
    <t>TO mod 5</t>
  </si>
  <si>
    <t>CLIN LABOR HRS APPN 1</t>
  </si>
  <si>
    <t>CLIN LABOR Dollars APPN 1</t>
  </si>
  <si>
    <t>CLIN LABOR HRS APPN 2</t>
  </si>
  <si>
    <t>CLIN LABOR Dollars APPN 2</t>
  </si>
  <si>
    <t>CLIN LABOR HRS APPN 3</t>
  </si>
  <si>
    <t>CLIN LABOR Dollars APPN 3</t>
  </si>
  <si>
    <t>CLIN Material Dollars APPN 1</t>
  </si>
  <si>
    <t>CLIN Material Dollars APPN 2</t>
  </si>
  <si>
    <t>CLIN Material Dollars APPN 3</t>
  </si>
  <si>
    <t>CLIN Travel Dollars APPN 1</t>
  </si>
  <si>
    <t>CLIN Travel Dollars APPN 2</t>
  </si>
  <si>
    <t>CLIN Travel Dollars APPN 3</t>
  </si>
  <si>
    <t>Labor $</t>
  </si>
  <si>
    <t>Personnel Data</t>
  </si>
  <si>
    <t>System "X" Installation</t>
  </si>
  <si>
    <t>Key</t>
  </si>
  <si>
    <t xml:space="preserve">Project </t>
  </si>
  <si>
    <t>PM, Senior</t>
  </si>
  <si>
    <t>Analyst, Junior</t>
  </si>
  <si>
    <t>Engineer, Senior</t>
  </si>
  <si>
    <t>Engineer, Junior</t>
  </si>
  <si>
    <t>Systems Analyst, Journeyman</t>
  </si>
  <si>
    <t>Off-site</t>
  </si>
  <si>
    <t>Systems Analyst, Senior</t>
  </si>
  <si>
    <t>Non-Key</t>
  </si>
  <si>
    <t>project required specific certification, COR approved 10/1/2015</t>
  </si>
  <si>
    <t>TDL2</t>
  </si>
  <si>
    <t>Projected Total Costs</t>
  </si>
  <si>
    <t>On-Site</t>
  </si>
  <si>
    <t>Dollars</t>
  </si>
  <si>
    <t>Budgeted</t>
  </si>
  <si>
    <t>Billed</t>
  </si>
  <si>
    <t>PROJECTED</t>
  </si>
  <si>
    <t>B-1 Approved Rate</t>
  </si>
  <si>
    <t>Variation</t>
  </si>
  <si>
    <t>Justification for variation</t>
  </si>
  <si>
    <t>Instructions:</t>
  </si>
  <si>
    <t>Funding Received $</t>
  </si>
  <si>
    <t>Cumulative Reg Hrs</t>
  </si>
  <si>
    <t>Cumulative UT/TTA Hrs</t>
  </si>
  <si>
    <t>Total Cumulative Hrs</t>
  </si>
  <si>
    <t>Cumulative Travel</t>
  </si>
  <si>
    <t>Cumulative Material</t>
  </si>
  <si>
    <t>Cumulative Other ODC</t>
  </si>
  <si>
    <t>This row is for TDL Cumulative for the CLIN</t>
  </si>
  <si>
    <t>(Funded Hrs - Total Cumulative Reg Hrs)</t>
  </si>
  <si>
    <t>Labor planned for upcoming trip</t>
  </si>
  <si>
    <t>(current Cumulative Reg Hrs + Current Cumulative UT/TTA Hrs)</t>
  </si>
  <si>
    <t>Cumulative Hrs Billed</t>
  </si>
  <si>
    <t>Prior Period Adjustment $</t>
  </si>
  <si>
    <t>Cumulative Burdened Cost</t>
  </si>
  <si>
    <t>Project required specific systems experience, personnel not available a rate bid</t>
  </si>
  <si>
    <t>Cumulative Total:</t>
  </si>
  <si>
    <t>Government approver</t>
  </si>
  <si>
    <t>Field Services or other ODC fields to be added based on specific procurement requirement</t>
  </si>
  <si>
    <t>Name of issuing Government Agency</t>
  </si>
  <si>
    <t xml:space="preserve">Contractor's Address </t>
  </si>
  <si>
    <t>PoP End</t>
  </si>
  <si>
    <t>PoP Start</t>
  </si>
  <si>
    <t>Title</t>
  </si>
  <si>
    <t>Definition</t>
  </si>
  <si>
    <t>Enter the name of the contractor</t>
  </si>
  <si>
    <t>Contractor's Address</t>
  </si>
  <si>
    <t>Enter the address of the contractor</t>
  </si>
  <si>
    <t>Enter the contract number</t>
  </si>
  <si>
    <t>Title Page</t>
  </si>
  <si>
    <t>IDIQ Basic Roll Up</t>
  </si>
  <si>
    <t xml:space="preserve">Title </t>
  </si>
  <si>
    <t>Enter Prime Contract Number</t>
  </si>
  <si>
    <t>COR TO Data Breakout</t>
  </si>
  <si>
    <t>Enter the Prime Contract Number</t>
  </si>
  <si>
    <t>Enter the Task Order Number</t>
  </si>
  <si>
    <t>Labor</t>
  </si>
  <si>
    <t>Rate Analysis COR only file</t>
  </si>
  <si>
    <t>Enter the CLIN</t>
  </si>
  <si>
    <t>Project</t>
  </si>
  <si>
    <t>* Only Required when Key</t>
  </si>
  <si>
    <t>COR ODC Roll Up Reporting</t>
  </si>
  <si>
    <t>Cumulative Total (Estimated Cost)</t>
  </si>
  <si>
    <t>Enter the Sum of the Estimated Cost</t>
  </si>
  <si>
    <t>Cumulative Total Actual Cost)</t>
  </si>
  <si>
    <t>Enter the Sum of the Actual Cost</t>
  </si>
  <si>
    <t>Enter the Government Approver</t>
  </si>
  <si>
    <t>Cumulative Total (Actual Cost)</t>
  </si>
  <si>
    <t>Enter the percentage of Funding Expended for Labor, Travel, and Material by CLIN</t>
  </si>
  <si>
    <t>Enter the percentage of Ceiling Expended  w/commitments for Labor, Travel, and Material by CLIN</t>
  </si>
  <si>
    <t>Enter the percentage of Ceiling Expended for Labor, Travel, and Material by CLIN</t>
  </si>
  <si>
    <t>Enter the percentage of Ceiling Expended for Hours by CLIN</t>
  </si>
  <si>
    <t>Enter the remaining funding balance (Total Funding - Cost Incurred w/commitments) for Labor, Travel, and Material by CLIN</t>
  </si>
  <si>
    <t>Enter Unfunded Ceiling for Labor, Travel, and Material by CLIN (Total Ceiling value - Total Funding value)</t>
  </si>
  <si>
    <t>Enter any Outstanding Commitments for Labor, Travel, and Material by CLIN</t>
  </si>
  <si>
    <t>Enter the total Cumulative Expenditures to-date for Labor, Travel, and Material by CLIN</t>
  </si>
  <si>
    <t>Enter the Awarded Ceiling Amounts for Labor, Travel, and Material by CLIN</t>
  </si>
  <si>
    <t>*Rows can be added for additional CLINs as needed</t>
  </si>
  <si>
    <t>Task Order Summary - This section is broken out by MOD</t>
  </si>
  <si>
    <t>Enter the Total Funding amount by CLIN per the latest MOD</t>
  </si>
  <si>
    <t>Enter the Technical Direction Letter Title</t>
  </si>
  <si>
    <t>Enter the Technical Direction Letter Number</t>
  </si>
  <si>
    <t>Enter the Subtask number (If Applicable)</t>
  </si>
  <si>
    <t>Enter a high level description of the TDL</t>
  </si>
  <si>
    <t>Enter the Date TDL was signed by the KO</t>
  </si>
  <si>
    <t>Enter the Estimated TDL Value (numbers)</t>
  </si>
  <si>
    <t>Enter the Estimated TDL Hours</t>
  </si>
  <si>
    <t>Enter the Funding Received per the latest MOD (dollar amount)</t>
  </si>
  <si>
    <t>Enter the Funded Hours per the latest MOD</t>
  </si>
  <si>
    <t>Current Expenditures</t>
  </si>
  <si>
    <t>Enter the Expenditures for the current reporting period (dollar amount)</t>
  </si>
  <si>
    <t>Enter the funding balance (Funding Received - Cost Incurred To-Date)</t>
  </si>
  <si>
    <t>Enter the funding hours balance (Funded Hours - Total Current Hours)</t>
  </si>
  <si>
    <t>Enter any outstanding labor commitments (i.e. subcontractor costs)</t>
  </si>
  <si>
    <t>Enter total Cumulative Expenditures to-date to include commitments</t>
  </si>
  <si>
    <t>Enter the Current Regular Hours expended for the reporting period</t>
  </si>
  <si>
    <t>Enter in current Uncompensated Time/Total Time Accounting hours for the reporting period</t>
  </si>
  <si>
    <t>Enter the Total Current Expended Hours for the reporting period (Current Reg Hrs. + Current UT/TTA Hrs.)</t>
  </si>
  <si>
    <t xml:space="preserve">Enter the current travel cost for the reporting period </t>
  </si>
  <si>
    <t>Enter any outstanding travel commitments</t>
  </si>
  <si>
    <t>Enter the current material cost for the reporting period</t>
  </si>
  <si>
    <t>Enter any outstanding material commitments</t>
  </si>
  <si>
    <t>Enter the current cost for any other ODCs for the reporting period  (i.e. field services)</t>
  </si>
  <si>
    <t>Enter any other outstanding ODC commitments (i.e. field services)</t>
  </si>
  <si>
    <t>Enter the date when 75% of the Labor funding will be exhausted</t>
  </si>
  <si>
    <t>Enter the date when 75% of the Travel funding will be exhausted</t>
  </si>
  <si>
    <t>Enter the date when 75% of the Material funding will be exhausted</t>
  </si>
  <si>
    <t>Enter the date when 75% of the ODC funding will be exhausted</t>
  </si>
  <si>
    <t>Data in all cells on all tabs is sample data</t>
  </si>
  <si>
    <t>Enter the Prime Contractors Name</t>
  </si>
  <si>
    <t>Enter the names of any Subcontractors</t>
  </si>
  <si>
    <t>Enter the Labor Categories applicable to the TDL (Note: Rows can be added as needed)</t>
  </si>
  <si>
    <t>Enter if the LCAT is working On-site or Off-site</t>
  </si>
  <si>
    <t>Enter if the LCAT is Key or Non-Key</t>
  </si>
  <si>
    <t>Enter the date the Key Personnel Resume was submitted to the PCO for review*</t>
  </si>
  <si>
    <t>Enter the date the Key Personnel was removed as Key, if applicable*</t>
  </si>
  <si>
    <t>Enter the Name of the Key Personnel Replacing the Key Personnel who was removed*</t>
  </si>
  <si>
    <t>Enter the Total Current Hours billed for the reporting period (Current Reg Hrs. + Current UT/TTA Hrs.)</t>
  </si>
  <si>
    <t>Enter in current Uncompensated Time/Total Time Accounting hours for the TO PoP</t>
  </si>
  <si>
    <t>Enter any hours that are adjustments from prior periods</t>
  </si>
  <si>
    <t>Enter any adjustments from prior periods</t>
  </si>
  <si>
    <t>Enter the Projected Total Costs for the Actual Rate at the end of the TO PoP</t>
  </si>
  <si>
    <t>Enter the Current Burdened Cost for the reporting period</t>
  </si>
  <si>
    <t>Enter the Percentage Difference between the Actual Rate vs. the Bid Rate</t>
  </si>
  <si>
    <t xml:space="preserve">Enter a justification for any variation of actual-to-bid rate averages greater than 10% </t>
  </si>
  <si>
    <t>Enter the Task Order (TO) Number</t>
  </si>
  <si>
    <t>Enter the name of the material that was purchased during the reporting period</t>
  </si>
  <si>
    <t>Enter the CLIN the material was purchased under</t>
  </si>
  <si>
    <t>Enter the SubCLIN the material was purchased under</t>
  </si>
  <si>
    <t>Enter the Task Order/Technical Direction Letter/Subtask (if applicable)</t>
  </si>
  <si>
    <t>Enter the Purchase Order Number for the material</t>
  </si>
  <si>
    <t>Enter a high level description of the Material purchased</t>
  </si>
  <si>
    <t>Enter the Vendor the material was purchased from</t>
  </si>
  <si>
    <t>Enter the Quantity purchased</t>
  </si>
  <si>
    <t>Enter the Estimated Cost for the Material</t>
  </si>
  <si>
    <t>Enter the Unit Price for the Material</t>
  </si>
  <si>
    <t>Enter the Actual Cost for the Material</t>
  </si>
  <si>
    <t>Who from the Government approved the material purchase, if under approval thresholds, who was the material purchased for.</t>
  </si>
  <si>
    <t>Enter the Traveler's name</t>
  </si>
  <si>
    <t>Enter the CLIN the Travel was conducted under</t>
  </si>
  <si>
    <t>Enter the SubCLIN the Travel was conducted under</t>
  </si>
  <si>
    <t>Enter the Traveler's destination</t>
  </si>
  <si>
    <t>Enter the reason for the travel</t>
  </si>
  <si>
    <t>Enter the date  the travel commenced</t>
  </si>
  <si>
    <t>Enter the estimated cost for the trip</t>
  </si>
  <si>
    <t>Enter the actual Cost for the trip</t>
  </si>
  <si>
    <t>Enter the dates this report covers (start date through end date)</t>
  </si>
  <si>
    <t>Enter the Title of Report ( Contracting Officer’s Representative (COR) Management Report for Technical Direction Letters (TDLs))</t>
  </si>
  <si>
    <t>Enter the CDRL number (Pull from awarded CDRLs)</t>
  </si>
  <si>
    <t>Enter the date the report is being generated</t>
  </si>
  <si>
    <t>Provide the name of the Government Agency (NAWCAD WOLF XXXX Division)</t>
  </si>
  <si>
    <t>Enter the name of the Contract</t>
  </si>
  <si>
    <t>Enter the security classification or other appropriate markings (i.e. CUI, Proprietary)</t>
  </si>
  <si>
    <t>Enter the date the Invoice is generated</t>
  </si>
  <si>
    <t>Enter the Billing Period (Start Date through End Date)</t>
  </si>
  <si>
    <t>Enter the Employee's Contractor Identification Number</t>
  </si>
  <si>
    <t>Enter the Invoice Number the Material was purchased under</t>
  </si>
  <si>
    <t>Enter the reason for the Material purchase (this should include the specific project supported)</t>
  </si>
  <si>
    <t>What is the disposition of the Material (i.e. has the material been transferred to the Government; is it still in the Contractor's possession)</t>
  </si>
  <si>
    <t>Enter the total number of days for the trip</t>
  </si>
  <si>
    <t>Enter the Justification for the travel (this should include the specific project supported)</t>
  </si>
  <si>
    <t>Enter the date the Government provided Approval</t>
  </si>
  <si>
    <t>* Add rows as needed for additional CLINs</t>
  </si>
  <si>
    <t>Enter the Contractor Invoice Number</t>
  </si>
  <si>
    <t>Contract Summary - Update this section with each MOD that adjusts the ceiling</t>
  </si>
  <si>
    <t>Enter the Difference between the Bid Rate vs the Operating Rate</t>
  </si>
  <si>
    <t>Enter the Variance between the Bid Rate vs the Operating Rate as a percentage</t>
  </si>
  <si>
    <t>Enter the Awarded Ceiling Hours for Labor by CLIN (Travel and Material should be N/A)</t>
  </si>
  <si>
    <t>Enter the total Cost Incurred plus Outstanding Commitments for Labor, Travel, and Material by CLIN</t>
  </si>
  <si>
    <t>Enter the Total Hours by CLIN per the latest MOD</t>
  </si>
  <si>
    <t>Enter the Total Labor Ceiling by CLIN per the latest MOD</t>
  </si>
  <si>
    <t>Enter the Total Hours by CLIN per latest the MOD</t>
  </si>
  <si>
    <t>Enter the Total Travel Ceiling by CLIN per the latest MOD</t>
  </si>
  <si>
    <t>Enter the Total Material Ceiling by CLIN per the latest MOD</t>
  </si>
  <si>
    <t xml:space="preserve">CLIN Breakout </t>
  </si>
  <si>
    <t>Enter the Difference in the cost (Actual Cost - Estimated Cost)</t>
  </si>
  <si>
    <t>Enter the Contract/IDIQ Period of Performance Start date</t>
  </si>
  <si>
    <t>Enter the Contract/IDIQ Period of Performance End date</t>
  </si>
  <si>
    <t>Enter the Total Contract/IDIQ  CLIN Labor Hrs</t>
  </si>
  <si>
    <t>Enter the Total Contract/IDIQ CLIN Labor Ceiling</t>
  </si>
  <si>
    <t xml:space="preserve">Enter the Total Contract/IDIQ CLIN Travel Ceiling </t>
  </si>
  <si>
    <t>Enter the Total Contract/IDIQ  CLIN Material Ceiling</t>
  </si>
  <si>
    <t>Enter the Total Contract/IDIQ Hours</t>
  </si>
  <si>
    <t>Enter the Total Contract/IDIQ Labor Ceiling</t>
  </si>
  <si>
    <t>Enter the Overall Contract/IDIQ Bid Rate</t>
  </si>
  <si>
    <t>Enter the TO/Option Period of Performance Start date</t>
  </si>
  <si>
    <t>Enter the TO/Option Period of Performance End date</t>
  </si>
  <si>
    <t>Enter the current Option Year the Contract/TO is in (i.e. Base, OPT I, OPT II)</t>
  </si>
  <si>
    <t>Enter the Cumulative Reg Hours Expended for the TO/Option PoP</t>
  </si>
  <si>
    <t>Enter the Cumulative Hours Expended for the TO/Option PoP (Cumulative Reg Hours + Cumulative UT/TTA Hrs.)</t>
  </si>
  <si>
    <t>Enter the Cumulative Hours billed for the TO/Option PoP (Current Hrs Billed + Prior Period Adjustment Hrs.)</t>
  </si>
  <si>
    <t>Enter the Cumulative Burdened Cost for the TO/Option PoP</t>
  </si>
  <si>
    <t>Enter the B-1 Approved Rate from Section B of the Contract/TO</t>
  </si>
  <si>
    <t>Enter the Cumulative Burdened Cost based on the B-1 Rate for the TO/Option PoP (Cumulative Hrs Billed * B-1 Approved Rate)</t>
  </si>
  <si>
    <t>Enter the Projected Total Costs for the Bid Rate at the end of the TO/Option PoP</t>
  </si>
  <si>
    <t>Enter in the Funded dollar amount for each CLIN and escalate the funding across the TO/Option PoP as appropriate</t>
  </si>
  <si>
    <t>Enter in the anticipated Cost for each month of the TO/Option PoP. As each month completes, update the anticipated cost to be the actual cost.</t>
  </si>
  <si>
    <t>Enter the estimated total projected cost for each month of the TO/Option PoP  (This will not get updated to reflect actual cost each month)</t>
  </si>
  <si>
    <t>Enter in the anticipated hours for each month of the TO/Option PoP. As each month completes, update the anticipated hours to be the actual hours.</t>
  </si>
  <si>
    <t>Enter the estimated total projected hours for each month of the TO/Option PoP (This will not get updated to reflect actual hours each month)</t>
  </si>
  <si>
    <t>Enter in the budgeted hours for each month of the TO/Option PoP as appropriate</t>
  </si>
  <si>
    <t>Enter the Contract/Task Order/Technical Direction Letter/Subtask (if applicable)</t>
  </si>
  <si>
    <t>Enter the Cumulative Uncompensated Time/Total Time Accounting Hours Expended for the TO/Option PoP</t>
  </si>
  <si>
    <t>Enter the total cumulative travel cost for the TO/Option PoP</t>
  </si>
  <si>
    <t>Enter the cumulative material cost for the TO/Option PoP</t>
  </si>
  <si>
    <t>Enter the cumulative cost for any other ODCs for the TO/Option PoP (i.e. field services)</t>
  </si>
  <si>
    <t>Enter the Project funding needed for Labor, Travel, and Material by CLIN for the TO/Option PoP</t>
  </si>
  <si>
    <t>Enter the Estimate at Completion for Labor, Travel, and Material by CLIN (What will the total CLIN cost be at the end of the TO/Option PoP)</t>
  </si>
  <si>
    <t>Enter the projected Estimate at Completion (What will the total cost be at the end of the TO/Option PoP)</t>
  </si>
  <si>
    <t>Enter the Cumulative To-Date Expenditures w/Commitments for each CLIN</t>
  </si>
  <si>
    <t>Enter the Overall Contract/IDIQ Operating Rate</t>
  </si>
  <si>
    <t>Enter the date the PCO provided concurrence and approval of the Key Personnel Resume*</t>
  </si>
  <si>
    <t>There are a minimum of 6 tabs (including the title page) that are to be completed</t>
  </si>
  <si>
    <t>Data in all cells on all tabs is sample data only</t>
  </si>
  <si>
    <t>Rows can be added, do not change the columns</t>
  </si>
  <si>
    <t>*Data in all cells on all tabs is sample data</t>
  </si>
  <si>
    <t>*This will be a spend plan graph by CLIN</t>
  </si>
  <si>
    <t>Hours (Each CLIN should have it's own Graph)</t>
  </si>
  <si>
    <t>Dollars (Each CLIN should have it's own Graph)</t>
  </si>
  <si>
    <t xml:space="preserve">Enter the total CLIN ceiling for the TO/Option PoP </t>
  </si>
  <si>
    <t xml:space="preserve">Enter the total CLIN hours for the TO/Option PoP </t>
  </si>
  <si>
    <t>COR Spend Plan per CLIN*</t>
  </si>
  <si>
    <t>*Each CLIN will have it's own Graph</t>
  </si>
  <si>
    <t>Task Order Number</t>
  </si>
  <si>
    <t>Contract Number</t>
  </si>
  <si>
    <t>Enter the task order number</t>
  </si>
  <si>
    <t>TDL1 Total</t>
  </si>
  <si>
    <t>TDL2 Total</t>
  </si>
  <si>
    <t>TDL CDRL attachment December 2024 COR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</si>
</sst>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00.00\ &quot; / mo&quot;"/>
    <numFmt numFmtId="165" formatCode="&quot;$&quot;#,000.00\ &quot; / mo&quot;"/>
    <numFmt numFmtId="166" formatCode="&quot;$&quot;0.00\ &quot;/ hr&quot;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46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double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0" fillId="0" borderId="2" xfId="0" applyBorder="1"/>
    <xf numFmtId="0" fontId="2" fillId="0" borderId="0" xfId="0" applyFont="1"/>
    <xf numFmtId="15" fontId="2" fillId="0" borderId="0" xfId="0" applyNumberFormat="1" applyFont="1"/>
    <xf numFmtId="44" fontId="2" fillId="0" borderId="0" xfId="1" applyFont="1"/>
    <xf numFmtId="2" fontId="2" fillId="0" borderId="0" xfId="0" applyNumberFormat="1" applyFont="1"/>
    <xf numFmtId="44" fontId="2" fillId="0" borderId="0" xfId="0" applyNumberFormat="1" applyFont="1"/>
    <xf numFmtId="0" fontId="2" fillId="0" borderId="2" xfId="0" applyFont="1" applyBorder="1"/>
    <xf numFmtId="0" fontId="3" fillId="0" borderId="11" xfId="0" applyFont="1" applyBorder="1"/>
    <xf numFmtId="0" fontId="2" fillId="0" borderId="0" xfId="0" applyFont="1" applyAlignment="1">
      <alignment horizontal="center"/>
    </xf>
    <xf numFmtId="44" fontId="2" fillId="0" borderId="0" xfId="0" applyNumberFormat="1" applyFont="1" applyAlignment="1">
      <alignment horizontal="center"/>
    </xf>
    <xf numFmtId="44" fontId="3" fillId="0" borderId="11" xfId="1" applyFont="1" applyBorder="1"/>
    <xf numFmtId="0" fontId="0" fillId="0" borderId="16" xfId="0" applyFont="1" applyBorder="1"/>
    <xf numFmtId="0" fontId="0" fillId="0" borderId="17" xfId="0" applyFont="1" applyBorder="1"/>
    <xf numFmtId="44" fontId="0" fillId="0" borderId="0" xfId="1" applyFont="1"/>
    <xf numFmtId="44" fontId="0" fillId="0" borderId="26" xfId="1" applyFont="1" applyBorder="1"/>
    <xf numFmtId="0" fontId="3" fillId="0" borderId="0" xfId="0" applyFont="1"/>
    <xf numFmtId="44" fontId="0" fillId="8" borderId="0" xfId="1" applyFont="1" applyFill="1"/>
    <xf numFmtId="44" fontId="0" fillId="9" borderId="0" xfId="1" applyFont="1" applyFill="1"/>
    <xf numFmtId="0" fontId="5" fillId="9" borderId="0" xfId="0" applyFont="1" applyFill="1"/>
    <xf numFmtId="0" fontId="4" fillId="9" borderId="0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6" fillId="0" borderId="0" xfId="0" applyFont="1"/>
    <xf numFmtId="0" fontId="0" fillId="0" borderId="0" xfId="0" applyFill="1" applyAlignment="1">
      <alignment horizontal="center"/>
    </xf>
    <xf numFmtId="0" fontId="7" fillId="9" borderId="0" xfId="0" applyFont="1" applyFill="1"/>
    <xf numFmtId="0" fontId="7" fillId="8" borderId="0" xfId="0" applyFont="1" applyFill="1"/>
    <xf numFmtId="44" fontId="2" fillId="0" borderId="2" xfId="1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44" fontId="2" fillId="0" borderId="0" xfId="0" applyNumberFormat="1" applyFont="1" applyBorder="1" applyAlignment="1">
      <alignment horizontal="center"/>
    </xf>
    <xf numFmtId="9" fontId="2" fillId="0" borderId="2" xfId="2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0" fillId="0" borderId="8" xfId="0" applyFill="1" applyBorder="1" applyAlignment="1">
      <alignment horizontal="center"/>
    </xf>
    <xf numFmtId="0" fontId="0" fillId="0" borderId="0" xfId="0" applyFont="1"/>
    <xf numFmtId="0" fontId="8" fillId="2" borderId="12" xfId="0" applyFont="1" applyFill="1" applyBorder="1"/>
    <xf numFmtId="0" fontId="9" fillId="2" borderId="14" xfId="0" applyFont="1" applyFill="1" applyBorder="1"/>
    <xf numFmtId="0" fontId="9" fillId="0" borderId="15" xfId="0" applyFont="1" applyFill="1" applyBorder="1"/>
    <xf numFmtId="164" fontId="9" fillId="0" borderId="17" xfId="0" applyNumberFormat="1" applyFont="1" applyFill="1" applyBorder="1"/>
    <xf numFmtId="0" fontId="9" fillId="0" borderId="24" xfId="0" applyFont="1" applyFill="1" applyBorder="1"/>
    <xf numFmtId="165" fontId="9" fillId="0" borderId="25" xfId="0" applyNumberFormat="1" applyFont="1" applyFill="1" applyBorder="1"/>
    <xf numFmtId="0" fontId="9" fillId="0" borderId="12" xfId="0" applyFont="1" applyFill="1" applyBorder="1"/>
    <xf numFmtId="166" fontId="9" fillId="0" borderId="14" xfId="0" applyNumberFormat="1" applyFont="1" applyFill="1" applyBorder="1"/>
    <xf numFmtId="166" fontId="9" fillId="0" borderId="17" xfId="0" applyNumberFormat="1" applyFont="1" applyFill="1" applyBorder="1"/>
    <xf numFmtId="0" fontId="9" fillId="0" borderId="18" xfId="0" applyFont="1" applyFill="1" applyBorder="1"/>
    <xf numFmtId="10" fontId="9" fillId="0" borderId="20" xfId="0" applyNumberFormat="1" applyFont="1" applyFill="1" applyBorder="1"/>
    <xf numFmtId="0" fontId="9" fillId="0" borderId="0" xfId="0" applyFont="1" applyFill="1"/>
    <xf numFmtId="0" fontId="0" fillId="0" borderId="5" xfId="0" applyFont="1" applyBorder="1"/>
    <xf numFmtId="0" fontId="0" fillId="2" borderId="4" xfId="0" applyFont="1" applyFill="1" applyBorder="1" applyAlignment="1">
      <alignment horizontal="center"/>
    </xf>
    <xf numFmtId="0" fontId="0" fillId="0" borderId="8" xfId="0" applyFont="1" applyBorder="1"/>
    <xf numFmtId="0" fontId="0" fillId="0" borderId="10" xfId="0" applyFont="1" applyBorder="1"/>
    <xf numFmtId="0" fontId="0" fillId="0" borderId="2" xfId="0" applyFont="1" applyBorder="1"/>
    <xf numFmtId="0" fontId="0" fillId="0" borderId="9" xfId="0" applyFont="1" applyBorder="1" applyAlignment="1">
      <alignment horizontal="right"/>
    </xf>
    <xf numFmtId="0" fontId="0" fillId="9" borderId="0" xfId="0" applyFont="1" applyFill="1"/>
    <xf numFmtId="0" fontId="0" fillId="8" borderId="0" xfId="0" applyFont="1" applyFill="1"/>
    <xf numFmtId="0" fontId="0" fillId="0" borderId="26" xfId="0" applyFont="1" applyBorder="1"/>
    <xf numFmtId="0" fontId="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left"/>
    </xf>
    <xf numFmtId="0" fontId="0" fillId="0" borderId="1" xfId="0" applyFont="1" applyBorder="1"/>
    <xf numFmtId="0" fontId="0" fillId="0" borderId="3" xfId="0" applyFont="1" applyBorder="1"/>
    <xf numFmtId="0" fontId="0" fillId="8" borderId="2" xfId="0" applyFont="1" applyFill="1" applyBorder="1"/>
    <xf numFmtId="14" fontId="0" fillId="0" borderId="13" xfId="0" applyNumberFormat="1" applyFont="1" applyBorder="1"/>
    <xf numFmtId="14" fontId="0" fillId="0" borderId="14" xfId="0" applyNumberFormat="1" applyFont="1" applyBorder="1"/>
    <xf numFmtId="14" fontId="9" fillId="0" borderId="13" xfId="0" applyNumberFormat="1" applyFont="1" applyBorder="1"/>
    <xf numFmtId="0" fontId="10" fillId="0" borderId="15" xfId="0" applyFont="1" applyBorder="1"/>
    <xf numFmtId="8" fontId="9" fillId="3" borderId="16" xfId="0" applyNumberFormat="1" applyFont="1" applyFill="1" applyBorder="1"/>
    <xf numFmtId="8" fontId="9" fillId="3" borderId="17" xfId="0" applyNumberFormat="1" applyFont="1" applyFill="1" applyBorder="1"/>
    <xf numFmtId="8" fontId="9" fillId="4" borderId="16" xfId="0" applyNumberFormat="1" applyFont="1" applyFill="1" applyBorder="1"/>
    <xf numFmtId="8" fontId="9" fillId="4" borderId="17" xfId="0" applyNumberFormat="1" applyFont="1" applyFill="1" applyBorder="1"/>
    <xf numFmtId="8" fontId="9" fillId="5" borderId="16" xfId="0" applyNumberFormat="1" applyFont="1" applyFill="1" applyBorder="1"/>
    <xf numFmtId="8" fontId="9" fillId="5" borderId="17" xfId="0" applyNumberFormat="1" applyFont="1" applyFill="1" applyBorder="1"/>
    <xf numFmtId="0" fontId="10" fillId="0" borderId="18" xfId="0" applyFont="1" applyBorder="1"/>
    <xf numFmtId="44" fontId="10" fillId="6" borderId="19" xfId="0" applyNumberFormat="1" applyFont="1" applyFill="1" applyBorder="1"/>
    <xf numFmtId="44" fontId="10" fillId="6" borderId="20" xfId="0" applyNumberFormat="1" applyFont="1" applyFill="1" applyBorder="1"/>
    <xf numFmtId="1" fontId="9" fillId="3" borderId="16" xfId="0" applyNumberFormat="1" applyFont="1" applyFill="1" applyBorder="1"/>
    <xf numFmtId="1" fontId="9" fillId="4" borderId="16" xfId="0" applyNumberFormat="1" applyFont="1" applyFill="1" applyBorder="1"/>
    <xf numFmtId="1" fontId="9" fillId="4" borderId="17" xfId="0" applyNumberFormat="1" applyFont="1" applyFill="1" applyBorder="1"/>
    <xf numFmtId="1" fontId="9" fillId="5" borderId="16" xfId="0" applyNumberFormat="1" applyFont="1" applyFill="1" applyBorder="1"/>
    <xf numFmtId="1" fontId="10" fillId="6" borderId="19" xfId="0" applyNumberFormat="1" applyFont="1" applyFill="1" applyBorder="1"/>
    <xf numFmtId="0" fontId="0" fillId="0" borderId="15" xfId="0" applyFont="1" applyBorder="1"/>
    <xf numFmtId="0" fontId="0" fillId="0" borderId="18" xfId="0" applyFont="1" applyBorder="1"/>
    <xf numFmtId="0" fontId="0" fillId="0" borderId="19" xfId="0" applyFont="1" applyBorder="1"/>
    <xf numFmtId="0" fontId="0" fillId="0" borderId="19" xfId="0" applyFont="1" applyBorder="1" applyAlignment="1"/>
    <xf numFmtId="0" fontId="0" fillId="0" borderId="0" xfId="0" applyFont="1" applyBorder="1"/>
    <xf numFmtId="0" fontId="0" fillId="0" borderId="23" xfId="0" applyFont="1" applyBorder="1" applyAlignment="1"/>
    <xf numFmtId="0" fontId="11" fillId="2" borderId="12" xfId="0" applyFont="1" applyFill="1" applyBorder="1" applyAlignment="1">
      <alignment horizontal="center" vertical="center"/>
    </xf>
    <xf numFmtId="0" fontId="11" fillId="2" borderId="14" xfId="0" applyFont="1" applyFill="1" applyBorder="1"/>
    <xf numFmtId="0" fontId="11" fillId="0" borderId="15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0" fontId="11" fillId="0" borderId="20" xfId="0" applyFont="1" applyBorder="1" applyAlignment="1">
      <alignment horizontal="left" vertical="center"/>
    </xf>
    <xf numFmtId="0" fontId="11" fillId="0" borderId="15" xfId="0" applyFont="1" applyBorder="1"/>
    <xf numFmtId="0" fontId="11" fillId="2" borderId="16" xfId="0" applyFont="1" applyFill="1" applyBorder="1"/>
    <xf numFmtId="0" fontId="11" fillId="2" borderId="17" xfId="0" applyFont="1" applyFill="1" applyBorder="1"/>
    <xf numFmtId="0" fontId="11" fillId="0" borderId="16" xfId="0" applyFont="1" applyBorder="1"/>
    <xf numFmtId="0" fontId="11" fillId="0" borderId="17" xfId="0" applyFont="1" applyBorder="1"/>
    <xf numFmtId="0" fontId="11" fillId="0" borderId="0" xfId="0" applyFont="1" applyBorder="1"/>
    <xf numFmtId="0" fontId="11" fillId="0" borderId="30" xfId="0" applyFont="1" applyBorder="1"/>
    <xf numFmtId="0" fontId="12" fillId="2" borderId="16" xfId="0" applyFont="1" applyFill="1" applyBorder="1"/>
    <xf numFmtId="0" fontId="12" fillId="2" borderId="17" xfId="0" applyFont="1" applyFill="1" applyBorder="1"/>
    <xf numFmtId="0" fontId="11" fillId="0" borderId="19" xfId="0" applyFont="1" applyBorder="1"/>
    <xf numFmtId="0" fontId="12" fillId="2" borderId="15" xfId="0" applyFont="1" applyFill="1" applyBorder="1"/>
    <xf numFmtId="0" fontId="11" fillId="0" borderId="15" xfId="0" applyFont="1" applyBorder="1" applyAlignment="1">
      <alignment horizontal="left"/>
    </xf>
    <xf numFmtId="0" fontId="11" fillId="0" borderId="2" xfId="0" applyFont="1" applyBorder="1" applyAlignment="1">
      <alignment horizontal="center" vertical="center" textRotation="90"/>
    </xf>
    <xf numFmtId="0" fontId="11" fillId="0" borderId="17" xfId="0" applyFont="1" applyFill="1" applyBorder="1"/>
    <xf numFmtId="0" fontId="11" fillId="0" borderId="16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3" fillId="0" borderId="17" xfId="0" applyFont="1" applyFill="1" applyBorder="1"/>
    <xf numFmtId="0" fontId="11" fillId="0" borderId="20" xfId="0" applyFont="1" applyBorder="1"/>
    <xf numFmtId="0" fontId="11" fillId="0" borderId="39" xfId="0" applyFont="1" applyBorder="1"/>
    <xf numFmtId="0" fontId="11" fillId="0" borderId="39" xfId="0" applyFont="1" applyBorder="1" applyAlignment="1">
      <alignment horizontal="left"/>
    </xf>
    <xf numFmtId="0" fontId="11" fillId="2" borderId="24" xfId="0" applyFont="1" applyFill="1" applyBorder="1"/>
    <xf numFmtId="0" fontId="11" fillId="0" borderId="2" xfId="0" applyFont="1" applyFill="1" applyBorder="1"/>
    <xf numFmtId="0" fontId="12" fillId="2" borderId="39" xfId="0" applyFont="1" applyFill="1" applyBorder="1"/>
    <xf numFmtId="0" fontId="11" fillId="0" borderId="42" xfId="0" applyFont="1" applyBorder="1"/>
    <xf numFmtId="0" fontId="11" fillId="0" borderId="25" xfId="0" applyFont="1" applyFill="1" applyBorder="1"/>
    <xf numFmtId="0" fontId="14" fillId="0" borderId="0" xfId="0" applyFont="1"/>
    <xf numFmtId="0" fontId="14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14" fontId="14" fillId="0" borderId="0" xfId="0" applyNumberFormat="1" applyFont="1" applyAlignment="1">
      <alignment horizontal="center"/>
    </xf>
    <xf numFmtId="44" fontId="14" fillId="0" borderId="2" xfId="1" applyFont="1" applyBorder="1" applyAlignment="1">
      <alignment horizontal="center"/>
    </xf>
    <xf numFmtId="44" fontId="14" fillId="0" borderId="0" xfId="0" applyNumberFormat="1" applyFont="1" applyAlignment="1">
      <alignment horizontal="center"/>
    </xf>
    <xf numFmtId="44" fontId="14" fillId="0" borderId="0" xfId="0" applyNumberFormat="1" applyFont="1" applyBorder="1" applyAlignment="1">
      <alignment horizontal="center"/>
    </xf>
    <xf numFmtId="9" fontId="14" fillId="0" borderId="2" xfId="2" applyFont="1" applyBorder="1" applyAlignment="1">
      <alignment horizontal="center"/>
    </xf>
    <xf numFmtId="0" fontId="0" fillId="0" borderId="30" xfId="0" applyBorder="1"/>
    <xf numFmtId="0" fontId="11" fillId="0" borderId="0" xfId="0" applyFont="1" applyBorder="1" applyAlignment="1"/>
    <xf numFmtId="0" fontId="14" fillId="0" borderId="30" xfId="0" applyFont="1" applyBorder="1" applyAlignment="1">
      <alignment horizontal="center"/>
    </xf>
    <xf numFmtId="0" fontId="14" fillId="0" borderId="30" xfId="0" applyFont="1" applyBorder="1" applyAlignment="1">
      <alignment horizontal="center" wrapText="1"/>
    </xf>
    <xf numFmtId="0" fontId="0" fillId="0" borderId="30" xfId="0" applyFill="1" applyBorder="1" applyAlignment="1">
      <alignment horizontal="center"/>
    </xf>
    <xf numFmtId="44" fontId="14" fillId="0" borderId="44" xfId="0" applyNumberFormat="1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9" fontId="14" fillId="0" borderId="45" xfId="2" applyFont="1" applyBorder="1" applyAlignment="1">
      <alignment horizontal="center"/>
    </xf>
    <xf numFmtId="0" fontId="14" fillId="0" borderId="44" xfId="0" applyFont="1" applyBorder="1" applyAlignment="1">
      <alignment horizont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4" fontId="15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/>
    </xf>
    <xf numFmtId="44" fontId="15" fillId="0" borderId="3" xfId="1" applyFont="1" applyBorder="1" applyAlignment="1">
      <alignment horizontal="center"/>
    </xf>
    <xf numFmtId="44" fontId="15" fillId="0" borderId="1" xfId="0" applyNumberFormat="1" applyFont="1" applyBorder="1" applyAlignment="1">
      <alignment horizontal="center"/>
    </xf>
    <xf numFmtId="9" fontId="15" fillId="0" borderId="3" xfId="2" applyFont="1" applyBorder="1" applyAlignment="1">
      <alignment horizontal="center"/>
    </xf>
    <xf numFmtId="0" fontId="15" fillId="2" borderId="30" xfId="0" applyFont="1" applyFill="1" applyBorder="1" applyAlignment="1">
      <alignment horizontal="center"/>
    </xf>
    <xf numFmtId="44" fontId="15" fillId="0" borderId="0" xfId="0" applyNumberFormat="1" applyFont="1" applyFill="1" applyBorder="1" applyAlignment="1">
      <alignment horizontal="center" wrapText="1"/>
    </xf>
    <xf numFmtId="9" fontId="15" fillId="0" borderId="0" xfId="0" applyNumberFormat="1" applyFont="1" applyAlignment="1">
      <alignment horizontal="center"/>
    </xf>
    <xf numFmtId="0" fontId="6" fillId="0" borderId="2" xfId="0" applyFont="1" applyFill="1" applyBorder="1"/>
    <xf numFmtId="0" fontId="6" fillId="0" borderId="0" xfId="0" applyFont="1" applyFill="1" applyBorder="1"/>
    <xf numFmtId="0" fontId="11" fillId="0" borderId="2" xfId="0" applyFont="1" applyBorder="1" applyAlignment="1">
      <alignment horizontal="center" vertical="center" textRotation="90"/>
    </xf>
    <xf numFmtId="0" fontId="11" fillId="0" borderId="31" xfId="0" applyFont="1" applyBorder="1" applyAlignment="1">
      <alignment horizontal="center" vertical="center" textRotation="90"/>
    </xf>
    <xf numFmtId="0" fontId="12" fillId="10" borderId="5" xfId="0" applyFont="1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11" fillId="0" borderId="15" xfId="0" applyFont="1" applyBorder="1" applyAlignment="1">
      <alignment horizontal="center" vertical="center" textRotation="90"/>
    </xf>
    <xf numFmtId="0" fontId="11" fillId="0" borderId="18" xfId="0" applyFont="1" applyBorder="1" applyAlignment="1">
      <alignment horizontal="center" vertical="center" textRotation="90"/>
    </xf>
    <xf numFmtId="0" fontId="12" fillId="10" borderId="27" xfId="0" applyFont="1" applyFill="1" applyBorder="1" applyAlignment="1">
      <alignment horizontal="center"/>
    </xf>
    <xf numFmtId="0" fontId="12" fillId="10" borderId="28" xfId="0" applyFont="1" applyFill="1" applyBorder="1" applyAlignment="1">
      <alignment horizontal="center"/>
    </xf>
    <xf numFmtId="0" fontId="12" fillId="10" borderId="2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12" fillId="2" borderId="34" xfId="0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0" fontId="12" fillId="2" borderId="43" xfId="0" applyFont="1" applyFill="1" applyBorder="1" applyAlignment="1">
      <alignment horizontal="center"/>
    </xf>
    <xf numFmtId="0" fontId="12" fillId="2" borderId="39" xfId="0" applyFont="1" applyFill="1" applyBorder="1" applyAlignment="1">
      <alignment horizontal="center"/>
    </xf>
    <xf numFmtId="0" fontId="12" fillId="0" borderId="4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12" fillId="0" borderId="41" xfId="0" applyFont="1" applyFill="1" applyBorder="1" applyAlignment="1">
      <alignment horizontal="center"/>
    </xf>
    <xf numFmtId="0" fontId="12" fillId="10" borderId="8" xfId="0" applyFont="1" applyFill="1" applyBorder="1" applyAlignment="1">
      <alignment horizontal="center"/>
    </xf>
    <xf numFmtId="0" fontId="12" fillId="10" borderId="26" xfId="0" applyFont="1" applyFill="1" applyBorder="1" applyAlignment="1">
      <alignment horizontal="center"/>
    </xf>
    <xf numFmtId="0" fontId="12" fillId="10" borderId="34" xfId="0" applyFont="1" applyFill="1" applyBorder="1" applyAlignment="1">
      <alignment horizontal="center"/>
    </xf>
    <xf numFmtId="0" fontId="11" fillId="0" borderId="31" xfId="0" applyFont="1" applyBorder="1"/>
    <xf numFmtId="0" fontId="11" fillId="0" borderId="32" xfId="0" applyFont="1" applyBorder="1"/>
    <xf numFmtId="0" fontId="11" fillId="0" borderId="33" xfId="0" applyFont="1" applyBorder="1"/>
    <xf numFmtId="0" fontId="11" fillId="0" borderId="24" xfId="0" applyFont="1" applyBorder="1" applyAlignment="1">
      <alignment horizontal="center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11" fillId="0" borderId="15" xfId="0" applyFont="1" applyBorder="1" applyAlignment="1">
      <alignment horizontal="center" textRotation="90"/>
    </xf>
    <xf numFmtId="0" fontId="11" fillId="0" borderId="37" xfId="0" applyFont="1" applyBorder="1" applyAlignment="1">
      <alignment horizontal="center"/>
    </xf>
    <xf numFmtId="0" fontId="11" fillId="0" borderId="38" xfId="0" applyFont="1" applyBorder="1" applyAlignment="1">
      <alignment horizontal="center"/>
    </xf>
    <xf numFmtId="0" fontId="12" fillId="2" borderId="15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1" fillId="0" borderId="36" xfId="0" applyFont="1" applyBorder="1" applyAlignment="1">
      <alignment horizontal="center" vertical="center" textRotation="90"/>
    </xf>
    <xf numFmtId="0" fontId="11" fillId="0" borderId="31" xfId="0" applyFont="1" applyBorder="1" applyAlignment="1">
      <alignment horizontal="left"/>
    </xf>
    <xf numFmtId="0" fontId="11" fillId="0" borderId="33" xfId="0" applyFont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7" borderId="12" xfId="0" applyFont="1" applyFill="1" applyBorder="1" applyAlignment="1">
      <alignment horizontal="center"/>
    </xf>
    <xf numFmtId="0" fontId="0" fillId="7" borderId="13" xfId="0" applyFont="1" applyFill="1" applyBorder="1" applyAlignment="1">
      <alignment horizontal="center"/>
    </xf>
    <xf numFmtId="0" fontId="0" fillId="7" borderId="14" xfId="0" applyFont="1" applyFill="1" applyBorder="1" applyAlignment="1">
      <alignment horizontal="center"/>
    </xf>
    <xf numFmtId="0" fontId="0" fillId="7" borderId="21" xfId="0" applyFont="1" applyFill="1" applyBorder="1" applyAlignment="1">
      <alignment horizontal="center"/>
    </xf>
    <xf numFmtId="0" fontId="0" fillId="7" borderId="22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BC8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 Spend plan per CLIN'!$A$14</c:f>
              <c:strCache>
                <c:ptCount val="1"/>
                <c:pt idx="0">
                  <c:v>FUNDED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CLIN'!$B$14:$M$14</c:f>
              <c:numCache>
                <c:formatCode>"$"#,##0.00_);[Red]\("$"#,##0.00\)</c:formatCode>
                <c:ptCount val="12"/>
                <c:pt idx="0">
                  <c:v>25000</c:v>
                </c:pt>
                <c:pt idx="1">
                  <c:v>25000</c:v>
                </c:pt>
                <c:pt idx="2">
                  <c:v>25000</c:v>
                </c:pt>
                <c:pt idx="3">
                  <c:v>120000</c:v>
                </c:pt>
                <c:pt idx="4">
                  <c:v>350000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E-4D58-AE41-A4F8F291C172}"/>
            </c:ext>
          </c:extLst>
        </c:ser>
        <c:ser>
          <c:idx val="1"/>
          <c:order val="1"/>
          <c:tx>
            <c:strRef>
              <c:f>'COR Spend plan per CLIN'!$A$15</c:f>
              <c:strCache>
                <c:ptCount val="1"/>
                <c:pt idx="0">
                  <c:v>COSTS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CLIN'!$B$15:$M$15</c:f>
              <c:numCache>
                <c:formatCode>"$"#,##0.00_);[Red]\("$"#,##0.00\)</c:formatCode>
                <c:ptCount val="12"/>
                <c:pt idx="0">
                  <c:v>15000</c:v>
                </c:pt>
                <c:pt idx="1">
                  <c:v>22500</c:v>
                </c:pt>
                <c:pt idx="2">
                  <c:v>24500</c:v>
                </c:pt>
                <c:pt idx="3">
                  <c:v>50000</c:v>
                </c:pt>
                <c:pt idx="4">
                  <c:v>75000</c:v>
                </c:pt>
                <c:pt idx="5">
                  <c:v>100000</c:v>
                </c:pt>
                <c:pt idx="6">
                  <c:v>13000000</c:v>
                </c:pt>
                <c:pt idx="7">
                  <c:v>14000000</c:v>
                </c:pt>
                <c:pt idx="8">
                  <c:v>14100000</c:v>
                </c:pt>
                <c:pt idx="9">
                  <c:v>14589000</c:v>
                </c:pt>
                <c:pt idx="10">
                  <c:v>15552412</c:v>
                </c:pt>
                <c:pt idx="11">
                  <c:v>15860000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E-4D58-AE41-A4F8F291C172}"/>
            </c:ext>
          </c:extLst>
        </c:ser>
        <c:ser>
          <c:idx val="2"/>
          <c:order val="2"/>
          <c:tx>
            <c:strRef>
              <c:f>'COR Spend plan per CLIN'!$A$16</c:f>
              <c:strCache>
                <c:ptCount val="1"/>
                <c:pt idx="0">
                  <c:v>PROJECTED TOTAL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CLIN'!$B$16:$M$16</c:f>
              <c:numCache>
                <c:formatCode>"$"#,##0.00_);[Red]\("$"#,##0.00\)</c:formatCode>
                <c:ptCount val="12"/>
                <c:pt idx="0">
                  <c:v>15000000</c:v>
                </c:pt>
                <c:pt idx="1">
                  <c:v>15000000</c:v>
                </c:pt>
                <c:pt idx="2">
                  <c:v>15860000</c:v>
                </c:pt>
                <c:pt idx="3">
                  <c:v>15860000</c:v>
                </c:pt>
                <c:pt idx="4">
                  <c:v>15860000</c:v>
                </c:pt>
                <c:pt idx="5">
                  <c:v>15860000</c:v>
                </c:pt>
                <c:pt idx="6">
                  <c:v>15860000</c:v>
                </c:pt>
                <c:pt idx="7">
                  <c:v>15860000</c:v>
                </c:pt>
                <c:pt idx="8">
                  <c:v>15860000</c:v>
                </c:pt>
                <c:pt idx="9">
                  <c:v>15860000</c:v>
                </c:pt>
                <c:pt idx="10">
                  <c:v>15860000</c:v>
                </c:pt>
                <c:pt idx="11">
                  <c:v>15860000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FE-4D58-AE41-A4F8F291C172}"/>
            </c:ext>
          </c:extLst>
        </c:ser>
        <c:ser>
          <c:idx val="3"/>
          <c:order val="3"/>
          <c:tx>
            <c:strRef>
              <c:f>'COR Spend plan per CLIN'!$A$17</c:f>
              <c:strCache>
                <c:ptCount val="1"/>
                <c:pt idx="0">
                  <c:v>CEILING</c:v>
                </c:pt>
              </c:strCache>
            </c:strRef>
          </c:tx>
          <c:spPr>
            <a:ln w="28575" cap="rnd">
              <a:solidFill>
                <a:srgbClr val="BC8F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C8FDD"/>
              </a:solidFill>
              <a:ln w="9525">
                <a:solidFill>
                  <a:srgbClr val="BC8FDD"/>
                </a:solidFill>
              </a:ln>
              <a:effectLst/>
            </c:spPr>
          </c:marker>
          <c:cat>
            <c:strRef>
              <c:f>'COR Spend plan per CLIN'!$B$13:$M$13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CLIN'!$B$17:$M$17</c:f>
              <c:numCache>
                <c:formatCode>_("$"* #,##0.00_);_("$"* \(#,##0.00\);_("$"* "-"??_);_(@_)</c:formatCode>
                <c:ptCount val="12"/>
                <c:pt idx="0">
                  <c:v>15000000</c:v>
                </c:pt>
                <c:pt idx="1">
                  <c:v>15000000</c:v>
                </c:pt>
                <c:pt idx="2">
                  <c:v>15000000</c:v>
                </c:pt>
                <c:pt idx="3">
                  <c:v>15000000</c:v>
                </c:pt>
                <c:pt idx="4">
                  <c:v>15000000</c:v>
                </c:pt>
                <c:pt idx="5">
                  <c:v>15000000</c:v>
                </c:pt>
                <c:pt idx="6">
                  <c:v>15000000</c:v>
                </c:pt>
                <c:pt idx="7">
                  <c:v>15000000</c:v>
                </c:pt>
                <c:pt idx="8">
                  <c:v>15000000</c:v>
                </c:pt>
                <c:pt idx="9">
                  <c:v>15000000</c:v>
                </c:pt>
                <c:pt idx="10">
                  <c:v>15000000</c:v>
                </c:pt>
                <c:pt idx="11">
                  <c:v>15000000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FE-4D58-AE41-A4F8F291C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1890192"/>
        <c:axId val="541886584"/>
      </c:lineChart>
      <c:catAx>
        <c:axId val="54189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86584"/>
        <c:crosses val="autoZero"/>
        <c:auto val="1"/>
        <c:lblAlgn val="ctr"/>
        <c:lblOffset val="100"/>
        <c:noMultiLvlLbl val="0"/>
      </c:catAx>
      <c:valAx>
        <c:axId val="541886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890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.3" footer="0.3"/>
    <c:pageSetup paperSize="5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 Spend plan per CLIN'!$A$42</c:f>
              <c:strCache>
                <c:ptCount val="1"/>
                <c:pt idx="0">
                  <c:v>Budgeted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CLIN'!$B$42:$M$42</c:f>
              <c:numCache>
                <c:formatCode>0</c:formatCode>
                <c:ptCount val="12"/>
                <c:pt idx="0">
                  <c:v>3840</c:v>
                </c:pt>
                <c:pt idx="1">
                  <c:v>3840</c:v>
                </c:pt>
                <c:pt idx="2">
                  <c:v>3840</c:v>
                </c:pt>
                <c:pt idx="3">
                  <c:v>3840</c:v>
                </c:pt>
                <c:pt idx="4">
                  <c:v>3840</c:v>
                </c:pt>
                <c:pt idx="5">
                  <c:v>3840</c:v>
                </c:pt>
                <c:pt idx="6">
                  <c:v>3840</c:v>
                </c:pt>
                <c:pt idx="7">
                  <c:v>3840</c:v>
                </c:pt>
                <c:pt idx="8">
                  <c:v>5760</c:v>
                </c:pt>
                <c:pt idx="9">
                  <c:v>5760</c:v>
                </c:pt>
                <c:pt idx="10">
                  <c:v>5760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A-46AF-B8D8-2F1AF791460B}"/>
            </c:ext>
          </c:extLst>
        </c:ser>
        <c:ser>
          <c:idx val="1"/>
          <c:order val="1"/>
          <c:tx>
            <c:strRef>
              <c:f>'COR Spend plan per CLIN'!$A$43</c:f>
              <c:strCache>
                <c:ptCount val="1"/>
                <c:pt idx="0">
                  <c:v>Billed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CLIN'!$B$43:$M$43</c:f>
              <c:numCache>
                <c:formatCode>0</c:formatCode>
                <c:ptCount val="12"/>
                <c:pt idx="0">
                  <c:v>450</c:v>
                </c:pt>
                <c:pt idx="1">
                  <c:v>850</c:v>
                </c:pt>
                <c:pt idx="2">
                  <c:v>920</c:v>
                </c:pt>
                <c:pt idx="3">
                  <c:v>1050</c:v>
                </c:pt>
                <c:pt idx="4">
                  <c:v>1500</c:v>
                </c:pt>
                <c:pt idx="5">
                  <c:v>1750</c:v>
                </c:pt>
                <c:pt idx="6">
                  <c:v>2250</c:v>
                </c:pt>
                <c:pt idx="7">
                  <c:v>2550</c:v>
                </c:pt>
                <c:pt idx="8">
                  <c:v>2950</c:v>
                </c:pt>
                <c:pt idx="9">
                  <c:v>3500</c:v>
                </c:pt>
                <c:pt idx="10">
                  <c:v>4500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A-46AF-B8D8-2F1AF791460B}"/>
            </c:ext>
          </c:extLst>
        </c:ser>
        <c:ser>
          <c:idx val="2"/>
          <c:order val="2"/>
          <c:tx>
            <c:strRef>
              <c:f>'COR Spend plan per CLIN'!$A$44</c:f>
              <c:strCache>
                <c:ptCount val="1"/>
                <c:pt idx="0">
                  <c:v>PROJECTED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CLIN'!$B$44:$M$44</c:f>
              <c:numCache>
                <c:formatCode>0</c:formatCode>
                <c:ptCount val="12"/>
                <c:pt idx="0">
                  <c:v>3840</c:v>
                </c:pt>
                <c:pt idx="1">
                  <c:v>3840</c:v>
                </c:pt>
                <c:pt idx="2">
                  <c:v>3840</c:v>
                </c:pt>
                <c:pt idx="3">
                  <c:v>3840</c:v>
                </c:pt>
                <c:pt idx="4">
                  <c:v>3840</c:v>
                </c:pt>
                <c:pt idx="5">
                  <c:v>3840</c:v>
                </c:pt>
                <c:pt idx="6">
                  <c:v>5760</c:v>
                </c:pt>
                <c:pt idx="7">
                  <c:v>5760</c:v>
                </c:pt>
                <c:pt idx="8">
                  <c:v>5760</c:v>
                </c:pt>
                <c:pt idx="9">
                  <c:v>5760</c:v>
                </c:pt>
                <c:pt idx="10">
                  <c:v>5760</c:v>
                </c:pt>
                <c:pt idx="11">
                  <c:v>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DA-46AF-B8D8-2F1AF791460B}"/>
            </c:ext>
          </c:extLst>
        </c:ser>
        <c:ser>
          <c:idx val="3"/>
          <c:order val="3"/>
          <c:tx>
            <c:strRef>
              <c:f>'COR Spend plan per CLIN'!$A$45</c:f>
              <c:strCache>
                <c:ptCount val="1"/>
                <c:pt idx="0">
                  <c:v>CEILING</c:v>
                </c:pt>
              </c:strCache>
            </c:strRef>
          </c:tx>
          <c:spPr>
            <a:ln w="28575" cap="rnd">
              <a:solidFill>
                <a:srgbClr val="BC8FD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BC8FDD"/>
              </a:solidFill>
              <a:ln w="9525">
                <a:solidFill>
                  <a:srgbClr val="BC8FDD"/>
                </a:solidFill>
              </a:ln>
              <a:effectLst/>
            </c:spPr>
          </c:marker>
          <c:cat>
            <c:strRef>
              <c:f>'COR Spend plan per CLIN'!$B$41:$M$41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'COR Spend plan per CLIN'!$B$45:$M$45</c:f>
              <c:numCache>
                <c:formatCode>0</c:formatCode>
                <c:ptCount val="12"/>
                <c:pt idx="0">
                  <c:v>7500</c:v>
                </c:pt>
                <c:pt idx="1">
                  <c:v>7500</c:v>
                </c:pt>
                <c:pt idx="2">
                  <c:v>7500</c:v>
                </c:pt>
                <c:pt idx="3">
                  <c:v>7500</c:v>
                </c:pt>
                <c:pt idx="4">
                  <c:v>7500</c:v>
                </c:pt>
                <c:pt idx="5">
                  <c:v>7500</c:v>
                </c:pt>
                <c:pt idx="6">
                  <c:v>7500</c:v>
                </c:pt>
                <c:pt idx="7">
                  <c:v>7500</c:v>
                </c:pt>
                <c:pt idx="8">
                  <c:v>7500</c:v>
                </c:pt>
                <c:pt idx="9">
                  <c:v>7500</c:v>
                </c:pt>
                <c:pt idx="10">
                  <c:v>7500</c:v>
                </c:pt>
                <c:pt idx="11">
                  <c:v>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3DA-46AF-B8D8-2F1AF7914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385424"/>
        <c:axId val="549383128"/>
      </c:lineChart>
      <c:catAx>
        <c:axId val="54938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3128"/>
        <c:crosses val="autoZero"/>
        <c:auto val="1"/>
        <c:lblAlgn val="ctr"/>
        <c:lblOffset val="100"/>
        <c:noMultiLvlLbl val="0"/>
      </c:catAx>
      <c:valAx>
        <c:axId val="549383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3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119062</xdr:colOff>
      <xdr:row>18</xdr:row>
      <xdr:rowOff>42861</xdr:rowOff>
    </xdr:from>
    <xdr:to>
      <xdr:col>12</xdr:col>
      <xdr:colOff>590550</xdr:colOff>
      <xdr:row>37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390525</xdr:colOff>
      <xdr:row>46</xdr:row>
      <xdr:rowOff>157162</xdr:rowOff>
    </xdr:from>
    <xdr:to>
      <xdr:col>12</xdr:col>
      <xdr:colOff>852488</xdr:colOff>
      <xdr:row>62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75"/>
  <sheetViews>
    <sheetView tabSelected="1" zoomScale="80" zoomScaleNormal="80" workbookViewId="0">
      <selection activeCell="A5" sqref="A5"/>
    </sheetView>
  </sheetViews>
  <sheetFormatPr defaultRowHeight="15" x14ac:dyDescent="0.25"/>
  <cols>
    <col min="1" max="1" width="19.28515625" customWidth="1"/>
    <col min="2" max="2" width="56.85546875" bestFit="1" customWidth="1"/>
    <col min="3" max="3" width="117" bestFit="1" customWidth="1"/>
    <col min="7" max="7" width="18.5703125" bestFit="1" customWidth="1"/>
    <col min="8" max="8" width="71.140625" bestFit="1" customWidth="1"/>
    <col min="12" max="12" width="61.42578125" bestFit="1" customWidth="1"/>
    <col min="13" max="13" width="127.140625" bestFit="1" customWidth="1"/>
    <col min="17" max="17" width="27.28515625" bestFit="1" customWidth="1"/>
    <col min="18" max="18" width="115.85546875" bestFit="1" customWidth="1"/>
    <col min="21" max="21" width="63.42578125" bestFit="1" customWidth="1"/>
    <col min="22" max="22" width="136" bestFit="1" customWidth="1"/>
    <col min="26" max="26" width="40.140625" bestFit="1" customWidth="1"/>
    <col min="27" max="27" width="125.140625" bestFit="1" customWidth="1"/>
  </cols>
  <sheetData>
    <row r="1" spans="2:27" ht="15.75" thickBot="1" x14ac:dyDescent="0.3"/>
    <row r="2" spans="2:27" ht="16.5" thickBot="1" x14ac:dyDescent="0.3">
      <c r="B2" s="152" t="s">
        <v>211</v>
      </c>
      <c r="C2" s="153"/>
      <c r="F2" s="156" t="s">
        <v>212</v>
      </c>
      <c r="G2" s="157"/>
      <c r="H2" s="158"/>
      <c r="K2" s="170" t="s">
        <v>215</v>
      </c>
      <c r="L2" s="171"/>
      <c r="M2" s="172"/>
      <c r="P2" s="170" t="s">
        <v>219</v>
      </c>
      <c r="Q2" s="171"/>
      <c r="R2" s="172"/>
      <c r="U2" s="156" t="s">
        <v>383</v>
      </c>
      <c r="V2" s="158"/>
      <c r="Y2" s="170" t="s">
        <v>223</v>
      </c>
      <c r="Z2" s="171"/>
      <c r="AA2" s="172"/>
    </row>
    <row r="3" spans="2:27" ht="16.5" thickBot="1" x14ac:dyDescent="0.3">
      <c r="B3" s="89" t="s">
        <v>205</v>
      </c>
      <c r="C3" s="90" t="s">
        <v>206</v>
      </c>
      <c r="F3" s="176"/>
      <c r="G3" s="96" t="s">
        <v>213</v>
      </c>
      <c r="H3" s="97" t="s">
        <v>206</v>
      </c>
      <c r="K3" s="116"/>
      <c r="L3" s="102" t="s">
        <v>205</v>
      </c>
      <c r="M3" s="103" t="s">
        <v>206</v>
      </c>
      <c r="P3" s="177"/>
      <c r="Q3" s="102" t="s">
        <v>205</v>
      </c>
      <c r="R3" s="103" t="s">
        <v>206</v>
      </c>
      <c r="U3" s="105" t="s">
        <v>205</v>
      </c>
      <c r="V3" s="103" t="s">
        <v>206</v>
      </c>
      <c r="Y3" s="115"/>
      <c r="Z3" s="102" t="s">
        <v>205</v>
      </c>
      <c r="AA3" s="103" t="s">
        <v>206</v>
      </c>
    </row>
    <row r="4" spans="2:27" ht="15.75" x14ac:dyDescent="0.25">
      <c r="B4" s="91" t="s">
        <v>0</v>
      </c>
      <c r="C4" s="92" t="s">
        <v>207</v>
      </c>
      <c r="F4" s="177"/>
      <c r="G4" s="98" t="s">
        <v>9</v>
      </c>
      <c r="H4" s="99" t="s">
        <v>214</v>
      </c>
      <c r="K4" s="162"/>
      <c r="L4" s="113" t="s">
        <v>9</v>
      </c>
      <c r="M4" s="99" t="s">
        <v>216</v>
      </c>
      <c r="P4" s="177"/>
      <c r="Q4" s="98" t="s">
        <v>9</v>
      </c>
      <c r="R4" s="99" t="s">
        <v>216</v>
      </c>
      <c r="U4" s="95" t="s">
        <v>9</v>
      </c>
      <c r="V4" s="99" t="s">
        <v>216</v>
      </c>
      <c r="Y4" s="162"/>
      <c r="Z4" s="113" t="s">
        <v>9</v>
      </c>
      <c r="AA4" s="99" t="s">
        <v>216</v>
      </c>
    </row>
    <row r="5" spans="2:27" ht="15.75" x14ac:dyDescent="0.25">
      <c r="B5" s="91" t="s">
        <v>208</v>
      </c>
      <c r="C5" s="92" t="s">
        <v>209</v>
      </c>
      <c r="F5" s="177"/>
      <c r="G5" s="98" t="s">
        <v>11</v>
      </c>
      <c r="H5" s="99" t="s">
        <v>325</v>
      </c>
      <c r="K5" s="163"/>
      <c r="L5" s="113" t="s">
        <v>10</v>
      </c>
      <c r="M5" s="99" t="s">
        <v>217</v>
      </c>
      <c r="P5" s="177"/>
      <c r="Q5" s="98" t="s">
        <v>10</v>
      </c>
      <c r="R5" s="99" t="s">
        <v>217</v>
      </c>
      <c r="U5" s="95" t="s">
        <v>10</v>
      </c>
      <c r="V5" s="99" t="s">
        <v>287</v>
      </c>
      <c r="Y5" s="163"/>
      <c r="Z5" s="113" t="s">
        <v>10</v>
      </c>
      <c r="AA5" s="99" t="s">
        <v>287</v>
      </c>
    </row>
    <row r="6" spans="2:27" ht="15.75" x14ac:dyDescent="0.25">
      <c r="B6" s="91" t="s">
        <v>4</v>
      </c>
      <c r="C6" s="92" t="s">
        <v>309</v>
      </c>
      <c r="F6" s="177"/>
      <c r="G6" s="98" t="s">
        <v>12</v>
      </c>
      <c r="H6" s="99" t="s">
        <v>315</v>
      </c>
      <c r="K6" s="163"/>
      <c r="L6" s="113" t="s">
        <v>11</v>
      </c>
      <c r="M6" s="99" t="s">
        <v>325</v>
      </c>
      <c r="P6" s="177"/>
      <c r="Q6" s="98" t="s">
        <v>11</v>
      </c>
      <c r="R6" s="108" t="s">
        <v>325</v>
      </c>
      <c r="U6" s="95" t="s">
        <v>11</v>
      </c>
      <c r="V6" s="99" t="s">
        <v>325</v>
      </c>
      <c r="Y6" s="163"/>
      <c r="Z6" s="113" t="s">
        <v>11</v>
      </c>
      <c r="AA6" s="99" t="s">
        <v>325</v>
      </c>
    </row>
    <row r="7" spans="2:27" ht="15.75" x14ac:dyDescent="0.25">
      <c r="B7" s="91" t="s">
        <v>5</v>
      </c>
      <c r="C7" s="92" t="s">
        <v>310</v>
      </c>
      <c r="F7" s="177"/>
      <c r="G7" s="98" t="s">
        <v>204</v>
      </c>
      <c r="H7" s="108" t="s">
        <v>338</v>
      </c>
      <c r="K7" s="163"/>
      <c r="L7" s="113" t="s">
        <v>12</v>
      </c>
      <c r="M7" s="99" t="s">
        <v>315</v>
      </c>
      <c r="P7" s="177"/>
      <c r="Q7" s="98" t="s">
        <v>12</v>
      </c>
      <c r="R7" s="108" t="s">
        <v>315</v>
      </c>
      <c r="U7" s="95" t="s">
        <v>12</v>
      </c>
      <c r="V7" s="99" t="s">
        <v>315</v>
      </c>
      <c r="Y7" s="163"/>
      <c r="Z7" s="113" t="s">
        <v>12</v>
      </c>
      <c r="AA7" s="99" t="s">
        <v>315</v>
      </c>
    </row>
    <row r="8" spans="2:27" ht="15.75" x14ac:dyDescent="0.25">
      <c r="B8" s="91" t="s">
        <v>2</v>
      </c>
      <c r="C8" s="92" t="s">
        <v>311</v>
      </c>
      <c r="F8" s="177"/>
      <c r="G8" s="98" t="s">
        <v>203</v>
      </c>
      <c r="H8" s="108" t="s">
        <v>339</v>
      </c>
      <c r="K8" s="163"/>
      <c r="L8" s="113" t="s">
        <v>204</v>
      </c>
      <c r="M8" s="108" t="s">
        <v>347</v>
      </c>
      <c r="P8" s="177"/>
      <c r="Q8" s="98" t="s">
        <v>204</v>
      </c>
      <c r="R8" s="108" t="s">
        <v>347</v>
      </c>
      <c r="U8" s="95" t="s">
        <v>204</v>
      </c>
      <c r="V8" s="108" t="s">
        <v>347</v>
      </c>
      <c r="Y8" s="163"/>
      <c r="Z8" s="113" t="s">
        <v>204</v>
      </c>
      <c r="AA8" s="108" t="s">
        <v>347</v>
      </c>
    </row>
    <row r="9" spans="2:27" ht="15.75" x14ac:dyDescent="0.25">
      <c r="B9" s="91" t="s">
        <v>3</v>
      </c>
      <c r="C9" s="92" t="s">
        <v>308</v>
      </c>
      <c r="F9" s="177"/>
      <c r="G9" s="98" t="s">
        <v>14</v>
      </c>
      <c r="H9" s="108" t="s">
        <v>316</v>
      </c>
      <c r="K9" s="163"/>
      <c r="L9" s="113" t="s">
        <v>203</v>
      </c>
      <c r="M9" s="108" t="s">
        <v>348</v>
      </c>
      <c r="P9" s="177"/>
      <c r="Q9" s="98" t="s">
        <v>203</v>
      </c>
      <c r="R9" s="108" t="s">
        <v>348</v>
      </c>
      <c r="U9" s="95" t="s">
        <v>203</v>
      </c>
      <c r="V9" s="108" t="s">
        <v>348</v>
      </c>
      <c r="Y9" s="163"/>
      <c r="Z9" s="113" t="s">
        <v>203</v>
      </c>
      <c r="AA9" s="108" t="s">
        <v>348</v>
      </c>
    </row>
    <row r="10" spans="2:27" ht="16.5" thickBot="1" x14ac:dyDescent="0.3">
      <c r="B10" s="91" t="s">
        <v>386</v>
      </c>
      <c r="C10" s="92" t="s">
        <v>210</v>
      </c>
      <c r="F10" s="177"/>
      <c r="G10" s="96"/>
      <c r="H10" s="97"/>
      <c r="K10" s="163"/>
      <c r="L10" s="113" t="s">
        <v>73</v>
      </c>
      <c r="M10" s="108" t="s">
        <v>349</v>
      </c>
      <c r="P10" s="177"/>
      <c r="Q10" s="98" t="s">
        <v>14</v>
      </c>
      <c r="R10" s="108" t="s">
        <v>316</v>
      </c>
      <c r="U10" s="95" t="s">
        <v>14</v>
      </c>
      <c r="V10" s="99" t="s">
        <v>316</v>
      </c>
      <c r="Y10" s="164"/>
      <c r="Z10" s="113" t="s">
        <v>14</v>
      </c>
      <c r="AA10" s="99" t="s">
        <v>316</v>
      </c>
    </row>
    <row r="11" spans="2:27" ht="15.75" x14ac:dyDescent="0.25">
      <c r="B11" s="91" t="s">
        <v>385</v>
      </c>
      <c r="C11" s="92" t="s">
        <v>387</v>
      </c>
      <c r="F11" s="177"/>
      <c r="G11" s="180" t="s">
        <v>326</v>
      </c>
      <c r="H11" s="181"/>
      <c r="K11" s="163"/>
      <c r="L11" s="113" t="s">
        <v>14</v>
      </c>
      <c r="M11" s="108" t="s">
        <v>316</v>
      </c>
      <c r="P11" s="177"/>
      <c r="Q11" s="98" t="s">
        <v>15</v>
      </c>
      <c r="R11" s="108" t="s">
        <v>271</v>
      </c>
      <c r="U11" s="182" t="s">
        <v>380</v>
      </c>
      <c r="V11" s="183"/>
      <c r="Y11" s="184" t="s">
        <v>55</v>
      </c>
      <c r="Z11" s="98" t="s">
        <v>56</v>
      </c>
      <c r="AA11" s="99" t="s">
        <v>288</v>
      </c>
    </row>
    <row r="12" spans="2:27" ht="15.75" x14ac:dyDescent="0.25">
      <c r="B12" s="91" t="s">
        <v>201</v>
      </c>
      <c r="C12" s="92" t="s">
        <v>312</v>
      </c>
      <c r="F12" s="177"/>
      <c r="G12" s="98" t="s">
        <v>143</v>
      </c>
      <c r="H12" s="108" t="s">
        <v>340</v>
      </c>
      <c r="K12" s="163"/>
      <c r="L12" s="113" t="s">
        <v>33</v>
      </c>
      <c r="M12" s="108" t="s">
        <v>329</v>
      </c>
      <c r="P12" s="177"/>
      <c r="Q12" s="98" t="s">
        <v>16</v>
      </c>
      <c r="R12" s="108" t="s">
        <v>272</v>
      </c>
      <c r="U12" s="106" t="s">
        <v>123</v>
      </c>
      <c r="V12" s="108" t="s">
        <v>357</v>
      </c>
      <c r="Y12" s="154"/>
      <c r="Z12" s="98" t="s">
        <v>75</v>
      </c>
      <c r="AA12" s="99" t="s">
        <v>289</v>
      </c>
    </row>
    <row r="13" spans="2:27" ht="15.75" x14ac:dyDescent="0.25">
      <c r="B13" s="91" t="s">
        <v>1</v>
      </c>
      <c r="C13" s="92" t="s">
        <v>313</v>
      </c>
      <c r="F13" s="177"/>
      <c r="G13" s="98" t="s">
        <v>144</v>
      </c>
      <c r="H13" s="108" t="s">
        <v>341</v>
      </c>
      <c r="K13" s="163"/>
      <c r="L13" s="113" t="s">
        <v>34</v>
      </c>
      <c r="M13" s="108" t="s">
        <v>238</v>
      </c>
      <c r="P13" s="177"/>
      <c r="Q13" s="98" t="s">
        <v>75</v>
      </c>
      <c r="R13" s="108" t="s">
        <v>220</v>
      </c>
      <c r="U13" s="106" t="s">
        <v>124</v>
      </c>
      <c r="V13" s="108" t="s">
        <v>358</v>
      </c>
      <c r="Y13" s="154"/>
      <c r="Z13" s="98" t="s">
        <v>78</v>
      </c>
      <c r="AA13" s="99" t="s">
        <v>290</v>
      </c>
    </row>
    <row r="14" spans="2:27" ht="16.5" thickBot="1" x14ac:dyDescent="0.3">
      <c r="B14" s="93" t="s">
        <v>6</v>
      </c>
      <c r="C14" s="94" t="s">
        <v>314</v>
      </c>
      <c r="F14" s="177"/>
      <c r="G14" s="98" t="s">
        <v>82</v>
      </c>
      <c r="H14" s="108" t="s">
        <v>342</v>
      </c>
      <c r="K14" s="163"/>
      <c r="L14" s="113" t="s">
        <v>112</v>
      </c>
      <c r="M14" s="108" t="s">
        <v>237</v>
      </c>
      <c r="P14" s="177"/>
      <c r="Q14" s="98" t="s">
        <v>221</v>
      </c>
      <c r="R14" s="108" t="s">
        <v>242</v>
      </c>
      <c r="U14" s="106" t="s">
        <v>125</v>
      </c>
      <c r="V14" s="108" t="s">
        <v>359</v>
      </c>
      <c r="Y14" s="154"/>
      <c r="Z14" s="98" t="s">
        <v>67</v>
      </c>
      <c r="AA14" s="99" t="s">
        <v>291</v>
      </c>
    </row>
    <row r="15" spans="2:27" ht="15.75" x14ac:dyDescent="0.25">
      <c r="F15" s="177"/>
      <c r="G15" s="98" t="s">
        <v>83</v>
      </c>
      <c r="H15" s="108" t="s">
        <v>343</v>
      </c>
      <c r="K15" s="163"/>
      <c r="L15" s="113" t="s">
        <v>79</v>
      </c>
      <c r="M15" s="108" t="s">
        <v>236</v>
      </c>
      <c r="P15" s="178"/>
      <c r="Q15" s="98" t="s">
        <v>21</v>
      </c>
      <c r="R15" s="108" t="s">
        <v>243</v>
      </c>
      <c r="U15" s="106" t="s">
        <v>126</v>
      </c>
      <c r="V15" s="108" t="s">
        <v>381</v>
      </c>
      <c r="Y15" s="154"/>
      <c r="Z15" s="98" t="s">
        <v>69</v>
      </c>
      <c r="AA15" s="99" t="s">
        <v>292</v>
      </c>
    </row>
    <row r="16" spans="2:27" ht="15.6" customHeight="1" x14ac:dyDescent="0.25">
      <c r="F16" s="178"/>
      <c r="G16" s="96"/>
      <c r="H16" s="97"/>
      <c r="K16" s="163"/>
      <c r="L16" s="113" t="s">
        <v>113</v>
      </c>
      <c r="M16" s="108" t="s">
        <v>330</v>
      </c>
      <c r="P16" s="154" t="s">
        <v>159</v>
      </c>
      <c r="Q16" s="98" t="s">
        <v>22</v>
      </c>
      <c r="R16" s="108" t="s">
        <v>244</v>
      </c>
      <c r="U16" s="182" t="s">
        <v>379</v>
      </c>
      <c r="V16" s="183"/>
      <c r="Y16" s="154"/>
      <c r="Z16" s="98" t="s">
        <v>57</v>
      </c>
      <c r="AA16" s="99" t="s">
        <v>293</v>
      </c>
    </row>
    <row r="17" spans="6:27" ht="15.75" x14ac:dyDescent="0.25">
      <c r="F17" s="154" t="s">
        <v>118</v>
      </c>
      <c r="G17" s="98" t="s">
        <v>119</v>
      </c>
      <c r="H17" s="108" t="s">
        <v>344</v>
      </c>
      <c r="K17" s="163"/>
      <c r="L17" s="113" t="s">
        <v>114</v>
      </c>
      <c r="M17" s="108" t="s">
        <v>235</v>
      </c>
      <c r="P17" s="154"/>
      <c r="Q17" s="98" t="s">
        <v>43</v>
      </c>
      <c r="R17" s="108" t="s">
        <v>317</v>
      </c>
      <c r="U17" s="95" t="s">
        <v>176</v>
      </c>
      <c r="V17" s="108" t="s">
        <v>362</v>
      </c>
      <c r="Y17" s="154"/>
      <c r="Z17" s="98" t="s">
        <v>11</v>
      </c>
      <c r="AA17" s="99" t="s">
        <v>318</v>
      </c>
    </row>
    <row r="18" spans="6:27" ht="15.75" x14ac:dyDescent="0.25">
      <c r="F18" s="154"/>
      <c r="G18" s="98" t="s">
        <v>158</v>
      </c>
      <c r="H18" s="108" t="s">
        <v>345</v>
      </c>
      <c r="K18" s="163"/>
      <c r="L18" s="113" t="s">
        <v>115</v>
      </c>
      <c r="M18" s="108" t="s">
        <v>234</v>
      </c>
      <c r="P18" s="154"/>
      <c r="Q18" s="98" t="s">
        <v>44</v>
      </c>
      <c r="R18" s="108" t="s">
        <v>273</v>
      </c>
      <c r="U18" s="95" t="s">
        <v>177</v>
      </c>
      <c r="V18" s="108" t="s">
        <v>360</v>
      </c>
      <c r="Y18" s="154"/>
      <c r="Z18" s="98" t="s">
        <v>59</v>
      </c>
      <c r="AA18" s="99" t="s">
        <v>319</v>
      </c>
    </row>
    <row r="19" spans="6:27" ht="15.75" x14ac:dyDescent="0.25">
      <c r="F19" s="154"/>
      <c r="G19" s="98" t="s">
        <v>48</v>
      </c>
      <c r="H19" s="108" t="s">
        <v>346</v>
      </c>
      <c r="K19" s="163"/>
      <c r="L19" s="113" t="s">
        <v>36</v>
      </c>
      <c r="M19" s="108" t="s">
        <v>233</v>
      </c>
      <c r="P19" s="154"/>
      <c r="Q19" s="98" t="s">
        <v>50</v>
      </c>
      <c r="R19" s="108" t="s">
        <v>274</v>
      </c>
      <c r="U19" s="95" t="s">
        <v>178</v>
      </c>
      <c r="V19" s="108" t="s">
        <v>361</v>
      </c>
      <c r="Y19" s="154"/>
      <c r="Z19" s="98" t="s">
        <v>60</v>
      </c>
      <c r="AA19" s="99" t="s">
        <v>294</v>
      </c>
    </row>
    <row r="20" spans="6:27" ht="15.75" x14ac:dyDescent="0.25">
      <c r="F20" s="154"/>
      <c r="G20" s="98" t="s">
        <v>120</v>
      </c>
      <c r="H20" s="108" t="s">
        <v>372</v>
      </c>
      <c r="K20" s="163"/>
      <c r="L20" s="113" t="s">
        <v>35</v>
      </c>
      <c r="M20" s="108" t="s">
        <v>232</v>
      </c>
      <c r="P20" s="154"/>
      <c r="Q20" s="98" t="s">
        <v>139</v>
      </c>
      <c r="R20" s="108" t="s">
        <v>275</v>
      </c>
      <c r="U20" s="95" t="s">
        <v>126</v>
      </c>
      <c r="V20" s="108" t="s">
        <v>382</v>
      </c>
      <c r="Y20" s="154"/>
      <c r="Z20" s="98" t="s">
        <v>58</v>
      </c>
      <c r="AA20" s="99" t="s">
        <v>295</v>
      </c>
    </row>
    <row r="21" spans="6:27" ht="16.5" thickBot="1" x14ac:dyDescent="0.3">
      <c r="F21" s="154"/>
      <c r="G21" s="98" t="s">
        <v>121</v>
      </c>
      <c r="H21" s="99" t="s">
        <v>327</v>
      </c>
      <c r="K21" s="163"/>
      <c r="L21" s="113" t="s">
        <v>116</v>
      </c>
      <c r="M21" s="108" t="s">
        <v>231</v>
      </c>
      <c r="P21" s="154"/>
      <c r="Q21" s="98" t="s">
        <v>51</v>
      </c>
      <c r="R21" s="108" t="s">
        <v>276</v>
      </c>
      <c r="U21" s="185" t="s">
        <v>384</v>
      </c>
      <c r="V21" s="186"/>
      <c r="W21" s="129"/>
      <c r="X21" s="128"/>
      <c r="Y21" s="154"/>
      <c r="Z21" s="98" t="s">
        <v>61</v>
      </c>
      <c r="AA21" s="99" t="s">
        <v>297</v>
      </c>
    </row>
    <row r="22" spans="6:27" ht="16.5" thickBot="1" x14ac:dyDescent="0.3">
      <c r="F22" s="155"/>
      <c r="G22" s="104" t="s">
        <v>122</v>
      </c>
      <c r="H22" s="112" t="s">
        <v>328</v>
      </c>
      <c r="K22" s="163"/>
      <c r="L22" s="113" t="s">
        <v>20</v>
      </c>
      <c r="M22" s="108" t="s">
        <v>230</v>
      </c>
      <c r="P22" s="154"/>
      <c r="Q22" s="98" t="s">
        <v>52</v>
      </c>
      <c r="R22" s="108" t="s">
        <v>373</v>
      </c>
      <c r="W22" s="1"/>
      <c r="Y22" s="154"/>
      <c r="Z22" s="98" t="s">
        <v>71</v>
      </c>
      <c r="AA22" s="99" t="s">
        <v>296</v>
      </c>
    </row>
    <row r="23" spans="6:27" ht="15.75" x14ac:dyDescent="0.25">
      <c r="K23" s="163"/>
      <c r="L23" s="113" t="s">
        <v>42</v>
      </c>
      <c r="M23" s="108" t="s">
        <v>369</v>
      </c>
      <c r="P23" s="154"/>
      <c r="Q23" s="98" t="s">
        <v>53</v>
      </c>
      <c r="R23" s="108" t="s">
        <v>277</v>
      </c>
      <c r="Y23" s="154"/>
      <c r="Z23" s="98" t="s">
        <v>224</v>
      </c>
      <c r="AA23" s="99" t="s">
        <v>225</v>
      </c>
    </row>
    <row r="24" spans="6:27" ht="16.5" thickBot="1" x14ac:dyDescent="0.3">
      <c r="K24" s="164"/>
      <c r="L24" s="118" t="s">
        <v>117</v>
      </c>
      <c r="M24" s="119" t="s">
        <v>368</v>
      </c>
      <c r="P24" s="154"/>
      <c r="Q24" s="98" t="s">
        <v>54</v>
      </c>
      <c r="R24" s="108" t="s">
        <v>278</v>
      </c>
      <c r="Y24" s="154"/>
      <c r="Z24" s="98" t="s">
        <v>72</v>
      </c>
      <c r="AA24" s="99" t="s">
        <v>298</v>
      </c>
    </row>
    <row r="25" spans="6:27" ht="15.75" x14ac:dyDescent="0.25">
      <c r="H25" s="1"/>
      <c r="K25" s="167"/>
      <c r="L25" s="165" t="s">
        <v>240</v>
      </c>
      <c r="M25" s="166"/>
      <c r="P25" s="154"/>
      <c r="Q25" s="98" t="s">
        <v>104</v>
      </c>
      <c r="R25" s="108" t="s">
        <v>248</v>
      </c>
      <c r="Y25" s="154"/>
      <c r="Z25" s="98" t="s">
        <v>226</v>
      </c>
      <c r="AA25" s="99" t="s">
        <v>227</v>
      </c>
    </row>
    <row r="26" spans="6:27" ht="14.45" customHeight="1" x14ac:dyDescent="0.25">
      <c r="K26" s="168"/>
      <c r="L26" s="117" t="s">
        <v>205</v>
      </c>
      <c r="M26" s="103" t="s">
        <v>206</v>
      </c>
      <c r="P26" s="154"/>
      <c r="Q26" s="98" t="s">
        <v>45</v>
      </c>
      <c r="R26" s="108" t="s">
        <v>279</v>
      </c>
      <c r="Y26" s="154"/>
      <c r="Z26" s="98" t="s">
        <v>111</v>
      </c>
      <c r="AA26" s="99" t="s">
        <v>337</v>
      </c>
    </row>
    <row r="27" spans="6:27" ht="15.75" x14ac:dyDescent="0.25">
      <c r="K27" s="168"/>
      <c r="L27" s="113" t="s">
        <v>146</v>
      </c>
      <c r="M27" s="99" t="s">
        <v>331</v>
      </c>
      <c r="P27" s="154"/>
      <c r="Q27" s="98" t="s">
        <v>105</v>
      </c>
      <c r="R27" s="108" t="s">
        <v>281</v>
      </c>
      <c r="Y27" s="154"/>
      <c r="Z27" s="98" t="s">
        <v>64</v>
      </c>
      <c r="AA27" s="99" t="s">
        <v>299</v>
      </c>
    </row>
    <row r="28" spans="6:27" ht="15.75" x14ac:dyDescent="0.25">
      <c r="K28" s="168"/>
      <c r="L28" s="113" t="s">
        <v>147</v>
      </c>
      <c r="M28" s="99" t="s">
        <v>332</v>
      </c>
      <c r="P28" s="154"/>
      <c r="Q28" s="98" t="s">
        <v>194</v>
      </c>
      <c r="R28" s="108" t="s">
        <v>352</v>
      </c>
      <c r="Y28" s="154"/>
      <c r="Z28" s="98" t="s">
        <v>62</v>
      </c>
      <c r="AA28" s="99" t="s">
        <v>320</v>
      </c>
    </row>
    <row r="29" spans="6:27" ht="15.75" x14ac:dyDescent="0.25">
      <c r="K29" s="168"/>
      <c r="L29" s="113" t="s">
        <v>148</v>
      </c>
      <c r="M29" s="99" t="s">
        <v>333</v>
      </c>
      <c r="P29" s="154"/>
      <c r="Q29" s="98" t="s">
        <v>38</v>
      </c>
      <c r="R29" s="108" t="s">
        <v>258</v>
      </c>
      <c r="Y29" s="154" t="s">
        <v>18</v>
      </c>
      <c r="Z29" s="98" t="s">
        <v>66</v>
      </c>
      <c r="AA29" s="99" t="s">
        <v>300</v>
      </c>
    </row>
    <row r="30" spans="6:27" ht="14.45" customHeight="1" x14ac:dyDescent="0.25">
      <c r="K30" s="168"/>
      <c r="L30" s="113" t="s">
        <v>149</v>
      </c>
      <c r="M30" s="99" t="s">
        <v>332</v>
      </c>
      <c r="P30" s="154"/>
      <c r="Q30" s="98" t="s">
        <v>185</v>
      </c>
      <c r="R30" s="108" t="s">
        <v>280</v>
      </c>
      <c r="Y30" s="154"/>
      <c r="Z30" s="98" t="s">
        <v>75</v>
      </c>
      <c r="AA30" s="99" t="s">
        <v>301</v>
      </c>
    </row>
    <row r="31" spans="6:27" ht="14.45" customHeight="1" x14ac:dyDescent="0.25">
      <c r="K31" s="168"/>
      <c r="L31" s="113" t="s">
        <v>150</v>
      </c>
      <c r="M31" s="99" t="s">
        <v>331</v>
      </c>
      <c r="P31" s="179" t="s">
        <v>47</v>
      </c>
      <c r="Q31" s="98" t="s">
        <v>46</v>
      </c>
      <c r="R31" s="108" t="s">
        <v>284</v>
      </c>
      <c r="Y31" s="154"/>
      <c r="Z31" s="98" t="s">
        <v>78</v>
      </c>
      <c r="AA31" s="99" t="s">
        <v>302</v>
      </c>
    </row>
    <row r="32" spans="6:27" ht="15.75" x14ac:dyDescent="0.25">
      <c r="K32" s="168"/>
      <c r="L32" s="113" t="s">
        <v>151</v>
      </c>
      <c r="M32" s="99" t="s">
        <v>332</v>
      </c>
      <c r="P32" s="179"/>
      <c r="Q32" s="98" t="s">
        <v>195</v>
      </c>
      <c r="R32" s="108" t="s">
        <v>282</v>
      </c>
      <c r="Y32" s="154"/>
      <c r="Z32" s="98" t="s">
        <v>67</v>
      </c>
      <c r="AA32" s="108" t="s">
        <v>363</v>
      </c>
    </row>
    <row r="33" spans="11:27" ht="14.45" customHeight="1" x14ac:dyDescent="0.25">
      <c r="K33" s="168"/>
      <c r="L33" s="113" t="s">
        <v>155</v>
      </c>
      <c r="M33" s="99" t="s">
        <v>334</v>
      </c>
      <c r="P33" s="179"/>
      <c r="Q33" s="98" t="s">
        <v>196</v>
      </c>
      <c r="R33" s="108" t="s">
        <v>353</v>
      </c>
      <c r="Y33" s="154"/>
      <c r="Z33" s="98" t="s">
        <v>68</v>
      </c>
      <c r="AA33" s="99" t="s">
        <v>303</v>
      </c>
    </row>
    <row r="34" spans="11:27" ht="15.75" x14ac:dyDescent="0.25">
      <c r="K34" s="168"/>
      <c r="L34" s="113" t="s">
        <v>156</v>
      </c>
      <c r="M34" s="99" t="s">
        <v>334</v>
      </c>
      <c r="P34" s="179"/>
      <c r="Q34" s="98" t="s">
        <v>173</v>
      </c>
      <c r="R34" s="108" t="s">
        <v>283</v>
      </c>
      <c r="Y34" s="154"/>
      <c r="Z34" s="98" t="s">
        <v>59</v>
      </c>
      <c r="AA34" s="99" t="s">
        <v>304</v>
      </c>
    </row>
    <row r="35" spans="11:27" ht="14.45" customHeight="1" x14ac:dyDescent="0.25">
      <c r="K35" s="168"/>
      <c r="L35" s="113" t="s">
        <v>157</v>
      </c>
      <c r="M35" s="99" t="s">
        <v>334</v>
      </c>
      <c r="P35" s="154" t="s">
        <v>48</v>
      </c>
      <c r="Q35" s="98" t="s">
        <v>179</v>
      </c>
      <c r="R35" s="111" t="s">
        <v>354</v>
      </c>
      <c r="Y35" s="154"/>
      <c r="Z35" s="98" t="s">
        <v>65</v>
      </c>
      <c r="AA35" s="99" t="s">
        <v>305</v>
      </c>
    </row>
    <row r="36" spans="11:27" ht="15.75" x14ac:dyDescent="0.25">
      <c r="K36" s="168"/>
      <c r="L36" s="113" t="s">
        <v>152</v>
      </c>
      <c r="M36" s="99" t="s">
        <v>335</v>
      </c>
      <c r="P36" s="154"/>
      <c r="Q36" s="98" t="s">
        <v>196</v>
      </c>
      <c r="R36" s="108" t="s">
        <v>355</v>
      </c>
      <c r="Y36" s="154"/>
      <c r="Z36" s="98" t="s">
        <v>70</v>
      </c>
      <c r="AA36" s="99" t="s">
        <v>321</v>
      </c>
    </row>
    <row r="37" spans="11:27" ht="15.75" x14ac:dyDescent="0.25">
      <c r="K37" s="168"/>
      <c r="L37" s="113" t="s">
        <v>153</v>
      </c>
      <c r="M37" s="99" t="s">
        <v>335</v>
      </c>
      <c r="P37" s="154"/>
      <c r="Q37" s="98" t="s">
        <v>173</v>
      </c>
      <c r="R37" s="108" t="s">
        <v>356</v>
      </c>
      <c r="Y37" s="154"/>
      <c r="Z37" s="98" t="s">
        <v>71</v>
      </c>
      <c r="AA37" s="99" t="s">
        <v>306</v>
      </c>
    </row>
    <row r="38" spans="11:27" ht="14.45" customHeight="1" x14ac:dyDescent="0.25">
      <c r="K38" s="168"/>
      <c r="L38" s="113" t="s">
        <v>154</v>
      </c>
      <c r="M38" s="99" t="s">
        <v>335</v>
      </c>
      <c r="P38" s="154" t="s">
        <v>180</v>
      </c>
      <c r="Q38" s="98" t="s">
        <v>49</v>
      </c>
      <c r="R38" s="99" t="s">
        <v>285</v>
      </c>
      <c r="Y38" s="154"/>
      <c r="Z38" s="98" t="s">
        <v>224</v>
      </c>
      <c r="AA38" s="99" t="s">
        <v>225</v>
      </c>
    </row>
    <row r="39" spans="11:27" ht="15.75" x14ac:dyDescent="0.25">
      <c r="K39" s="168"/>
      <c r="L39" s="113" t="s">
        <v>142</v>
      </c>
      <c r="M39" s="99" t="s">
        <v>241</v>
      </c>
      <c r="P39" s="154"/>
      <c r="Q39" s="98" t="s">
        <v>181</v>
      </c>
      <c r="R39" s="99" t="s">
        <v>286</v>
      </c>
      <c r="Y39" s="154"/>
      <c r="Z39" s="98" t="s">
        <v>72</v>
      </c>
      <c r="AA39" s="99" t="s">
        <v>307</v>
      </c>
    </row>
    <row r="40" spans="11:27" ht="16.5" thickBot="1" x14ac:dyDescent="0.3">
      <c r="K40" s="169"/>
      <c r="L40" s="113" t="s">
        <v>84</v>
      </c>
      <c r="M40" s="99" t="s">
        <v>371</v>
      </c>
      <c r="P40" s="107"/>
      <c r="Q40" s="100"/>
      <c r="R40" s="101"/>
      <c r="Y40" s="154"/>
      <c r="Z40" s="98" t="s">
        <v>229</v>
      </c>
      <c r="AA40" s="99" t="s">
        <v>227</v>
      </c>
    </row>
    <row r="41" spans="11:27" ht="16.5" thickBot="1" x14ac:dyDescent="0.3">
      <c r="K41" s="159" t="s">
        <v>336</v>
      </c>
      <c r="L41" s="160" t="s">
        <v>76</v>
      </c>
      <c r="M41" s="161"/>
      <c r="P41" s="173" t="s">
        <v>222</v>
      </c>
      <c r="Q41" s="174"/>
      <c r="R41" s="175"/>
      <c r="Y41" s="154"/>
      <c r="Z41" s="98" t="s">
        <v>111</v>
      </c>
      <c r="AA41" s="99" t="s">
        <v>337</v>
      </c>
    </row>
    <row r="42" spans="11:27" ht="15.75" x14ac:dyDescent="0.25">
      <c r="K42" s="162"/>
      <c r="L42" s="113" t="s">
        <v>7</v>
      </c>
      <c r="M42" s="99" t="s">
        <v>242</v>
      </c>
      <c r="Y42" s="154"/>
      <c r="Z42" s="98" t="s">
        <v>140</v>
      </c>
      <c r="AA42" s="99" t="s">
        <v>322</v>
      </c>
    </row>
    <row r="43" spans="11:27" ht="15.75" x14ac:dyDescent="0.25">
      <c r="K43" s="163"/>
      <c r="L43" s="113" t="s">
        <v>21</v>
      </c>
      <c r="M43" s="99" t="s">
        <v>243</v>
      </c>
      <c r="Y43" s="154"/>
      <c r="Z43" s="98" t="s">
        <v>199</v>
      </c>
      <c r="AA43" s="99" t="s">
        <v>228</v>
      </c>
    </row>
    <row r="44" spans="11:27" ht="16.5" thickBot="1" x14ac:dyDescent="0.3">
      <c r="K44" s="163"/>
      <c r="L44" s="113" t="s">
        <v>22</v>
      </c>
      <c r="M44" s="99" t="s">
        <v>244</v>
      </c>
      <c r="Y44" s="155"/>
      <c r="Z44" s="104" t="s">
        <v>141</v>
      </c>
      <c r="AA44" s="112" t="s">
        <v>323</v>
      </c>
    </row>
    <row r="45" spans="11:27" ht="15.75" x14ac:dyDescent="0.25">
      <c r="K45" s="163"/>
      <c r="L45" s="114" t="s">
        <v>57</v>
      </c>
      <c r="M45" s="99" t="s">
        <v>245</v>
      </c>
    </row>
    <row r="46" spans="11:27" ht="16.5" thickBot="1" x14ac:dyDescent="0.3">
      <c r="K46" s="164"/>
      <c r="L46" s="114" t="s">
        <v>40</v>
      </c>
      <c r="M46" s="99" t="s">
        <v>246</v>
      </c>
    </row>
    <row r="47" spans="11:27" ht="15.75" x14ac:dyDescent="0.25">
      <c r="K47" s="150" t="s">
        <v>218</v>
      </c>
      <c r="L47" s="109" t="s">
        <v>92</v>
      </c>
      <c r="M47" s="99" t="s">
        <v>247</v>
      </c>
    </row>
    <row r="48" spans="11:27" ht="15.75" x14ac:dyDescent="0.25">
      <c r="K48" s="150"/>
      <c r="L48" s="109" t="s">
        <v>93</v>
      </c>
      <c r="M48" s="99" t="s">
        <v>248</v>
      </c>
    </row>
    <row r="49" spans="11:13" ht="15.75" x14ac:dyDescent="0.25">
      <c r="K49" s="150"/>
      <c r="L49" s="109" t="s">
        <v>183</v>
      </c>
      <c r="M49" s="99" t="s">
        <v>249</v>
      </c>
    </row>
    <row r="50" spans="11:13" ht="15.75" x14ac:dyDescent="0.25">
      <c r="K50" s="150"/>
      <c r="L50" s="109" t="s">
        <v>108</v>
      </c>
      <c r="M50" s="99" t="s">
        <v>250</v>
      </c>
    </row>
    <row r="51" spans="11:13" ht="15.75" x14ac:dyDescent="0.25">
      <c r="K51" s="150"/>
      <c r="L51" s="98" t="s">
        <v>251</v>
      </c>
      <c r="M51" s="99" t="s">
        <v>252</v>
      </c>
    </row>
    <row r="52" spans="11:13" ht="15.75" x14ac:dyDescent="0.25">
      <c r="K52" s="150"/>
      <c r="L52" s="109" t="s">
        <v>8</v>
      </c>
      <c r="M52" s="99" t="s">
        <v>253</v>
      </c>
    </row>
    <row r="53" spans="11:13" ht="15.75" x14ac:dyDescent="0.25">
      <c r="K53" s="150"/>
      <c r="L53" s="109" t="s">
        <v>95</v>
      </c>
      <c r="M53" s="99" t="s">
        <v>254</v>
      </c>
    </row>
    <row r="54" spans="11:13" ht="15.75" x14ac:dyDescent="0.25">
      <c r="K54" s="150"/>
      <c r="L54" s="109" t="s">
        <v>79</v>
      </c>
      <c r="M54" s="99" t="s">
        <v>255</v>
      </c>
    </row>
    <row r="55" spans="11:13" ht="15.75" x14ac:dyDescent="0.25">
      <c r="K55" s="150"/>
      <c r="L55" s="109" t="s">
        <v>96</v>
      </c>
      <c r="M55" s="99" t="s">
        <v>256</v>
      </c>
    </row>
    <row r="56" spans="11:13" ht="15.75" x14ac:dyDescent="0.25">
      <c r="K56" s="150"/>
      <c r="L56" s="109" t="s">
        <v>37</v>
      </c>
      <c r="M56" s="99" t="s">
        <v>257</v>
      </c>
    </row>
    <row r="57" spans="11:13" ht="15.75" x14ac:dyDescent="0.25">
      <c r="K57" s="150"/>
      <c r="L57" s="109" t="s">
        <v>38</v>
      </c>
      <c r="M57" s="108" t="s">
        <v>258</v>
      </c>
    </row>
    <row r="58" spans="11:13" ht="15.75" x14ac:dyDescent="0.25">
      <c r="K58" s="150"/>
      <c r="L58" s="109" t="s">
        <v>39</v>
      </c>
      <c r="M58" s="108" t="s">
        <v>259</v>
      </c>
    </row>
    <row r="59" spans="11:13" ht="15.75" x14ac:dyDescent="0.25">
      <c r="K59" s="150"/>
      <c r="L59" s="109" t="s">
        <v>184</v>
      </c>
      <c r="M59" s="108" t="s">
        <v>350</v>
      </c>
    </row>
    <row r="60" spans="11:13" ht="15.75" x14ac:dyDescent="0.25">
      <c r="K60" s="150"/>
      <c r="L60" s="109" t="s">
        <v>185</v>
      </c>
      <c r="M60" s="108" t="s">
        <v>364</v>
      </c>
    </row>
    <row r="61" spans="11:13" ht="15.75" x14ac:dyDescent="0.25">
      <c r="K61" s="150"/>
      <c r="L61" s="109" t="s">
        <v>186</v>
      </c>
      <c r="M61" s="108" t="s">
        <v>351</v>
      </c>
    </row>
    <row r="62" spans="11:13" ht="15.75" x14ac:dyDescent="0.25">
      <c r="K62" s="150"/>
      <c r="L62" s="109" t="s">
        <v>42</v>
      </c>
      <c r="M62" s="108" t="s">
        <v>370</v>
      </c>
    </row>
    <row r="63" spans="11:13" ht="15.75" x14ac:dyDescent="0.25">
      <c r="K63" s="150"/>
      <c r="L63" s="109" t="s">
        <v>102</v>
      </c>
      <c r="M63" s="108" t="s">
        <v>266</v>
      </c>
    </row>
    <row r="64" spans="11:13" ht="15.75" x14ac:dyDescent="0.25">
      <c r="K64" s="150" t="s">
        <v>18</v>
      </c>
      <c r="L64" s="109" t="s">
        <v>98</v>
      </c>
      <c r="M64" s="108" t="s">
        <v>260</v>
      </c>
    </row>
    <row r="65" spans="11:13" ht="15.75" x14ac:dyDescent="0.25">
      <c r="K65" s="150"/>
      <c r="L65" s="109" t="s">
        <v>187</v>
      </c>
      <c r="M65" s="108" t="s">
        <v>365</v>
      </c>
    </row>
    <row r="66" spans="11:13" ht="15.75" x14ac:dyDescent="0.25">
      <c r="K66" s="150"/>
      <c r="L66" s="109" t="s">
        <v>79</v>
      </c>
      <c r="M66" s="108" t="s">
        <v>261</v>
      </c>
    </row>
    <row r="67" spans="11:13" ht="15.75" x14ac:dyDescent="0.25">
      <c r="K67" s="150"/>
      <c r="L67" s="109" t="s">
        <v>102</v>
      </c>
      <c r="M67" s="108" t="s">
        <v>267</v>
      </c>
    </row>
    <row r="68" spans="11:13" ht="15.75" x14ac:dyDescent="0.25">
      <c r="K68" s="150" t="s">
        <v>19</v>
      </c>
      <c r="L68" s="109" t="s">
        <v>100</v>
      </c>
      <c r="M68" s="108" t="s">
        <v>262</v>
      </c>
    </row>
    <row r="69" spans="11:13" ht="15.75" x14ac:dyDescent="0.25">
      <c r="K69" s="150"/>
      <c r="L69" s="109" t="s">
        <v>188</v>
      </c>
      <c r="M69" s="108" t="s">
        <v>366</v>
      </c>
    </row>
    <row r="70" spans="11:13" ht="15.75" x14ac:dyDescent="0.25">
      <c r="K70" s="150"/>
      <c r="L70" s="109" t="s">
        <v>79</v>
      </c>
      <c r="M70" s="108" t="s">
        <v>263</v>
      </c>
    </row>
    <row r="71" spans="11:13" ht="15.75" x14ac:dyDescent="0.25">
      <c r="K71" s="150"/>
      <c r="L71" s="109" t="s">
        <v>102</v>
      </c>
      <c r="M71" s="108" t="s">
        <v>268</v>
      </c>
    </row>
    <row r="72" spans="11:13" ht="15.75" x14ac:dyDescent="0.25">
      <c r="K72" s="150" t="s">
        <v>99</v>
      </c>
      <c r="L72" s="109" t="s">
        <v>101</v>
      </c>
      <c r="M72" s="108" t="s">
        <v>264</v>
      </c>
    </row>
    <row r="73" spans="11:13" ht="15.75" x14ac:dyDescent="0.25">
      <c r="K73" s="150"/>
      <c r="L73" s="109" t="s">
        <v>189</v>
      </c>
      <c r="M73" s="108" t="s">
        <v>367</v>
      </c>
    </row>
    <row r="74" spans="11:13" ht="15.75" x14ac:dyDescent="0.25">
      <c r="K74" s="150"/>
      <c r="L74" s="109" t="s">
        <v>79</v>
      </c>
      <c r="M74" s="99" t="s">
        <v>265</v>
      </c>
    </row>
    <row r="75" spans="11:13" ht="16.5" thickBot="1" x14ac:dyDescent="0.3">
      <c r="K75" s="151"/>
      <c r="L75" s="110" t="s">
        <v>102</v>
      </c>
      <c r="M75" s="112" t="s">
        <v>269</v>
      </c>
    </row>
  </sheetData>
  <mergeCells count="30">
    <mergeCell ref="Y29:Y44"/>
    <mergeCell ref="U2:V2"/>
    <mergeCell ref="Y2:AA2"/>
    <mergeCell ref="U11:V11"/>
    <mergeCell ref="U16:V16"/>
    <mergeCell ref="Y11:Y28"/>
    <mergeCell ref="Y4:Y10"/>
    <mergeCell ref="U21:V21"/>
    <mergeCell ref="P38:P39"/>
    <mergeCell ref="P2:R2"/>
    <mergeCell ref="P41:R41"/>
    <mergeCell ref="F3:F16"/>
    <mergeCell ref="K2:M2"/>
    <mergeCell ref="P16:P30"/>
    <mergeCell ref="P31:P34"/>
    <mergeCell ref="P35:P37"/>
    <mergeCell ref="G11:H11"/>
    <mergeCell ref="P3:P15"/>
    <mergeCell ref="K47:K63"/>
    <mergeCell ref="K64:K67"/>
    <mergeCell ref="K68:K71"/>
    <mergeCell ref="K72:K75"/>
    <mergeCell ref="B2:C2"/>
    <mergeCell ref="F17:F22"/>
    <mergeCell ref="F2:H2"/>
    <mergeCell ref="K41:M41"/>
    <mergeCell ref="K42:K46"/>
    <mergeCell ref="K4:K24"/>
    <mergeCell ref="L25:M25"/>
    <mergeCell ref="K25:K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1"/>
  <sheetViews>
    <sheetView zoomScaleNormal="100" zoomScaleSheetLayoutView="110" zoomScalePageLayoutView="60" workbookViewId="0"/>
  </sheetViews>
  <sheetFormatPr defaultColWidth="8.7109375" defaultRowHeight="15" x14ac:dyDescent="0.25"/>
  <cols>
    <col min="1" max="16384" width="8.7109375" style="37"/>
  </cols>
  <sheetData>
    <row r="1" spans="1:4" x14ac:dyDescent="0.25">
      <c r="A1" s="37" t="s">
        <v>390</v>
      </c>
    </row>
    <row r="4" spans="1:4" x14ac:dyDescent="0.25">
      <c r="A4" s="4"/>
    </row>
    <row r="6" spans="1:4" x14ac:dyDescent="0.25">
      <c r="D6" s="37" t="s">
        <v>0</v>
      </c>
    </row>
    <row r="7" spans="1:4" x14ac:dyDescent="0.25">
      <c r="D7" s="37" t="s">
        <v>202</v>
      </c>
    </row>
    <row r="13" spans="1:4" x14ac:dyDescent="0.25">
      <c r="D13" s="37" t="s">
        <v>4</v>
      </c>
    </row>
    <row r="14" spans="1:4" x14ac:dyDescent="0.25">
      <c r="D14" s="37" t="s">
        <v>5</v>
      </c>
    </row>
    <row r="15" spans="1:4" x14ac:dyDescent="0.25">
      <c r="D15" s="37" t="s">
        <v>2</v>
      </c>
    </row>
    <row r="16" spans="1:4" x14ac:dyDescent="0.25">
      <c r="D16" s="37" t="s">
        <v>3</v>
      </c>
    </row>
    <row r="20" spans="1:4" x14ac:dyDescent="0.25">
      <c r="D20" s="37" t="s">
        <v>386</v>
      </c>
    </row>
    <row r="21" spans="1:4" x14ac:dyDescent="0.25">
      <c r="D21" s="37" t="s">
        <v>385</v>
      </c>
    </row>
    <row r="22" spans="1:4" x14ac:dyDescent="0.25">
      <c r="D22" s="37" t="s">
        <v>201</v>
      </c>
    </row>
    <row r="23" spans="1:4" x14ac:dyDescent="0.25">
      <c r="D23" s="37" t="s">
        <v>1</v>
      </c>
    </row>
    <row r="26" spans="1:4" x14ac:dyDescent="0.25">
      <c r="D26" s="37" t="s">
        <v>6</v>
      </c>
    </row>
    <row r="28" spans="1:4" x14ac:dyDescent="0.25">
      <c r="A28" s="4" t="s">
        <v>182</v>
      </c>
    </row>
    <row r="29" spans="1:4" x14ac:dyDescent="0.25">
      <c r="A29" s="4" t="s">
        <v>374</v>
      </c>
    </row>
    <row r="30" spans="1:4" x14ac:dyDescent="0.25">
      <c r="A30" s="4" t="s">
        <v>375</v>
      </c>
    </row>
    <row r="31" spans="1:4" x14ac:dyDescent="0.25">
      <c r="A31" s="4" t="s">
        <v>376</v>
      </c>
    </row>
  </sheetData>
  <pageMargins left="0" right="0" top="0" bottom="0" header="0.3" footer="0.3"/>
  <pageSetup orientation="landscape" r:id="rId1"/>
  <headerFooter>
    <oddHeader>&amp;CCDRL# &amp; Title
TO Number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17"/>
  <sheetViews>
    <sheetView zoomScale="80" zoomScaleNormal="80" zoomScaleSheetLayoutView="80" workbookViewId="0">
      <selection activeCell="E28" sqref="E28"/>
    </sheetView>
  </sheetViews>
  <sheetFormatPr defaultColWidth="8.7109375" defaultRowHeight="15" x14ac:dyDescent="0.25"/>
  <cols>
    <col min="1" max="1" width="28.140625" style="37" bestFit="1" customWidth="1"/>
    <col min="2" max="4" width="14.42578125" style="37" bestFit="1" customWidth="1"/>
    <col min="5" max="5" width="14.85546875" style="37" bestFit="1" customWidth="1"/>
    <col min="6" max="6" width="30.42578125" style="37" customWidth="1"/>
    <col min="7" max="7" width="29.28515625" style="37" bestFit="1" customWidth="1"/>
    <col min="8" max="8" width="3.5703125" style="37" customWidth="1"/>
    <col min="9" max="9" width="9.5703125" style="37" bestFit="1" customWidth="1"/>
    <col min="10" max="10" width="25" style="37" customWidth="1"/>
    <col min="11" max="16384" width="8.7109375" style="37"/>
  </cols>
  <sheetData>
    <row r="1" spans="1:10" x14ac:dyDescent="0.25">
      <c r="A1" s="37" t="s">
        <v>390</v>
      </c>
    </row>
    <row r="2" spans="1:10" ht="15.75" thickBot="1" x14ac:dyDescent="0.3"/>
    <row r="3" spans="1:10" x14ac:dyDescent="0.25">
      <c r="A3" s="37" t="s">
        <v>9</v>
      </c>
      <c r="I3" s="38" t="s">
        <v>118</v>
      </c>
      <c r="J3" s="39"/>
    </row>
    <row r="4" spans="1:10" x14ac:dyDescent="0.25">
      <c r="A4" s="37" t="s">
        <v>11</v>
      </c>
      <c r="I4" s="40" t="s">
        <v>119</v>
      </c>
      <c r="J4" s="41"/>
    </row>
    <row r="5" spans="1:10" ht="15.75" thickBot="1" x14ac:dyDescent="0.3">
      <c r="A5" s="37" t="s">
        <v>12</v>
      </c>
      <c r="I5" s="42" t="s">
        <v>158</v>
      </c>
      <c r="J5" s="43"/>
    </row>
    <row r="6" spans="1:10" x14ac:dyDescent="0.25">
      <c r="A6" s="37" t="s">
        <v>204</v>
      </c>
      <c r="I6" s="44" t="s">
        <v>48</v>
      </c>
      <c r="J6" s="45"/>
    </row>
    <row r="7" spans="1:10" x14ac:dyDescent="0.25">
      <c r="A7" s="37" t="s">
        <v>203</v>
      </c>
      <c r="I7" s="40" t="s">
        <v>120</v>
      </c>
      <c r="J7" s="46"/>
    </row>
    <row r="8" spans="1:10" x14ac:dyDescent="0.25">
      <c r="A8" s="37" t="s">
        <v>14</v>
      </c>
      <c r="I8" s="40" t="s">
        <v>121</v>
      </c>
      <c r="J8" s="46"/>
    </row>
    <row r="9" spans="1:10" ht="15.75" thickBot="1" x14ac:dyDescent="0.3">
      <c r="B9" s="37" t="s">
        <v>87</v>
      </c>
      <c r="C9" s="37" t="s">
        <v>88</v>
      </c>
      <c r="I9" s="47" t="s">
        <v>122</v>
      </c>
      <c r="J9" s="48"/>
    </row>
    <row r="10" spans="1:10" x14ac:dyDescent="0.25">
      <c r="A10" s="37" t="s">
        <v>86</v>
      </c>
      <c r="I10" s="49"/>
      <c r="J10" s="49"/>
    </row>
    <row r="11" spans="1:10" x14ac:dyDescent="0.25">
      <c r="A11" s="37" t="s">
        <v>143</v>
      </c>
      <c r="B11" s="37">
        <f>'COR TO Data Breakout'!B17+'COR TO Data Breakout'!B19+'COR TO Data Breakout'!B21</f>
        <v>3450</v>
      </c>
      <c r="C11" s="37">
        <v>3450</v>
      </c>
    </row>
    <row r="12" spans="1:10" x14ac:dyDescent="0.25">
      <c r="A12" s="37" t="s">
        <v>144</v>
      </c>
      <c r="B12" s="16">
        <f>B11*120</f>
        <v>414000</v>
      </c>
      <c r="C12" s="16">
        <f>B12</f>
        <v>414000</v>
      </c>
    </row>
    <row r="13" spans="1:10" x14ac:dyDescent="0.25">
      <c r="A13" s="37" t="s">
        <v>82</v>
      </c>
      <c r="B13" s="16">
        <v>10000</v>
      </c>
      <c r="C13" s="16">
        <v>5000</v>
      </c>
    </row>
    <row r="14" spans="1:10" x14ac:dyDescent="0.25">
      <c r="A14" s="37" t="s">
        <v>83</v>
      </c>
      <c r="B14" s="16">
        <v>20000</v>
      </c>
      <c r="C14" s="16">
        <v>25000</v>
      </c>
    </row>
    <row r="15" spans="1:10" x14ac:dyDescent="0.25">
      <c r="A15" s="25" t="s">
        <v>324</v>
      </c>
    </row>
    <row r="17" spans="1:1" x14ac:dyDescent="0.25">
      <c r="A17" s="4"/>
    </row>
  </sheetData>
  <pageMargins left="0" right="0" top="0" bottom="0" header="0.3" footer="0.3"/>
  <pageSetup paperSize="5" scale="90" orientation="landscape" r:id="rId1"/>
  <headerFooter>
    <oddHeader>&amp;CCDRL# &amp; Title
TO Number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84"/>
  <sheetViews>
    <sheetView view="pageBreakPreview" zoomScale="70" zoomScaleNormal="100" zoomScaleSheetLayoutView="70" zoomScalePageLayoutView="60" workbookViewId="0">
      <selection activeCell="C8" sqref="C8"/>
    </sheetView>
  </sheetViews>
  <sheetFormatPr defaultColWidth="8.7109375" defaultRowHeight="15" x14ac:dyDescent="0.25"/>
  <cols>
    <col min="1" max="1" width="28.7109375" style="37" bestFit="1" customWidth="1"/>
    <col min="2" max="2" width="19.140625" style="37" bestFit="1" customWidth="1"/>
    <col min="3" max="3" width="26" style="37" bestFit="1" customWidth="1"/>
    <col min="4" max="4" width="20.5703125" style="37" bestFit="1" customWidth="1"/>
    <col min="5" max="5" width="23.85546875" style="37" customWidth="1"/>
    <col min="6" max="6" width="19.7109375" style="37" bestFit="1" customWidth="1"/>
    <col min="7" max="7" width="29.28515625" style="37" bestFit="1" customWidth="1"/>
    <col min="8" max="8" width="35.5703125" style="37" bestFit="1" customWidth="1"/>
    <col min="9" max="9" width="29.28515625" style="37" bestFit="1" customWidth="1"/>
    <col min="10" max="10" width="22.5703125" style="37" bestFit="1" customWidth="1"/>
    <col min="11" max="11" width="26.42578125" style="37" bestFit="1" customWidth="1"/>
    <col min="12" max="12" width="42.28515625" style="37" bestFit="1" customWidth="1"/>
    <col min="13" max="13" width="34.42578125" style="37" bestFit="1" customWidth="1"/>
    <col min="14" max="14" width="50.5703125" style="37" bestFit="1" customWidth="1"/>
    <col min="15" max="15" width="29" style="37" bestFit="1" customWidth="1"/>
    <col min="16" max="16" width="26.42578125" style="37" bestFit="1" customWidth="1"/>
    <col min="17" max="17" width="35.42578125" style="37" bestFit="1" customWidth="1"/>
    <col min="18" max="18" width="30.5703125" style="37" customWidth="1"/>
    <col min="19" max="19" width="24.85546875" style="37" bestFit="1" customWidth="1"/>
    <col min="20" max="20" width="65.5703125" style="37" bestFit="1" customWidth="1"/>
    <col min="21" max="21" width="23.42578125" style="37" bestFit="1" customWidth="1"/>
    <col min="22" max="22" width="65.42578125" style="37" bestFit="1" customWidth="1"/>
    <col min="23" max="23" width="41.85546875" style="37" customWidth="1"/>
    <col min="24" max="24" width="19.7109375" style="37" bestFit="1" customWidth="1"/>
    <col min="25" max="25" width="26.7109375" style="37" bestFit="1" customWidth="1"/>
    <col min="26" max="26" width="65.42578125" style="37" bestFit="1" customWidth="1"/>
    <col min="27" max="27" width="16.28515625" style="37" bestFit="1" customWidth="1"/>
    <col min="28" max="28" width="21.5703125" style="37" bestFit="1" customWidth="1"/>
    <col min="29" max="29" width="26.7109375" style="37" bestFit="1" customWidth="1"/>
    <col min="30" max="30" width="65.42578125" style="37" bestFit="1" customWidth="1"/>
    <col min="31" max="31" width="25.28515625" style="37" bestFit="1" customWidth="1"/>
    <col min="32" max="32" width="24.42578125" style="37" bestFit="1" customWidth="1"/>
    <col min="33" max="33" width="26.7109375" style="37" bestFit="1" customWidth="1"/>
    <col min="34" max="34" width="65.42578125" style="37" bestFit="1" customWidth="1"/>
    <col min="35" max="35" width="25.28515625" style="37" bestFit="1" customWidth="1"/>
    <col min="36" max="16384" width="8.7109375" style="37"/>
  </cols>
  <sheetData>
    <row r="1" spans="1:17" ht="8.25" customHeight="1" x14ac:dyDescent="0.25"/>
    <row r="2" spans="1:17" ht="17.45" customHeight="1" thickBot="1" x14ac:dyDescent="0.3">
      <c r="A2" s="37" t="s">
        <v>390</v>
      </c>
    </row>
    <row r="3" spans="1:17" ht="22.5" customHeight="1" thickBot="1" x14ac:dyDescent="0.3">
      <c r="D3" s="50"/>
      <c r="E3" s="51" t="s">
        <v>33</v>
      </c>
      <c r="F3" s="51" t="s">
        <v>34</v>
      </c>
      <c r="G3" s="51" t="s">
        <v>112</v>
      </c>
      <c r="H3" s="51" t="s">
        <v>79</v>
      </c>
      <c r="I3" s="51" t="s">
        <v>113</v>
      </c>
      <c r="J3" s="51" t="s">
        <v>114</v>
      </c>
      <c r="K3" s="51" t="s">
        <v>115</v>
      </c>
      <c r="L3" s="51" t="s">
        <v>36</v>
      </c>
      <c r="M3" s="51" t="s">
        <v>35</v>
      </c>
      <c r="N3" s="51" t="s">
        <v>116</v>
      </c>
      <c r="O3" s="51" t="s">
        <v>20</v>
      </c>
      <c r="P3" s="51" t="s">
        <v>42</v>
      </c>
      <c r="Q3" s="51" t="s">
        <v>117</v>
      </c>
    </row>
    <row r="4" spans="1:17" x14ac:dyDescent="0.25">
      <c r="A4" s="37" t="s">
        <v>9</v>
      </c>
      <c r="D4" s="52" t="s">
        <v>17</v>
      </c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17" x14ac:dyDescent="0.25">
      <c r="A5" s="37" t="s">
        <v>10</v>
      </c>
      <c r="D5" s="54" t="s">
        <v>18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 spans="1:17" ht="15.75" thickBot="1" x14ac:dyDescent="0.3">
      <c r="A6" s="37" t="s">
        <v>11</v>
      </c>
      <c r="D6" s="54" t="s">
        <v>19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ht="16.5" thickTop="1" thickBot="1" x14ac:dyDescent="0.3">
      <c r="A7" s="37" t="s">
        <v>12</v>
      </c>
      <c r="D7" s="55" t="s">
        <v>63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3"/>
      <c r="Q7" s="10"/>
    </row>
    <row r="8" spans="1:17" x14ac:dyDescent="0.25">
      <c r="A8" s="37" t="s">
        <v>204</v>
      </c>
      <c r="C8" s="87"/>
      <c r="D8" s="149" t="s">
        <v>239</v>
      </c>
    </row>
    <row r="9" spans="1:17" x14ac:dyDescent="0.25">
      <c r="A9" s="37" t="s">
        <v>203</v>
      </c>
    </row>
    <row r="10" spans="1:17" x14ac:dyDescent="0.25">
      <c r="A10" s="37" t="s">
        <v>73</v>
      </c>
      <c r="B10" s="37" t="s">
        <v>74</v>
      </c>
    </row>
    <row r="11" spans="1:17" x14ac:dyDescent="0.25">
      <c r="A11" s="37" t="s">
        <v>14</v>
      </c>
    </row>
    <row r="12" spans="1:17" x14ac:dyDescent="0.25">
      <c r="B12" s="37" t="s">
        <v>15</v>
      </c>
    </row>
    <row r="13" spans="1:17" x14ac:dyDescent="0.25">
      <c r="B13" s="37" t="s">
        <v>16</v>
      </c>
    </row>
    <row r="16" spans="1:17" x14ac:dyDescent="0.25">
      <c r="A16" s="37" t="s">
        <v>85</v>
      </c>
      <c r="B16" s="37" t="s">
        <v>80</v>
      </c>
      <c r="C16" s="37" t="s">
        <v>81</v>
      </c>
      <c r="D16" s="37" t="s">
        <v>145</v>
      </c>
      <c r="E16" s="37" t="s">
        <v>142</v>
      </c>
      <c r="F16" s="37" t="s">
        <v>84</v>
      </c>
    </row>
    <row r="17" spans="1:6" x14ac:dyDescent="0.25">
      <c r="A17" s="56" t="s">
        <v>146</v>
      </c>
      <c r="B17" s="56">
        <v>1150</v>
      </c>
      <c r="C17" s="56">
        <v>1225</v>
      </c>
      <c r="D17" s="56">
        <v>1475</v>
      </c>
      <c r="E17" s="56">
        <v>575</v>
      </c>
      <c r="F17" s="56">
        <v>287.5</v>
      </c>
    </row>
    <row r="18" spans="1:6" x14ac:dyDescent="0.25">
      <c r="A18" s="56" t="s">
        <v>147</v>
      </c>
      <c r="B18" s="20">
        <v>138000</v>
      </c>
      <c r="C18" s="20">
        <v>147000</v>
      </c>
      <c r="D18" s="20">
        <v>177000</v>
      </c>
      <c r="E18" s="20">
        <v>69000</v>
      </c>
      <c r="F18" s="56">
        <v>34500</v>
      </c>
    </row>
    <row r="19" spans="1:6" x14ac:dyDescent="0.25">
      <c r="A19" s="57" t="s">
        <v>148</v>
      </c>
      <c r="B19" s="57">
        <v>1725</v>
      </c>
      <c r="C19" s="57">
        <v>1725</v>
      </c>
      <c r="D19" s="57">
        <v>1725</v>
      </c>
      <c r="E19" s="57">
        <v>575</v>
      </c>
      <c r="F19" s="57">
        <v>287.5</v>
      </c>
    </row>
    <row r="20" spans="1:6" x14ac:dyDescent="0.25">
      <c r="A20" s="57" t="s">
        <v>149</v>
      </c>
      <c r="B20" s="19">
        <v>207000</v>
      </c>
      <c r="C20" s="19">
        <v>207000</v>
      </c>
      <c r="D20" s="19">
        <v>207000</v>
      </c>
      <c r="E20" s="19">
        <v>69000</v>
      </c>
      <c r="F20" s="19">
        <v>34500</v>
      </c>
    </row>
    <row r="21" spans="1:6" x14ac:dyDescent="0.25">
      <c r="A21" s="37" t="s">
        <v>150</v>
      </c>
      <c r="B21" s="37">
        <v>575</v>
      </c>
      <c r="C21" s="37">
        <v>500</v>
      </c>
      <c r="D21" s="37">
        <v>250</v>
      </c>
      <c r="E21" s="37">
        <v>575</v>
      </c>
      <c r="F21" s="37">
        <v>287.5</v>
      </c>
    </row>
    <row r="22" spans="1:6" ht="15.75" thickBot="1" x14ac:dyDescent="0.3">
      <c r="A22" s="37" t="s">
        <v>151</v>
      </c>
      <c r="B22" s="16">
        <v>69000</v>
      </c>
      <c r="C22" s="16">
        <v>60000</v>
      </c>
      <c r="D22" s="16">
        <v>30000</v>
      </c>
      <c r="E22" s="16">
        <v>69000</v>
      </c>
      <c r="F22" s="16">
        <v>34500</v>
      </c>
    </row>
    <row r="23" spans="1:6" x14ac:dyDescent="0.25">
      <c r="A23" s="58" t="s">
        <v>155</v>
      </c>
      <c r="B23" s="17">
        <v>6000</v>
      </c>
      <c r="C23" s="17">
        <v>1000</v>
      </c>
      <c r="D23" s="17">
        <v>1000</v>
      </c>
      <c r="E23" s="17">
        <v>1000</v>
      </c>
      <c r="F23" s="17">
        <v>500</v>
      </c>
    </row>
    <row r="24" spans="1:6" x14ac:dyDescent="0.25">
      <c r="A24" s="37" t="s">
        <v>156</v>
      </c>
      <c r="B24" s="16">
        <v>2000</v>
      </c>
      <c r="C24" s="16">
        <v>2000</v>
      </c>
      <c r="D24" s="16">
        <v>2000</v>
      </c>
      <c r="E24" s="16">
        <v>1000</v>
      </c>
      <c r="F24" s="16">
        <v>0</v>
      </c>
    </row>
    <row r="25" spans="1:6" ht="15.75" thickBot="1" x14ac:dyDescent="0.3">
      <c r="A25" s="37" t="s">
        <v>157</v>
      </c>
      <c r="B25" s="16">
        <v>2000</v>
      </c>
      <c r="C25" s="16">
        <v>2000</v>
      </c>
      <c r="D25" s="16">
        <v>2000</v>
      </c>
      <c r="E25" s="16">
        <v>1000</v>
      </c>
      <c r="F25" s="16">
        <v>500</v>
      </c>
    </row>
    <row r="26" spans="1:6" x14ac:dyDescent="0.25">
      <c r="A26" s="58" t="s">
        <v>152</v>
      </c>
      <c r="B26" s="17">
        <v>10000</v>
      </c>
      <c r="C26" s="17">
        <v>10000</v>
      </c>
      <c r="D26" s="17">
        <v>10000</v>
      </c>
      <c r="E26" s="17">
        <v>10000</v>
      </c>
      <c r="F26" s="17">
        <v>8000</v>
      </c>
    </row>
    <row r="27" spans="1:6" x14ac:dyDescent="0.25">
      <c r="A27" s="37" t="s">
        <v>153</v>
      </c>
      <c r="B27" s="16">
        <v>5000</v>
      </c>
      <c r="C27" s="16">
        <v>10000</v>
      </c>
      <c r="D27" s="16">
        <v>10000</v>
      </c>
      <c r="E27" s="16">
        <v>10000</v>
      </c>
      <c r="F27" s="16">
        <v>6000</v>
      </c>
    </row>
    <row r="28" spans="1:6" x14ac:dyDescent="0.25">
      <c r="A28" s="37" t="s">
        <v>154</v>
      </c>
      <c r="B28" s="16">
        <v>5000</v>
      </c>
      <c r="C28" s="16">
        <v>5000</v>
      </c>
      <c r="D28" s="16">
        <v>5000</v>
      </c>
      <c r="E28" s="16">
        <v>2500</v>
      </c>
      <c r="F28" s="16">
        <v>1500</v>
      </c>
    </row>
    <row r="29" spans="1:6" x14ac:dyDescent="0.25">
      <c r="A29" s="148" t="s">
        <v>239</v>
      </c>
    </row>
    <row r="34" spans="1:34" ht="15.75" thickBot="1" x14ac:dyDescent="0.3"/>
    <row r="35" spans="1:34" ht="19.5" thickBot="1" x14ac:dyDescent="0.35">
      <c r="F35" s="188" t="s">
        <v>89</v>
      </c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/>
      <c r="S35" s="189"/>
      <c r="T35" s="189"/>
      <c r="U35" s="189"/>
      <c r="V35" s="190"/>
      <c r="W35" s="187" t="s">
        <v>18</v>
      </c>
      <c r="X35" s="187"/>
      <c r="Y35" s="187"/>
      <c r="Z35" s="187"/>
      <c r="AA35" s="187" t="s">
        <v>19</v>
      </c>
      <c r="AB35" s="187"/>
      <c r="AC35" s="187"/>
      <c r="AD35" s="187"/>
      <c r="AE35" s="187" t="s">
        <v>99</v>
      </c>
      <c r="AF35" s="187"/>
      <c r="AG35" s="187"/>
      <c r="AH35" s="187"/>
    </row>
    <row r="36" spans="1:34" x14ac:dyDescent="0.25">
      <c r="F36" s="59" t="s">
        <v>92</v>
      </c>
      <c r="G36" s="59" t="s">
        <v>93</v>
      </c>
      <c r="H36" s="59" t="s">
        <v>183</v>
      </c>
      <c r="I36" s="59" t="s">
        <v>108</v>
      </c>
      <c r="J36" s="59" t="s">
        <v>251</v>
      </c>
      <c r="K36" s="59" t="s">
        <v>8</v>
      </c>
      <c r="L36" s="59" t="s">
        <v>95</v>
      </c>
      <c r="M36" s="59" t="s">
        <v>79</v>
      </c>
      <c r="N36" s="59" t="s">
        <v>96</v>
      </c>
      <c r="O36" s="60" t="s">
        <v>37</v>
      </c>
      <c r="P36" s="59" t="s">
        <v>38</v>
      </c>
      <c r="Q36" s="59" t="s">
        <v>39</v>
      </c>
      <c r="R36" s="59" t="s">
        <v>184</v>
      </c>
      <c r="S36" s="59" t="s">
        <v>185</v>
      </c>
      <c r="T36" s="59" t="s">
        <v>186</v>
      </c>
      <c r="U36" s="59" t="s">
        <v>42</v>
      </c>
      <c r="V36" s="61" t="s">
        <v>102</v>
      </c>
      <c r="W36" s="60" t="s">
        <v>98</v>
      </c>
      <c r="X36" s="59" t="s">
        <v>187</v>
      </c>
      <c r="Y36" s="59" t="s">
        <v>79</v>
      </c>
      <c r="Z36" s="61" t="s">
        <v>102</v>
      </c>
      <c r="AA36" s="60" t="s">
        <v>100</v>
      </c>
      <c r="AB36" s="59" t="s">
        <v>188</v>
      </c>
      <c r="AC36" s="59" t="s">
        <v>79</v>
      </c>
      <c r="AD36" s="61" t="s">
        <v>102</v>
      </c>
      <c r="AE36" s="60" t="s">
        <v>101</v>
      </c>
      <c r="AF36" s="59" t="s">
        <v>189</v>
      </c>
      <c r="AG36" s="59" t="s">
        <v>79</v>
      </c>
      <c r="AH36" s="61" t="s">
        <v>102</v>
      </c>
    </row>
    <row r="37" spans="1:34" ht="21" x14ac:dyDescent="0.35">
      <c r="A37" s="21" t="s">
        <v>76</v>
      </c>
      <c r="B37" s="56"/>
      <c r="C37" s="27"/>
      <c r="D37" s="27" t="s">
        <v>190</v>
      </c>
      <c r="E37" s="56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3"/>
      <c r="X37" s="22"/>
      <c r="Y37" s="22"/>
      <c r="Z37" s="22"/>
      <c r="AA37" s="23"/>
      <c r="AB37" s="22"/>
      <c r="AC37" s="22"/>
      <c r="AD37" s="22"/>
      <c r="AE37" s="23"/>
      <c r="AF37" s="22"/>
      <c r="AG37" s="22"/>
      <c r="AH37" s="22"/>
    </row>
    <row r="38" spans="1:34" x14ac:dyDescent="0.25">
      <c r="A38" s="37" t="s">
        <v>7</v>
      </c>
      <c r="B38" s="37" t="s">
        <v>21</v>
      </c>
      <c r="C38" s="37" t="s">
        <v>22</v>
      </c>
      <c r="D38" s="59" t="s">
        <v>57</v>
      </c>
      <c r="E38" s="59" t="s">
        <v>40</v>
      </c>
      <c r="F38" s="59" t="s">
        <v>92</v>
      </c>
      <c r="G38" s="59" t="s">
        <v>93</v>
      </c>
      <c r="H38" s="59" t="s">
        <v>183</v>
      </c>
      <c r="I38" s="59" t="s">
        <v>108</v>
      </c>
      <c r="J38" s="59" t="s">
        <v>251</v>
      </c>
      <c r="K38" s="59" t="s">
        <v>8</v>
      </c>
      <c r="L38" s="59" t="s">
        <v>95</v>
      </c>
      <c r="M38" s="59" t="s">
        <v>79</v>
      </c>
      <c r="N38" s="59" t="s">
        <v>96</v>
      </c>
      <c r="O38" s="60" t="s">
        <v>37</v>
      </c>
      <c r="P38" s="59" t="s">
        <v>38</v>
      </c>
      <c r="Q38" s="59" t="s">
        <v>39</v>
      </c>
      <c r="R38" s="59" t="s">
        <v>184</v>
      </c>
      <c r="S38" s="59" t="s">
        <v>185</v>
      </c>
      <c r="T38" s="59" t="s">
        <v>186</v>
      </c>
      <c r="U38" s="59" t="s">
        <v>42</v>
      </c>
      <c r="V38" s="61" t="s">
        <v>102</v>
      </c>
      <c r="W38" s="60" t="s">
        <v>98</v>
      </c>
      <c r="X38" s="59" t="s">
        <v>187</v>
      </c>
      <c r="Y38" s="59" t="s">
        <v>79</v>
      </c>
      <c r="Z38" s="61" t="s">
        <v>102</v>
      </c>
      <c r="AA38" s="60" t="s">
        <v>100</v>
      </c>
      <c r="AB38" s="59" t="s">
        <v>188</v>
      </c>
      <c r="AC38" s="59" t="s">
        <v>79</v>
      </c>
      <c r="AD38" s="61" t="s">
        <v>102</v>
      </c>
      <c r="AE38" s="60" t="s">
        <v>101</v>
      </c>
      <c r="AF38" s="59" t="s">
        <v>189</v>
      </c>
      <c r="AG38" s="59" t="s">
        <v>79</v>
      </c>
      <c r="AH38" s="61" t="s">
        <v>102</v>
      </c>
    </row>
    <row r="39" spans="1:34" s="4" customFormat="1" x14ac:dyDescent="0.25">
      <c r="B39" s="4" t="s">
        <v>23</v>
      </c>
      <c r="D39" s="4" t="s">
        <v>107</v>
      </c>
      <c r="E39" s="5">
        <v>44105</v>
      </c>
      <c r="F39" s="6">
        <v>150000</v>
      </c>
      <c r="G39" s="7">
        <v>1250</v>
      </c>
      <c r="H39" s="6">
        <v>75000</v>
      </c>
      <c r="I39" s="4">
        <v>625</v>
      </c>
      <c r="J39" s="8">
        <v>37500</v>
      </c>
      <c r="K39" s="8">
        <v>37500</v>
      </c>
      <c r="L39" s="4">
        <v>145</v>
      </c>
      <c r="M39" s="6">
        <v>3600</v>
      </c>
      <c r="N39" s="8">
        <v>41100</v>
      </c>
      <c r="O39" s="9">
        <v>160</v>
      </c>
      <c r="P39" s="4">
        <v>0</v>
      </c>
      <c r="Q39" s="4">
        <v>160</v>
      </c>
      <c r="R39" s="4">
        <v>480</v>
      </c>
      <c r="S39" s="4">
        <v>10</v>
      </c>
      <c r="T39" s="4">
        <v>490</v>
      </c>
      <c r="U39" s="6">
        <v>1248</v>
      </c>
      <c r="V39" s="5">
        <v>44280</v>
      </c>
      <c r="W39" s="9">
        <v>0</v>
      </c>
      <c r="X39" s="4">
        <v>0</v>
      </c>
      <c r="Y39" s="4">
        <v>1350</v>
      </c>
      <c r="Z39" s="5">
        <v>44311</v>
      </c>
      <c r="AA39" s="9">
        <v>0</v>
      </c>
      <c r="AB39" s="4">
        <v>0</v>
      </c>
      <c r="AC39" s="4">
        <v>0</v>
      </c>
      <c r="AD39" s="5">
        <v>44341</v>
      </c>
      <c r="AE39" s="9">
        <v>0</v>
      </c>
      <c r="AF39" s="4">
        <v>0</v>
      </c>
      <c r="AG39" s="4">
        <v>0</v>
      </c>
      <c r="AH39" s="5">
        <v>44464</v>
      </c>
    </row>
    <row r="40" spans="1:34" x14ac:dyDescent="0.25">
      <c r="B40" s="37" t="s">
        <v>24</v>
      </c>
      <c r="K40" s="37" t="s">
        <v>94</v>
      </c>
      <c r="L40" s="37" t="s">
        <v>191</v>
      </c>
      <c r="M40" s="37" t="s">
        <v>192</v>
      </c>
      <c r="N40" s="37" t="s">
        <v>106</v>
      </c>
      <c r="O40" s="54"/>
      <c r="Q40" s="37" t="s">
        <v>97</v>
      </c>
      <c r="T40" s="37" t="s">
        <v>193</v>
      </c>
      <c r="W40" s="54"/>
      <c r="X40" s="37" t="s">
        <v>103</v>
      </c>
      <c r="AA40" s="54"/>
      <c r="AB40" s="37" t="s">
        <v>103</v>
      </c>
      <c r="AE40" s="54"/>
      <c r="AF40" s="37" t="s">
        <v>103</v>
      </c>
    </row>
    <row r="41" spans="1:34" x14ac:dyDescent="0.25">
      <c r="C41" s="37" t="s">
        <v>25</v>
      </c>
      <c r="O41" s="54"/>
      <c r="W41" s="54"/>
      <c r="AA41" s="54"/>
      <c r="AE41" s="54"/>
    </row>
    <row r="42" spans="1:34" ht="15.75" thickBot="1" x14ac:dyDescent="0.3">
      <c r="C42" s="37" t="s">
        <v>26</v>
      </c>
      <c r="O42" s="54"/>
      <c r="W42" s="54"/>
      <c r="AA42" s="54"/>
      <c r="AE42" s="54"/>
    </row>
    <row r="43" spans="1:34" ht="15.75" thickTop="1" x14ac:dyDescent="0.25">
      <c r="E43" s="37" t="s">
        <v>90</v>
      </c>
      <c r="F43" s="62"/>
      <c r="G43" s="62"/>
      <c r="H43" s="62"/>
      <c r="I43" s="62"/>
      <c r="J43" s="62"/>
      <c r="K43" s="62"/>
      <c r="L43" s="62"/>
      <c r="M43" s="62"/>
      <c r="N43" s="62"/>
      <c r="O43" s="63"/>
      <c r="P43" s="62"/>
      <c r="Q43" s="62"/>
      <c r="R43" s="62"/>
      <c r="S43" s="62"/>
      <c r="T43" s="62"/>
      <c r="U43" s="62"/>
      <c r="V43" s="62"/>
      <c r="W43" s="63"/>
      <c r="X43" s="62"/>
      <c r="Y43" s="62"/>
      <c r="Z43" s="62"/>
      <c r="AA43" s="63"/>
      <c r="AB43" s="62"/>
      <c r="AC43" s="62"/>
      <c r="AD43" s="62"/>
      <c r="AE43" s="63"/>
      <c r="AF43" s="62"/>
      <c r="AG43" s="62"/>
      <c r="AH43" s="62"/>
    </row>
    <row r="44" spans="1:34" x14ac:dyDescent="0.25">
      <c r="B44" s="37" t="s">
        <v>27</v>
      </c>
      <c r="O44" s="54"/>
      <c r="W44" s="54"/>
      <c r="AA44" s="54"/>
      <c r="AE44" s="54"/>
    </row>
    <row r="45" spans="1:34" x14ac:dyDescent="0.25">
      <c r="C45" s="37" t="s">
        <v>25</v>
      </c>
      <c r="O45" s="54"/>
      <c r="W45" s="54"/>
      <c r="AA45" s="54"/>
      <c r="AE45" s="54"/>
    </row>
    <row r="46" spans="1:34" x14ac:dyDescent="0.25">
      <c r="C46" s="37" t="s">
        <v>26</v>
      </c>
      <c r="O46" s="54"/>
      <c r="W46" s="54"/>
      <c r="AA46" s="54"/>
      <c r="AE46" s="54"/>
    </row>
    <row r="47" spans="1:34" x14ac:dyDescent="0.25">
      <c r="C47" s="37" t="s">
        <v>28</v>
      </c>
      <c r="O47" s="54"/>
      <c r="W47" s="54"/>
      <c r="AA47" s="54"/>
      <c r="AE47" s="54"/>
    </row>
    <row r="48" spans="1:34" x14ac:dyDescent="0.25">
      <c r="C48" s="37" t="s">
        <v>29</v>
      </c>
      <c r="O48" s="54"/>
      <c r="W48" s="54"/>
      <c r="AA48" s="54"/>
      <c r="AE48" s="54"/>
    </row>
    <row r="49" spans="1:34" x14ac:dyDescent="0.25">
      <c r="C49" s="37" t="s">
        <v>30</v>
      </c>
      <c r="O49" s="54"/>
      <c r="W49" s="54"/>
      <c r="AA49" s="54"/>
      <c r="AE49" s="54"/>
    </row>
    <row r="50" spans="1:34" x14ac:dyDescent="0.25">
      <c r="C50" s="37" t="s">
        <v>31</v>
      </c>
      <c r="O50" s="54"/>
      <c r="W50" s="54"/>
      <c r="AA50" s="54"/>
      <c r="AE50" s="54"/>
    </row>
    <row r="51" spans="1:34" ht="15.75" thickBot="1" x14ac:dyDescent="0.3">
      <c r="C51" s="37" t="s">
        <v>32</v>
      </c>
      <c r="O51" s="54"/>
      <c r="W51" s="54"/>
      <c r="AA51" s="54"/>
      <c r="AE51" s="54"/>
    </row>
    <row r="52" spans="1:34" ht="15.75" thickTop="1" x14ac:dyDescent="0.25">
      <c r="E52" s="37" t="s">
        <v>91</v>
      </c>
      <c r="F52" s="62"/>
      <c r="G52" s="62"/>
      <c r="H52" s="62"/>
      <c r="I52" s="62"/>
      <c r="J52" s="62"/>
      <c r="K52" s="62"/>
      <c r="L52" s="62"/>
      <c r="M52" s="62"/>
      <c r="N52" s="62"/>
      <c r="O52" s="63"/>
      <c r="P52" s="62"/>
      <c r="Q52" s="62"/>
      <c r="R52" s="62"/>
      <c r="S52" s="62"/>
      <c r="T52" s="62"/>
      <c r="U52" s="62"/>
      <c r="V52" s="62"/>
      <c r="W52" s="63"/>
      <c r="X52" s="62"/>
      <c r="Y52" s="62"/>
      <c r="Z52" s="62"/>
      <c r="AA52" s="63"/>
      <c r="AB52" s="62"/>
      <c r="AC52" s="62"/>
      <c r="AD52" s="62"/>
      <c r="AE52" s="63"/>
      <c r="AF52" s="62"/>
      <c r="AG52" s="62"/>
      <c r="AH52" s="62"/>
    </row>
    <row r="53" spans="1:34" x14ac:dyDescent="0.25">
      <c r="O53" s="54"/>
      <c r="W53" s="54"/>
      <c r="AA53" s="54"/>
      <c r="AE53" s="54"/>
    </row>
    <row r="54" spans="1:34" ht="18.75" x14ac:dyDescent="0.3">
      <c r="A54" s="57" t="s">
        <v>77</v>
      </c>
      <c r="B54" s="57" t="s">
        <v>13</v>
      </c>
      <c r="C54" s="28" t="s">
        <v>190</v>
      </c>
      <c r="D54" s="28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64"/>
      <c r="P54" s="57"/>
      <c r="Q54" s="57"/>
      <c r="R54" s="57"/>
      <c r="S54" s="57"/>
      <c r="T54" s="57"/>
      <c r="U54" s="57"/>
      <c r="V54" s="57"/>
      <c r="W54" s="64"/>
      <c r="X54" s="57"/>
      <c r="Y54" s="57"/>
      <c r="Z54" s="57"/>
      <c r="AA54" s="64"/>
      <c r="AB54" s="57"/>
      <c r="AC54" s="57"/>
      <c r="AD54" s="57"/>
      <c r="AE54" s="64"/>
      <c r="AF54" s="57"/>
      <c r="AG54" s="57"/>
      <c r="AH54" s="57"/>
    </row>
    <row r="55" spans="1:34" x14ac:dyDescent="0.25">
      <c r="B55" s="37" t="s">
        <v>23</v>
      </c>
      <c r="O55" s="54"/>
      <c r="W55" s="54"/>
      <c r="AA55" s="54"/>
      <c r="AE55" s="54"/>
    </row>
    <row r="56" spans="1:34" x14ac:dyDescent="0.25">
      <c r="B56" s="37" t="s">
        <v>24</v>
      </c>
      <c r="O56" s="54"/>
      <c r="W56" s="54"/>
      <c r="AA56" s="54"/>
      <c r="AE56" s="54"/>
    </row>
    <row r="57" spans="1:34" x14ac:dyDescent="0.25">
      <c r="C57" s="37" t="s">
        <v>25</v>
      </c>
      <c r="O57" s="54"/>
      <c r="W57" s="54"/>
      <c r="AA57" s="54"/>
      <c r="AE57" s="54"/>
    </row>
    <row r="58" spans="1:34" ht="15.75" thickBot="1" x14ac:dyDescent="0.3">
      <c r="C58" s="37" t="s">
        <v>26</v>
      </c>
      <c r="O58" s="54"/>
      <c r="W58" s="54"/>
      <c r="AA58" s="54"/>
      <c r="AE58" s="54"/>
    </row>
    <row r="59" spans="1:34" ht="15.75" thickTop="1" x14ac:dyDescent="0.25">
      <c r="E59" s="37" t="s">
        <v>63</v>
      </c>
      <c r="F59" s="62"/>
      <c r="G59" s="62"/>
      <c r="H59" s="62"/>
      <c r="I59" s="62"/>
      <c r="J59" s="62"/>
      <c r="K59" s="62"/>
      <c r="L59" s="62"/>
      <c r="M59" s="62"/>
      <c r="N59" s="62"/>
      <c r="O59" s="63"/>
      <c r="P59" s="62"/>
      <c r="Q59" s="62"/>
      <c r="R59" s="62"/>
      <c r="S59" s="62"/>
      <c r="T59" s="62"/>
      <c r="U59" s="62"/>
      <c r="V59" s="62"/>
      <c r="W59" s="63"/>
      <c r="X59" s="62"/>
      <c r="Y59" s="62"/>
      <c r="Z59" s="62"/>
      <c r="AA59" s="63"/>
      <c r="AB59" s="62"/>
      <c r="AC59" s="62"/>
      <c r="AD59" s="62"/>
      <c r="AE59" s="63"/>
      <c r="AF59" s="62"/>
      <c r="AG59" s="62"/>
      <c r="AH59" s="62"/>
    </row>
    <row r="60" spans="1:34" x14ac:dyDescent="0.25">
      <c r="B60" s="37" t="s">
        <v>27</v>
      </c>
      <c r="O60" s="54"/>
      <c r="W60" s="54"/>
      <c r="AA60" s="54"/>
      <c r="AE60" s="54"/>
    </row>
    <row r="61" spans="1:34" x14ac:dyDescent="0.25">
      <c r="C61" s="37" t="s">
        <v>25</v>
      </c>
      <c r="O61" s="54"/>
      <c r="W61" s="54"/>
      <c r="AA61" s="54"/>
      <c r="AE61" s="54"/>
    </row>
    <row r="62" spans="1:34" x14ac:dyDescent="0.25">
      <c r="C62" s="37" t="s">
        <v>26</v>
      </c>
      <c r="O62" s="54"/>
      <c r="W62" s="54"/>
      <c r="AA62" s="54"/>
      <c r="AE62" s="54"/>
    </row>
    <row r="63" spans="1:34" x14ac:dyDescent="0.25">
      <c r="C63" s="37" t="s">
        <v>28</v>
      </c>
      <c r="O63" s="54"/>
      <c r="W63" s="54"/>
      <c r="AA63" s="54"/>
      <c r="AE63" s="54"/>
    </row>
    <row r="64" spans="1:34" x14ac:dyDescent="0.25">
      <c r="C64" s="37" t="s">
        <v>29</v>
      </c>
      <c r="O64" s="54"/>
      <c r="W64" s="54"/>
      <c r="AA64" s="54"/>
      <c r="AE64" s="54"/>
    </row>
    <row r="65" spans="3:34" x14ac:dyDescent="0.25">
      <c r="C65" s="37" t="s">
        <v>30</v>
      </c>
      <c r="O65" s="54"/>
      <c r="W65" s="54"/>
      <c r="AA65" s="54"/>
      <c r="AE65" s="54"/>
    </row>
    <row r="66" spans="3:34" x14ac:dyDescent="0.25">
      <c r="C66" s="37" t="s">
        <v>31</v>
      </c>
      <c r="O66" s="54"/>
      <c r="W66" s="54"/>
      <c r="AA66" s="54"/>
      <c r="AE66" s="54"/>
    </row>
    <row r="67" spans="3:34" ht="15.75" thickBot="1" x14ac:dyDescent="0.3">
      <c r="C67" s="37" t="s">
        <v>32</v>
      </c>
      <c r="O67" s="54"/>
      <c r="W67" s="54"/>
      <c r="AA67" s="54"/>
      <c r="AE67" s="54"/>
    </row>
    <row r="68" spans="3:34" ht="15.75" thickTop="1" x14ac:dyDescent="0.25">
      <c r="E68" s="37" t="s">
        <v>63</v>
      </c>
      <c r="F68" s="62"/>
      <c r="G68" s="62"/>
      <c r="H68" s="62"/>
      <c r="I68" s="62"/>
      <c r="J68" s="62"/>
      <c r="K68" s="62"/>
      <c r="L68" s="62"/>
      <c r="M68" s="62"/>
      <c r="N68" s="62"/>
      <c r="O68" s="63"/>
      <c r="P68" s="62"/>
      <c r="Q68" s="62"/>
      <c r="R68" s="62"/>
      <c r="S68" s="62"/>
      <c r="T68" s="62"/>
      <c r="U68" s="62"/>
      <c r="V68" s="62"/>
      <c r="W68" s="63"/>
      <c r="X68" s="62"/>
      <c r="Y68" s="62"/>
      <c r="Z68" s="62"/>
      <c r="AA68" s="63"/>
      <c r="AB68" s="62"/>
      <c r="AC68" s="62"/>
      <c r="AD68" s="62"/>
      <c r="AE68" s="63"/>
      <c r="AF68" s="62"/>
      <c r="AG68" s="62"/>
      <c r="AH68" s="62"/>
    </row>
    <row r="69" spans="3:34" x14ac:dyDescent="0.25">
      <c r="O69" s="54"/>
      <c r="W69" s="54"/>
      <c r="AA69" s="54"/>
      <c r="AE69" s="54"/>
    </row>
    <row r="70" spans="3:34" x14ac:dyDescent="0.25">
      <c r="O70" s="54"/>
      <c r="W70" s="54"/>
      <c r="AA70" s="54"/>
      <c r="AE70" s="54"/>
    </row>
    <row r="71" spans="3:34" x14ac:dyDescent="0.25">
      <c r="O71" s="54"/>
      <c r="W71" s="54"/>
      <c r="AA71" s="54"/>
      <c r="AE71" s="54"/>
    </row>
    <row r="72" spans="3:34" x14ac:dyDescent="0.25">
      <c r="O72" s="54"/>
      <c r="W72" s="54"/>
      <c r="AA72" s="54"/>
      <c r="AE72" s="54"/>
    </row>
    <row r="73" spans="3:34" x14ac:dyDescent="0.25">
      <c r="O73" s="54"/>
      <c r="W73" s="54"/>
      <c r="AA73" s="54"/>
      <c r="AE73" s="54"/>
    </row>
    <row r="74" spans="3:34" x14ac:dyDescent="0.25">
      <c r="O74" s="54"/>
      <c r="W74" s="54"/>
      <c r="AA74" s="54"/>
      <c r="AE74" s="54"/>
    </row>
    <row r="75" spans="3:34" x14ac:dyDescent="0.25">
      <c r="O75" s="54"/>
      <c r="W75" s="54"/>
      <c r="AA75" s="54"/>
      <c r="AE75" s="54"/>
    </row>
    <row r="76" spans="3:34" x14ac:dyDescent="0.25">
      <c r="O76" s="54"/>
      <c r="W76" s="54"/>
      <c r="AA76" s="54"/>
      <c r="AE76" s="54"/>
    </row>
    <row r="77" spans="3:34" x14ac:dyDescent="0.25">
      <c r="O77" s="54"/>
      <c r="W77" s="54"/>
      <c r="AA77" s="54"/>
      <c r="AE77" s="54"/>
    </row>
    <row r="78" spans="3:34" x14ac:dyDescent="0.25">
      <c r="O78" s="54"/>
      <c r="W78" s="54"/>
      <c r="AA78" s="54"/>
      <c r="AE78" s="54"/>
    </row>
    <row r="79" spans="3:34" x14ac:dyDescent="0.25">
      <c r="O79" s="54"/>
      <c r="W79" s="54"/>
      <c r="AA79" s="54"/>
      <c r="AE79" s="54"/>
    </row>
    <row r="80" spans="3:34" ht="15.75" thickBot="1" x14ac:dyDescent="0.3">
      <c r="O80" s="54"/>
      <c r="W80" s="54"/>
      <c r="AA80" s="54"/>
      <c r="AE80" s="54"/>
    </row>
    <row r="81" spans="1:34" ht="15.75" thickTop="1" x14ac:dyDescent="0.25">
      <c r="E81" s="37" t="s">
        <v>41</v>
      </c>
      <c r="F81" s="62"/>
      <c r="G81" s="62"/>
      <c r="H81" s="62"/>
      <c r="I81" s="62"/>
      <c r="J81" s="62"/>
      <c r="K81" s="62"/>
      <c r="L81" s="62"/>
      <c r="M81" s="62"/>
      <c r="N81" s="62"/>
      <c r="O81" s="63"/>
      <c r="P81" s="62"/>
      <c r="Q81" s="62"/>
      <c r="R81" s="62"/>
      <c r="S81" s="62"/>
      <c r="T81" s="62"/>
      <c r="U81" s="62"/>
      <c r="V81" s="62"/>
      <c r="W81" s="63"/>
      <c r="X81" s="62"/>
      <c r="Y81" s="62"/>
      <c r="Z81" s="62"/>
      <c r="AA81" s="63"/>
      <c r="AB81" s="62"/>
      <c r="AC81" s="62"/>
      <c r="AD81" s="62"/>
      <c r="AE81" s="63"/>
      <c r="AF81" s="62"/>
      <c r="AG81" s="62"/>
      <c r="AH81" s="62"/>
    </row>
    <row r="82" spans="1:34" x14ac:dyDescent="0.25">
      <c r="O82" s="54"/>
      <c r="W82" s="54"/>
      <c r="AA82" s="54"/>
      <c r="AE82" s="54"/>
    </row>
    <row r="83" spans="1:34" x14ac:dyDescent="0.25">
      <c r="A83" s="148" t="s">
        <v>239</v>
      </c>
      <c r="O83" s="54"/>
      <c r="W83" s="54"/>
      <c r="AA83" s="54"/>
      <c r="AE83" s="54"/>
    </row>
    <row r="84" spans="1:34" x14ac:dyDescent="0.25">
      <c r="A84" s="25" t="s">
        <v>270</v>
      </c>
    </row>
  </sheetData>
  <mergeCells count="4">
    <mergeCell ref="W35:Z35"/>
    <mergeCell ref="AA35:AD35"/>
    <mergeCell ref="AE35:AH35"/>
    <mergeCell ref="F35:V35"/>
  </mergeCells>
  <pageMargins left="0" right="0" top="0" bottom="0" header="0.3" footer="0.3"/>
  <pageSetup paperSize="5" scale="15" orientation="landscape" r:id="rId1"/>
  <headerFooter>
    <oddHeader>&amp;CCDRL# &amp; Title
TO Number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60"/>
  <sheetViews>
    <sheetView view="pageBreakPreview" zoomScale="70" zoomScaleNormal="90" zoomScaleSheetLayoutView="70" workbookViewId="0">
      <selection activeCell="B14" sqref="B14"/>
    </sheetView>
  </sheetViews>
  <sheetFormatPr defaultRowHeight="15" x14ac:dyDescent="0.25"/>
  <cols>
    <col min="2" max="2" width="24.28515625" customWidth="1"/>
    <col min="3" max="3" width="11.5703125" bestFit="1" customWidth="1"/>
    <col min="4" max="4" width="26" bestFit="1" customWidth="1"/>
    <col min="5" max="5" width="20.85546875" bestFit="1" customWidth="1"/>
    <col min="6" max="6" width="30.140625" bestFit="1" customWidth="1"/>
    <col min="7" max="7" width="22.5703125" bestFit="1" customWidth="1"/>
    <col min="8" max="9" width="22.5703125" customWidth="1"/>
    <col min="10" max="10" width="25.28515625" bestFit="1" customWidth="1"/>
    <col min="11" max="11" width="24.42578125" bestFit="1" customWidth="1"/>
    <col min="12" max="12" width="30.5703125" bestFit="1" customWidth="1"/>
    <col min="13" max="13" width="23.42578125" bestFit="1" customWidth="1"/>
    <col min="14" max="14" width="22.5703125" customWidth="1"/>
    <col min="15" max="15" width="21.85546875" bestFit="1" customWidth="1"/>
    <col min="16" max="17" width="26.28515625" bestFit="1" customWidth="1"/>
    <col min="18" max="19" width="26.28515625" customWidth="1"/>
    <col min="20" max="20" width="24.85546875" bestFit="1" customWidth="1"/>
    <col min="21" max="21" width="24.85546875" customWidth="1"/>
    <col min="22" max="22" width="31.5703125" bestFit="1" customWidth="1"/>
    <col min="23" max="23" width="31.5703125" customWidth="1"/>
    <col min="24" max="24" width="27.5703125" bestFit="1" customWidth="1"/>
    <col min="25" max="25" width="31.140625" bestFit="1" customWidth="1"/>
    <col min="26" max="26" width="31.140625" customWidth="1"/>
    <col min="27" max="27" width="41.5703125" bestFit="1" customWidth="1"/>
    <col min="28" max="28" width="41.85546875" bestFit="1" customWidth="1"/>
    <col min="29" max="29" width="30.5703125" customWidth="1"/>
    <col min="30" max="30" width="24.85546875" bestFit="1" customWidth="1"/>
    <col min="31" max="32" width="23.42578125" bestFit="1" customWidth="1"/>
    <col min="33" max="33" width="8" customWidth="1"/>
    <col min="34" max="34" width="34.140625" bestFit="1" customWidth="1"/>
    <col min="35" max="35" width="9.140625" customWidth="1"/>
  </cols>
  <sheetData>
    <row r="1" spans="1:28" x14ac:dyDescent="0.25">
      <c r="A1" s="37" t="s">
        <v>390</v>
      </c>
    </row>
    <row r="3" spans="1:28" x14ac:dyDescent="0.25">
      <c r="A3" t="s">
        <v>9</v>
      </c>
    </row>
    <row r="4" spans="1:28" x14ac:dyDescent="0.25">
      <c r="A4" t="s">
        <v>10</v>
      </c>
    </row>
    <row r="5" spans="1:28" x14ac:dyDescent="0.25">
      <c r="A5" t="s">
        <v>11</v>
      </c>
    </row>
    <row r="6" spans="1:28" x14ac:dyDescent="0.25">
      <c r="A6" t="s">
        <v>12</v>
      </c>
    </row>
    <row r="7" spans="1:28" x14ac:dyDescent="0.25">
      <c r="A7" t="s">
        <v>204</v>
      </c>
    </row>
    <row r="8" spans="1:28" x14ac:dyDescent="0.25">
      <c r="A8" t="s">
        <v>203</v>
      </c>
    </row>
    <row r="9" spans="1:28" x14ac:dyDescent="0.25">
      <c r="A9" t="s">
        <v>14</v>
      </c>
    </row>
    <row r="10" spans="1:28" x14ac:dyDescent="0.25">
      <c r="C10" t="s">
        <v>15</v>
      </c>
    </row>
    <row r="11" spans="1:28" ht="15.75" thickBot="1" x14ac:dyDescent="0.3">
      <c r="C11" t="s">
        <v>16</v>
      </c>
    </row>
    <row r="12" spans="1:28" s="18" customFormat="1" ht="15.75" thickBot="1" x14ac:dyDescent="0.3">
      <c r="A12" s="191" t="s">
        <v>159</v>
      </c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3"/>
      <c r="S12" s="191" t="s">
        <v>47</v>
      </c>
      <c r="T12" s="192"/>
      <c r="U12" s="192"/>
      <c r="V12" s="192"/>
      <c r="W12" s="191" t="s">
        <v>48</v>
      </c>
      <c r="X12" s="192"/>
      <c r="Y12" s="192"/>
      <c r="Z12" s="191" t="s">
        <v>180</v>
      </c>
      <c r="AA12" s="193"/>
      <c r="AB12"/>
    </row>
    <row r="13" spans="1:28" x14ac:dyDescent="0.25">
      <c r="A13" t="s">
        <v>75</v>
      </c>
      <c r="B13" t="s">
        <v>162</v>
      </c>
      <c r="C13" t="s">
        <v>21</v>
      </c>
      <c r="D13" t="s">
        <v>22</v>
      </c>
      <c r="E13" t="s">
        <v>43</v>
      </c>
      <c r="F13" t="s">
        <v>44</v>
      </c>
      <c r="G13" t="s">
        <v>50</v>
      </c>
      <c r="H13" t="s">
        <v>139</v>
      </c>
      <c r="I13" t="s">
        <v>51</v>
      </c>
      <c r="J13" t="s">
        <v>52</v>
      </c>
      <c r="K13" t="s">
        <v>53</v>
      </c>
      <c r="L13" t="s">
        <v>54</v>
      </c>
      <c r="M13" s="2" t="s">
        <v>104</v>
      </c>
      <c r="N13" s="2" t="s">
        <v>45</v>
      </c>
      <c r="O13" s="2" t="s">
        <v>105</v>
      </c>
      <c r="P13" s="2" t="s">
        <v>194</v>
      </c>
      <c r="Q13" s="2" t="s">
        <v>38</v>
      </c>
      <c r="R13" s="2" t="s">
        <v>185</v>
      </c>
      <c r="S13" s="36" t="s">
        <v>46</v>
      </c>
      <c r="T13" s="26" t="s">
        <v>195</v>
      </c>
      <c r="U13" s="26" t="s">
        <v>196</v>
      </c>
      <c r="V13" s="26" t="s">
        <v>173</v>
      </c>
      <c r="W13" s="30" t="s">
        <v>179</v>
      </c>
      <c r="X13" s="31" t="s">
        <v>196</v>
      </c>
      <c r="Y13" s="32" t="s">
        <v>173</v>
      </c>
      <c r="Z13" s="30" t="s">
        <v>49</v>
      </c>
      <c r="AA13" s="132" t="s">
        <v>181</v>
      </c>
    </row>
    <row r="14" spans="1:28" s="120" customFormat="1" ht="15.75" thickBot="1" x14ac:dyDescent="0.3">
      <c r="A14" s="120">
        <v>1</v>
      </c>
      <c r="B14" s="120" t="s">
        <v>107</v>
      </c>
      <c r="C14" s="120" t="s">
        <v>23</v>
      </c>
      <c r="D14" s="121">
        <v>1</v>
      </c>
      <c r="E14" s="122">
        <v>1005218</v>
      </c>
      <c r="F14" s="120" t="s">
        <v>109</v>
      </c>
      <c r="G14" s="121" t="s">
        <v>174</v>
      </c>
      <c r="H14" s="121" t="s">
        <v>161</v>
      </c>
      <c r="I14" s="123">
        <v>42005</v>
      </c>
      <c r="J14" s="123">
        <v>42005</v>
      </c>
      <c r="K14" s="121" t="s">
        <v>110</v>
      </c>
      <c r="L14" s="121" t="s">
        <v>110</v>
      </c>
      <c r="M14" s="121">
        <v>1250</v>
      </c>
      <c r="N14" s="121">
        <v>160</v>
      </c>
      <c r="O14" s="121">
        <v>0</v>
      </c>
      <c r="P14" s="121">
        <v>480</v>
      </c>
      <c r="Q14" s="121">
        <v>0</v>
      </c>
      <c r="R14" s="121">
        <v>10</v>
      </c>
      <c r="S14" s="124">
        <v>120</v>
      </c>
      <c r="T14" s="121">
        <v>0</v>
      </c>
      <c r="U14" s="125">
        <v>57600</v>
      </c>
      <c r="V14" s="125">
        <v>150000</v>
      </c>
      <c r="W14" s="124">
        <v>120</v>
      </c>
      <c r="X14" s="126">
        <v>57600</v>
      </c>
      <c r="Y14" s="126">
        <v>150000</v>
      </c>
      <c r="Z14" s="127">
        <v>0</v>
      </c>
      <c r="AA14" s="134" t="s">
        <v>110</v>
      </c>
    </row>
    <row r="15" spans="1:28" s="137" customFormat="1" ht="15.75" thickTop="1" x14ac:dyDescent="0.25">
      <c r="C15" s="137" t="s">
        <v>388</v>
      </c>
      <c r="D15" s="138"/>
      <c r="E15" s="139"/>
      <c r="G15" s="138"/>
      <c r="H15" s="138"/>
      <c r="I15" s="140"/>
      <c r="J15" s="140"/>
      <c r="K15" s="138"/>
      <c r="L15" s="138"/>
      <c r="M15" s="141">
        <v>1250</v>
      </c>
      <c r="N15" s="141">
        <v>160</v>
      </c>
      <c r="O15" s="141">
        <v>0</v>
      </c>
      <c r="P15" s="141">
        <v>480</v>
      </c>
      <c r="Q15" s="141">
        <v>0</v>
      </c>
      <c r="R15" s="141">
        <v>10</v>
      </c>
      <c r="S15" s="142">
        <v>120</v>
      </c>
      <c r="T15" s="141">
        <v>0</v>
      </c>
      <c r="U15" s="143">
        <v>57600</v>
      </c>
      <c r="V15" s="143">
        <v>150000</v>
      </c>
      <c r="W15" s="142">
        <v>120</v>
      </c>
      <c r="X15" s="143">
        <v>57600</v>
      </c>
      <c r="Y15" s="143">
        <v>150000</v>
      </c>
      <c r="Z15" s="144">
        <v>0</v>
      </c>
      <c r="AA15" s="145"/>
    </row>
    <row r="16" spans="1:28" s="120" customFormat="1" x14ac:dyDescent="0.25">
      <c r="D16" s="121"/>
      <c r="E16" s="122"/>
      <c r="G16" s="121"/>
      <c r="H16" s="121"/>
      <c r="I16" s="123"/>
      <c r="J16" s="123"/>
      <c r="K16" s="121"/>
      <c r="L16" s="121"/>
      <c r="M16" s="121"/>
      <c r="N16" s="121"/>
      <c r="O16" s="121"/>
      <c r="P16" s="121"/>
      <c r="Q16" s="121"/>
      <c r="R16" s="121"/>
      <c r="S16" s="124"/>
      <c r="T16" s="121"/>
      <c r="U16" s="125"/>
      <c r="V16" s="125"/>
      <c r="W16" s="124"/>
      <c r="X16" s="126"/>
      <c r="Y16" s="126"/>
      <c r="Z16" s="127"/>
      <c r="AA16" s="130"/>
    </row>
    <row r="17" spans="1:27" s="120" customFormat="1" x14ac:dyDescent="0.25">
      <c r="A17" s="120">
        <v>1</v>
      </c>
      <c r="B17" s="120" t="s">
        <v>160</v>
      </c>
      <c r="C17" s="120" t="s">
        <v>172</v>
      </c>
      <c r="D17" s="121">
        <v>1</v>
      </c>
      <c r="E17" s="122">
        <v>1003562</v>
      </c>
      <c r="F17" s="120" t="s">
        <v>163</v>
      </c>
      <c r="G17" s="121" t="s">
        <v>168</v>
      </c>
      <c r="H17" s="121" t="s">
        <v>161</v>
      </c>
      <c r="I17" s="123">
        <v>42005</v>
      </c>
      <c r="J17" s="123">
        <v>42005</v>
      </c>
      <c r="K17" s="121" t="s">
        <v>110</v>
      </c>
      <c r="L17" s="121" t="s">
        <v>110</v>
      </c>
      <c r="M17" s="121">
        <v>45</v>
      </c>
      <c r="N17" s="121">
        <v>22</v>
      </c>
      <c r="O17" s="121">
        <v>0</v>
      </c>
      <c r="P17" s="121">
        <v>32</v>
      </c>
      <c r="Q17" s="121">
        <v>0</v>
      </c>
      <c r="R17" s="121">
        <v>0</v>
      </c>
      <c r="S17" s="124">
        <v>145</v>
      </c>
      <c r="T17" s="121">
        <v>0</v>
      </c>
      <c r="U17" s="125">
        <v>4640</v>
      </c>
      <c r="V17" s="125">
        <v>6525</v>
      </c>
      <c r="W17" s="124">
        <v>145</v>
      </c>
      <c r="X17" s="126">
        <v>4640</v>
      </c>
      <c r="Y17" s="126">
        <v>6525</v>
      </c>
      <c r="Z17" s="127">
        <v>0</v>
      </c>
      <c r="AA17" s="130" t="s">
        <v>110</v>
      </c>
    </row>
    <row r="18" spans="1:27" s="120" customFormat="1" x14ac:dyDescent="0.25">
      <c r="A18" s="120">
        <v>1</v>
      </c>
      <c r="B18" s="120" t="s">
        <v>160</v>
      </c>
      <c r="C18" s="120" t="s">
        <v>172</v>
      </c>
      <c r="D18" s="121">
        <v>1</v>
      </c>
      <c r="E18" s="122">
        <v>1005218</v>
      </c>
      <c r="F18" s="120" t="s">
        <v>109</v>
      </c>
      <c r="G18" s="121" t="s">
        <v>174</v>
      </c>
      <c r="H18" s="121" t="s">
        <v>161</v>
      </c>
      <c r="I18" s="123">
        <v>42644</v>
      </c>
      <c r="J18" s="123">
        <v>42648</v>
      </c>
      <c r="K18" s="121" t="s">
        <v>110</v>
      </c>
      <c r="L18" s="121" t="s">
        <v>110</v>
      </c>
      <c r="M18" s="121">
        <v>82</v>
      </c>
      <c r="N18" s="121">
        <v>40</v>
      </c>
      <c r="O18" s="121">
        <v>0</v>
      </c>
      <c r="P18" s="121">
        <v>40</v>
      </c>
      <c r="Q18" s="121">
        <v>0</v>
      </c>
      <c r="R18" s="121">
        <v>0</v>
      </c>
      <c r="S18" s="124">
        <v>120</v>
      </c>
      <c r="T18" s="121">
        <v>0</v>
      </c>
      <c r="U18" s="125">
        <v>4800</v>
      </c>
      <c r="V18" s="125">
        <v>9840</v>
      </c>
      <c r="W18" s="124">
        <v>120</v>
      </c>
      <c r="X18" s="126">
        <v>4800</v>
      </c>
      <c r="Y18" s="126">
        <v>9840</v>
      </c>
      <c r="Z18" s="127">
        <v>0</v>
      </c>
      <c r="AA18" s="130" t="s">
        <v>110</v>
      </c>
    </row>
    <row r="19" spans="1:27" s="120" customFormat="1" x14ac:dyDescent="0.25">
      <c r="A19" s="120">
        <v>1</v>
      </c>
      <c r="B19" s="120" t="s">
        <v>160</v>
      </c>
      <c r="C19" s="120" t="s">
        <v>172</v>
      </c>
      <c r="D19" s="121">
        <v>1</v>
      </c>
      <c r="E19" s="122">
        <v>1005874</v>
      </c>
      <c r="F19" s="120" t="s">
        <v>164</v>
      </c>
      <c r="G19" s="121" t="s">
        <v>174</v>
      </c>
      <c r="H19" s="121" t="s">
        <v>170</v>
      </c>
      <c r="I19" s="121" t="s">
        <v>110</v>
      </c>
      <c r="J19" s="121" t="s">
        <v>110</v>
      </c>
      <c r="K19" s="121" t="s">
        <v>110</v>
      </c>
      <c r="L19" s="121" t="s">
        <v>110</v>
      </c>
      <c r="M19" s="121">
        <v>157</v>
      </c>
      <c r="N19" s="121">
        <v>100</v>
      </c>
      <c r="O19" s="121">
        <v>0</v>
      </c>
      <c r="P19" s="121">
        <v>125</v>
      </c>
      <c r="Q19" s="121">
        <v>0</v>
      </c>
      <c r="R19" s="121">
        <v>0</v>
      </c>
      <c r="S19" s="124">
        <v>120</v>
      </c>
      <c r="T19" s="121">
        <v>0</v>
      </c>
      <c r="U19" s="125">
        <v>15000</v>
      </c>
      <c r="V19" s="125">
        <v>18840</v>
      </c>
      <c r="W19" s="124">
        <v>120</v>
      </c>
      <c r="X19" s="126">
        <v>15000</v>
      </c>
      <c r="Y19" s="126">
        <v>18840</v>
      </c>
      <c r="Z19" s="127">
        <v>0</v>
      </c>
      <c r="AA19" s="130" t="s">
        <v>110</v>
      </c>
    </row>
    <row r="20" spans="1:27" s="120" customFormat="1" x14ac:dyDescent="0.25">
      <c r="A20" s="120">
        <v>1</v>
      </c>
      <c r="B20" s="120" t="s">
        <v>160</v>
      </c>
      <c r="C20" s="120" t="s">
        <v>172</v>
      </c>
      <c r="D20" s="121">
        <v>1</v>
      </c>
      <c r="E20" s="122">
        <v>1005489</v>
      </c>
      <c r="F20" s="120" t="s">
        <v>165</v>
      </c>
      <c r="G20" s="121" t="s">
        <v>174</v>
      </c>
      <c r="H20" s="121" t="s">
        <v>170</v>
      </c>
      <c r="I20" s="121" t="s">
        <v>110</v>
      </c>
      <c r="J20" s="121" t="s">
        <v>110</v>
      </c>
      <c r="K20" s="121" t="s">
        <v>110</v>
      </c>
      <c r="L20" s="121" t="s">
        <v>110</v>
      </c>
      <c r="M20" s="121">
        <v>4520</v>
      </c>
      <c r="N20" s="121">
        <v>2250</v>
      </c>
      <c r="O20" s="121">
        <v>0</v>
      </c>
      <c r="P20" s="121">
        <v>2257</v>
      </c>
      <c r="Q20" s="121">
        <v>0</v>
      </c>
      <c r="R20" s="121">
        <v>0</v>
      </c>
      <c r="S20" s="124">
        <v>125</v>
      </c>
      <c r="T20" s="121">
        <v>0</v>
      </c>
      <c r="U20" s="125">
        <v>282125</v>
      </c>
      <c r="V20" s="125">
        <v>565000</v>
      </c>
      <c r="W20" s="124">
        <v>125</v>
      </c>
      <c r="X20" s="126">
        <v>282125</v>
      </c>
      <c r="Y20" s="126">
        <v>565000</v>
      </c>
      <c r="Z20" s="127">
        <v>0</v>
      </c>
      <c r="AA20" s="130" t="s">
        <v>110</v>
      </c>
    </row>
    <row r="21" spans="1:27" s="120" customFormat="1" ht="30" x14ac:dyDescent="0.25">
      <c r="A21" s="120">
        <v>1</v>
      </c>
      <c r="B21" s="120" t="s">
        <v>160</v>
      </c>
      <c r="C21" s="120" t="s">
        <v>172</v>
      </c>
      <c r="D21" s="121">
        <v>1</v>
      </c>
      <c r="E21" s="122">
        <v>1005987</v>
      </c>
      <c r="F21" s="120" t="s">
        <v>166</v>
      </c>
      <c r="G21" s="121" t="s">
        <v>174</v>
      </c>
      <c r="H21" s="121" t="s">
        <v>170</v>
      </c>
      <c r="I21" s="121" t="s">
        <v>110</v>
      </c>
      <c r="J21" s="121" t="s">
        <v>110</v>
      </c>
      <c r="K21" s="121" t="s">
        <v>110</v>
      </c>
      <c r="L21" s="121" t="s">
        <v>110</v>
      </c>
      <c r="M21" s="121">
        <v>4575</v>
      </c>
      <c r="N21" s="121">
        <v>2250</v>
      </c>
      <c r="O21" s="121">
        <v>0</v>
      </c>
      <c r="P21" s="121">
        <v>3575</v>
      </c>
      <c r="Q21" s="121">
        <v>0</v>
      </c>
      <c r="R21" s="121">
        <v>0</v>
      </c>
      <c r="S21" s="124">
        <v>75</v>
      </c>
      <c r="T21" s="121">
        <v>0</v>
      </c>
      <c r="U21" s="125">
        <v>268125</v>
      </c>
      <c r="V21" s="125">
        <v>343125</v>
      </c>
      <c r="W21" s="124">
        <v>95</v>
      </c>
      <c r="X21" s="126">
        <v>339625</v>
      </c>
      <c r="Y21" s="126">
        <v>434625</v>
      </c>
      <c r="Z21" s="127">
        <v>0.21052631578947367</v>
      </c>
      <c r="AA21" s="131" t="s">
        <v>171</v>
      </c>
    </row>
    <row r="22" spans="1:27" s="120" customFormat="1" x14ac:dyDescent="0.25">
      <c r="A22" s="120">
        <v>1</v>
      </c>
      <c r="B22" s="120" t="s">
        <v>160</v>
      </c>
      <c r="C22" s="120" t="s">
        <v>172</v>
      </c>
      <c r="D22" s="121">
        <v>2</v>
      </c>
      <c r="E22" s="122">
        <v>1005289</v>
      </c>
      <c r="F22" s="120" t="s">
        <v>167</v>
      </c>
      <c r="G22" s="121" t="s">
        <v>174</v>
      </c>
      <c r="H22" s="121" t="s">
        <v>170</v>
      </c>
      <c r="I22" s="121" t="s">
        <v>110</v>
      </c>
      <c r="J22" s="121" t="s">
        <v>110</v>
      </c>
      <c r="K22" s="121" t="s">
        <v>110</v>
      </c>
      <c r="L22" s="121" t="s">
        <v>110</v>
      </c>
      <c r="M22" s="121">
        <v>1920</v>
      </c>
      <c r="N22" s="121">
        <v>874</v>
      </c>
      <c r="O22" s="121">
        <v>0</v>
      </c>
      <c r="P22" s="121">
        <v>900</v>
      </c>
      <c r="Q22" s="121">
        <v>0</v>
      </c>
      <c r="R22" s="121">
        <v>0</v>
      </c>
      <c r="S22" s="124">
        <v>95</v>
      </c>
      <c r="T22" s="121">
        <v>0</v>
      </c>
      <c r="U22" s="125">
        <v>85500</v>
      </c>
      <c r="V22" s="125">
        <v>182400</v>
      </c>
      <c r="W22" s="124">
        <v>100</v>
      </c>
      <c r="X22" s="126">
        <v>90000</v>
      </c>
      <c r="Y22" s="126">
        <v>192000</v>
      </c>
      <c r="Z22" s="127">
        <v>0.05</v>
      </c>
      <c r="AA22" s="130" t="s">
        <v>110</v>
      </c>
    </row>
    <row r="23" spans="1:27" s="120" customFormat="1" ht="45.75" thickBot="1" x14ac:dyDescent="0.3">
      <c r="A23" s="120">
        <v>1</v>
      </c>
      <c r="B23" s="120" t="s">
        <v>160</v>
      </c>
      <c r="C23" s="120" t="s">
        <v>172</v>
      </c>
      <c r="D23" s="121">
        <v>2</v>
      </c>
      <c r="E23" s="122">
        <v>1002659</v>
      </c>
      <c r="F23" s="120" t="s">
        <v>169</v>
      </c>
      <c r="G23" s="121" t="s">
        <v>168</v>
      </c>
      <c r="H23" s="121" t="s">
        <v>170</v>
      </c>
      <c r="I23" s="121" t="s">
        <v>110</v>
      </c>
      <c r="J23" s="121" t="s">
        <v>110</v>
      </c>
      <c r="K23" s="121" t="s">
        <v>110</v>
      </c>
      <c r="L23" s="121" t="s">
        <v>110</v>
      </c>
      <c r="M23" s="121">
        <v>1920</v>
      </c>
      <c r="N23" s="121">
        <v>874</v>
      </c>
      <c r="O23" s="121">
        <v>0</v>
      </c>
      <c r="P23" s="121">
        <v>900</v>
      </c>
      <c r="Q23" s="121">
        <v>0</v>
      </c>
      <c r="R23" s="121">
        <v>0</v>
      </c>
      <c r="S23" s="124">
        <v>105</v>
      </c>
      <c r="T23" s="121">
        <v>0</v>
      </c>
      <c r="U23" s="125">
        <v>94500</v>
      </c>
      <c r="V23" s="125">
        <v>201600</v>
      </c>
      <c r="W23" s="124">
        <v>120</v>
      </c>
      <c r="X23" s="126">
        <v>108000</v>
      </c>
      <c r="Y23" s="133">
        <v>230400</v>
      </c>
      <c r="Z23" s="135">
        <v>0.125</v>
      </c>
      <c r="AA23" s="136" t="s">
        <v>197</v>
      </c>
    </row>
    <row r="24" spans="1:27" s="137" customFormat="1" ht="15.75" thickTop="1" x14ac:dyDescent="0.25">
      <c r="C24" s="137" t="s">
        <v>389</v>
      </c>
      <c r="E24" s="138"/>
      <c r="F24" s="138"/>
      <c r="G24" s="138"/>
      <c r="H24" s="138"/>
      <c r="I24" s="138"/>
      <c r="J24" s="138"/>
      <c r="K24" s="141">
        <v>13219</v>
      </c>
      <c r="L24" s="141">
        <v>6410</v>
      </c>
      <c r="M24" s="141">
        <v>0</v>
      </c>
      <c r="N24" s="141">
        <v>7829</v>
      </c>
      <c r="O24" s="141">
        <v>0</v>
      </c>
      <c r="P24" s="141">
        <v>0</v>
      </c>
      <c r="Q24" s="142"/>
      <c r="R24" s="141">
        <v>0</v>
      </c>
      <c r="S24" s="143">
        <v>754690</v>
      </c>
      <c r="T24" s="143">
        <v>1327330</v>
      </c>
      <c r="U24" s="142"/>
      <c r="V24" s="143">
        <v>844190</v>
      </c>
      <c r="W24" s="143">
        <v>1457230</v>
      </c>
      <c r="X24" s="144">
        <v>0.38552631578947366</v>
      </c>
      <c r="Y24" s="146">
        <f>SUM(Y17:Y23)</f>
        <v>1457230</v>
      </c>
      <c r="Z24" s="147">
        <f>AVERAGE(Z17:Z23)</f>
        <v>5.5075187969924812E-2</v>
      </c>
      <c r="AA24" s="145"/>
    </row>
    <row r="25" spans="1:27" s="4" customFormat="1" x14ac:dyDescent="0.25">
      <c r="B25" s="25" t="s">
        <v>377</v>
      </c>
      <c r="D25" s="11"/>
      <c r="E25" s="2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29"/>
      <c r="T25" s="11"/>
      <c r="U25" s="12"/>
      <c r="V25" s="12"/>
      <c r="W25" s="29"/>
      <c r="X25" s="33"/>
      <c r="Y25" s="33"/>
      <c r="Z25" s="34"/>
      <c r="AA25" s="35"/>
    </row>
    <row r="26" spans="1:27" x14ac:dyDescent="0.25">
      <c r="A26" s="4"/>
      <c r="C26" s="4"/>
      <c r="D26" s="11"/>
      <c r="E26" s="24"/>
      <c r="S26" s="3"/>
      <c r="W26" s="3"/>
      <c r="X26" s="1"/>
      <c r="Y26" s="1"/>
      <c r="Z26" s="3"/>
      <c r="AA26" s="1"/>
    </row>
    <row r="27" spans="1:27" x14ac:dyDescent="0.25">
      <c r="A27" s="4"/>
      <c r="C27" s="4"/>
      <c r="D27" s="11"/>
      <c r="E27" s="24"/>
      <c r="S27" s="3"/>
      <c r="W27" s="3"/>
      <c r="X27" s="1"/>
      <c r="Y27" s="1"/>
      <c r="Z27" s="3"/>
      <c r="AA27" s="1"/>
    </row>
    <row r="28" spans="1:27" x14ac:dyDescent="0.25">
      <c r="A28" s="4"/>
      <c r="C28" s="4"/>
      <c r="D28" s="11"/>
      <c r="E28" s="24"/>
      <c r="S28" s="3"/>
      <c r="W28" s="3"/>
      <c r="X28" s="1"/>
      <c r="Y28" s="1"/>
      <c r="Z28" s="3"/>
      <c r="AA28" s="1"/>
    </row>
    <row r="29" spans="1:27" x14ac:dyDescent="0.25">
      <c r="A29" s="4"/>
      <c r="C29" s="4"/>
      <c r="D29" s="11"/>
      <c r="E29" s="24"/>
      <c r="S29" s="3"/>
      <c r="W29" s="3"/>
      <c r="X29" s="1"/>
      <c r="Y29" s="1"/>
      <c r="Z29" s="3"/>
      <c r="AA29" s="1"/>
    </row>
    <row r="30" spans="1:27" x14ac:dyDescent="0.25">
      <c r="A30" s="4"/>
      <c r="C30" s="4"/>
      <c r="D30" s="11"/>
      <c r="E30" s="24"/>
      <c r="S30" s="3"/>
      <c r="W30" s="3"/>
      <c r="X30" s="1"/>
      <c r="Y30" s="1"/>
      <c r="Z30" s="3"/>
      <c r="AA30" s="1"/>
    </row>
    <row r="31" spans="1:27" x14ac:dyDescent="0.25">
      <c r="A31" s="4"/>
      <c r="C31" s="4"/>
      <c r="D31" s="11"/>
      <c r="E31" s="24"/>
      <c r="S31" s="3"/>
      <c r="W31" s="3"/>
      <c r="X31" s="1"/>
      <c r="Y31" s="1"/>
      <c r="Z31" s="3"/>
      <c r="AA31" s="1"/>
    </row>
    <row r="32" spans="1:27" x14ac:dyDescent="0.25">
      <c r="A32" s="4"/>
      <c r="C32" s="4"/>
      <c r="D32" s="11"/>
      <c r="E32" s="24"/>
      <c r="S32" s="3"/>
      <c r="W32" s="3"/>
      <c r="X32" s="1"/>
      <c r="Y32" s="1"/>
      <c r="Z32" s="3"/>
      <c r="AA32" s="1"/>
    </row>
    <row r="33" spans="1:27" x14ac:dyDescent="0.25">
      <c r="A33" s="4"/>
      <c r="C33" s="4"/>
      <c r="D33" s="11"/>
      <c r="E33" s="24"/>
      <c r="S33" s="3"/>
      <c r="W33" s="3"/>
      <c r="X33" s="1"/>
      <c r="Y33" s="1"/>
      <c r="Z33" s="3"/>
      <c r="AA33" s="1"/>
    </row>
    <row r="34" spans="1:27" x14ac:dyDescent="0.25">
      <c r="A34" s="4"/>
      <c r="C34" s="4"/>
      <c r="D34" s="11"/>
      <c r="E34" s="24"/>
      <c r="S34" s="3"/>
      <c r="W34" s="3"/>
      <c r="X34" s="1"/>
      <c r="Y34" s="1"/>
      <c r="Z34" s="3"/>
      <c r="AA34" s="1"/>
    </row>
    <row r="35" spans="1:27" x14ac:dyDescent="0.25">
      <c r="A35" s="4"/>
      <c r="C35" s="4"/>
      <c r="D35" s="11"/>
      <c r="E35" s="24"/>
      <c r="S35" s="3"/>
      <c r="W35" s="3"/>
      <c r="X35" s="1"/>
      <c r="Y35" s="1"/>
      <c r="Z35" s="3"/>
      <c r="AA35" s="1"/>
    </row>
    <row r="36" spans="1:27" x14ac:dyDescent="0.25">
      <c r="A36" s="4"/>
      <c r="C36" s="4"/>
      <c r="D36" s="11"/>
      <c r="E36" s="24"/>
      <c r="S36" s="3"/>
      <c r="W36" s="3"/>
      <c r="X36" s="1"/>
      <c r="Y36" s="1"/>
      <c r="Z36" s="3"/>
      <c r="AA36" s="1"/>
    </row>
    <row r="37" spans="1:27" x14ac:dyDescent="0.25">
      <c r="A37" s="4"/>
      <c r="C37" s="4"/>
      <c r="D37" s="11"/>
      <c r="E37" s="24"/>
      <c r="S37" s="3"/>
      <c r="W37" s="3"/>
      <c r="X37" s="1"/>
      <c r="Y37" s="1"/>
      <c r="Z37" s="3"/>
      <c r="AA37" s="1"/>
    </row>
    <row r="38" spans="1:27" x14ac:dyDescent="0.25">
      <c r="A38" s="4"/>
      <c r="C38" s="4"/>
      <c r="D38" s="11"/>
      <c r="E38" s="24"/>
      <c r="S38" s="3"/>
      <c r="W38" s="3"/>
      <c r="X38" s="1"/>
      <c r="Y38" s="1"/>
      <c r="Z38" s="3"/>
      <c r="AA38" s="1"/>
    </row>
    <row r="39" spans="1:27" x14ac:dyDescent="0.25">
      <c r="A39" s="4"/>
      <c r="C39" s="4"/>
      <c r="D39" s="11"/>
      <c r="E39" s="24"/>
      <c r="S39" s="3"/>
      <c r="W39" s="3"/>
      <c r="X39" s="1"/>
      <c r="Y39" s="1"/>
      <c r="Z39" s="3"/>
      <c r="AA39" s="1"/>
    </row>
    <row r="40" spans="1:27" x14ac:dyDescent="0.25">
      <c r="A40" s="4"/>
      <c r="C40" s="4"/>
      <c r="D40" s="11"/>
      <c r="E40" s="24"/>
      <c r="S40" s="3"/>
      <c r="W40" s="3"/>
      <c r="X40" s="1"/>
      <c r="Y40" s="1"/>
      <c r="Z40" s="3"/>
      <c r="AA40" s="1"/>
    </row>
    <row r="41" spans="1:27" x14ac:dyDescent="0.25">
      <c r="A41" s="4"/>
      <c r="C41" s="4"/>
      <c r="D41" s="11"/>
      <c r="E41" s="24"/>
      <c r="S41" s="3"/>
      <c r="W41" s="3"/>
      <c r="X41" s="1"/>
      <c r="Y41" s="1"/>
      <c r="Z41" s="3"/>
      <c r="AA41" s="1"/>
    </row>
    <row r="42" spans="1:27" x14ac:dyDescent="0.25">
      <c r="A42" s="4"/>
      <c r="C42" s="4"/>
      <c r="D42" s="11"/>
      <c r="E42" s="24"/>
      <c r="S42" s="3"/>
      <c r="W42" s="3"/>
      <c r="X42" s="1"/>
      <c r="Y42" s="1"/>
      <c r="Z42" s="3"/>
      <c r="AA42" s="1"/>
    </row>
    <row r="43" spans="1:27" x14ac:dyDescent="0.25">
      <c r="A43" s="4"/>
      <c r="C43" s="4"/>
      <c r="D43" s="11"/>
      <c r="E43" s="24"/>
      <c r="S43" s="3"/>
      <c r="W43" s="3"/>
      <c r="X43" s="1"/>
      <c r="Y43" s="1"/>
      <c r="Z43" s="3"/>
      <c r="AA43" s="1"/>
    </row>
    <row r="44" spans="1:27" x14ac:dyDescent="0.25">
      <c r="A44" s="4"/>
      <c r="C44" s="4"/>
      <c r="D44" s="11"/>
      <c r="E44" s="24"/>
      <c r="S44" s="3"/>
      <c r="W44" s="3"/>
      <c r="X44" s="1"/>
      <c r="Y44" s="1"/>
      <c r="Z44" s="3"/>
      <c r="AA44" s="1"/>
    </row>
    <row r="45" spans="1:27" x14ac:dyDescent="0.25">
      <c r="A45" s="4"/>
      <c r="C45" s="4"/>
      <c r="D45" s="11"/>
      <c r="E45" s="24"/>
      <c r="S45" s="3"/>
      <c r="W45" s="3"/>
      <c r="X45" s="1"/>
      <c r="Y45" s="1"/>
      <c r="Z45" s="3"/>
      <c r="AA45" s="1"/>
    </row>
    <row r="46" spans="1:27" x14ac:dyDescent="0.25">
      <c r="A46" s="4"/>
      <c r="C46" s="4"/>
      <c r="D46" s="11"/>
      <c r="E46" s="24"/>
      <c r="S46" s="3"/>
      <c r="W46" s="3"/>
      <c r="X46" s="1"/>
      <c r="Y46" s="1"/>
      <c r="Z46" s="3"/>
      <c r="AA46" s="1"/>
    </row>
    <row r="47" spans="1:27" x14ac:dyDescent="0.25">
      <c r="A47" s="4"/>
      <c r="C47" s="4"/>
      <c r="D47" s="11"/>
      <c r="E47" s="24"/>
      <c r="S47" s="3"/>
      <c r="W47" s="3"/>
      <c r="X47" s="1"/>
      <c r="Y47" s="1"/>
      <c r="Z47" s="3"/>
      <c r="AA47" s="1"/>
    </row>
    <row r="48" spans="1:27" x14ac:dyDescent="0.25">
      <c r="A48" s="4"/>
      <c r="C48" s="4"/>
      <c r="D48" s="11"/>
      <c r="E48" s="24"/>
      <c r="S48" s="3"/>
      <c r="W48" s="3"/>
      <c r="X48" s="1"/>
      <c r="Y48" s="1"/>
      <c r="Z48" s="3"/>
      <c r="AA48" s="1"/>
    </row>
    <row r="49" spans="1:27" x14ac:dyDescent="0.25">
      <c r="A49" s="4"/>
      <c r="C49" s="4"/>
      <c r="D49" s="11"/>
      <c r="E49" s="24"/>
      <c r="S49" s="3"/>
      <c r="W49" s="3"/>
      <c r="X49" s="1"/>
      <c r="Y49" s="1"/>
      <c r="Z49" s="3"/>
      <c r="AA49" s="1"/>
    </row>
    <row r="50" spans="1:27" x14ac:dyDescent="0.25">
      <c r="A50" s="4"/>
      <c r="C50" s="4"/>
      <c r="D50" s="11"/>
      <c r="E50" s="24"/>
      <c r="S50" s="3"/>
      <c r="W50" s="3"/>
      <c r="X50" s="1"/>
      <c r="Y50" s="1"/>
      <c r="Z50" s="3"/>
      <c r="AA50" s="1"/>
    </row>
    <row r="51" spans="1:27" x14ac:dyDescent="0.25">
      <c r="A51" s="4"/>
      <c r="C51" s="4"/>
      <c r="D51" s="11"/>
      <c r="E51" s="24"/>
      <c r="S51" s="3"/>
      <c r="W51" s="3"/>
      <c r="X51" s="1"/>
      <c r="Y51" s="1"/>
      <c r="Z51" s="3"/>
      <c r="AA51" s="1"/>
    </row>
    <row r="52" spans="1:27" x14ac:dyDescent="0.25">
      <c r="A52" s="4"/>
      <c r="C52" s="4"/>
      <c r="D52" s="11"/>
      <c r="E52" s="24"/>
      <c r="S52" s="3"/>
      <c r="W52" s="3"/>
      <c r="X52" s="1"/>
      <c r="Y52" s="1"/>
      <c r="Z52" s="3"/>
      <c r="AA52" s="1"/>
    </row>
    <row r="53" spans="1:27" x14ac:dyDescent="0.25">
      <c r="A53" s="4"/>
      <c r="C53" s="4"/>
      <c r="D53" s="11"/>
      <c r="E53" s="24"/>
      <c r="S53" s="3"/>
      <c r="W53" s="3"/>
      <c r="X53" s="1"/>
      <c r="Y53" s="1"/>
      <c r="Z53" s="3"/>
      <c r="AA53" s="1"/>
    </row>
    <row r="54" spans="1:27" x14ac:dyDescent="0.25">
      <c r="A54" s="4"/>
      <c r="C54" s="4"/>
      <c r="D54" s="11"/>
      <c r="E54" s="24"/>
      <c r="S54" s="3"/>
      <c r="W54" s="3"/>
      <c r="X54" s="1"/>
      <c r="Y54" s="1"/>
      <c r="Z54" s="3"/>
      <c r="AA54" s="1"/>
    </row>
    <row r="55" spans="1:27" x14ac:dyDescent="0.25">
      <c r="A55" s="4"/>
      <c r="C55" s="4"/>
      <c r="D55" s="11"/>
      <c r="E55" s="24"/>
      <c r="S55" s="3"/>
      <c r="W55" s="3"/>
      <c r="X55" s="1"/>
      <c r="Y55" s="1"/>
      <c r="Z55" s="3"/>
      <c r="AA55" s="1"/>
    </row>
    <row r="56" spans="1:27" x14ac:dyDescent="0.25">
      <c r="A56" s="4"/>
      <c r="C56" s="4"/>
      <c r="D56" s="11"/>
      <c r="E56" s="24"/>
      <c r="S56" s="3"/>
      <c r="W56" s="3"/>
      <c r="X56" s="1"/>
      <c r="Y56" s="1"/>
      <c r="Z56" s="3"/>
      <c r="AA56" s="1"/>
    </row>
    <row r="57" spans="1:27" x14ac:dyDescent="0.25">
      <c r="A57" s="4"/>
      <c r="C57" s="4"/>
      <c r="D57" s="11"/>
      <c r="E57" s="24"/>
      <c r="S57" s="3"/>
      <c r="W57" s="3"/>
      <c r="X57" s="1"/>
      <c r="Y57" s="1"/>
      <c r="Z57" s="3"/>
      <c r="AA57" s="1"/>
    </row>
    <row r="58" spans="1:27" x14ac:dyDescent="0.25">
      <c r="A58" s="4"/>
      <c r="C58" s="4"/>
      <c r="D58" s="11"/>
      <c r="E58" s="24"/>
      <c r="S58" s="3"/>
      <c r="W58" s="3"/>
      <c r="X58" s="1"/>
      <c r="Y58" s="1"/>
      <c r="Z58" s="3"/>
      <c r="AA58" s="1"/>
    </row>
    <row r="59" spans="1:27" x14ac:dyDescent="0.25">
      <c r="A59" s="4"/>
      <c r="C59" s="4"/>
      <c r="D59" s="11"/>
      <c r="E59" s="24"/>
      <c r="S59" s="3"/>
      <c r="W59" s="3"/>
      <c r="X59" s="1"/>
      <c r="Y59" s="1"/>
      <c r="Z59" s="3"/>
      <c r="AA59" s="1"/>
    </row>
    <row r="60" spans="1:27" x14ac:dyDescent="0.25">
      <c r="A60" s="4"/>
      <c r="Z60" s="3"/>
      <c r="AA60" s="1"/>
    </row>
  </sheetData>
  <autoFilter ref="A13:AB13" xr:uid="{00000000-0009-0000-0000-000004000000}"/>
  <mergeCells count="4">
    <mergeCell ref="A12:R12"/>
    <mergeCell ref="S12:V12"/>
    <mergeCell ref="W12:Y12"/>
    <mergeCell ref="Z12:AA12"/>
  </mergeCells>
  <pageMargins left="0" right="0" top="0" bottom="0" header="0.3" footer="0.3"/>
  <pageSetup paperSize="5" scale="24" orientation="landscape" r:id="rId1"/>
  <headerFooter>
    <oddHeader>&amp;CCDRL# &amp; Title
TO Number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5"/>
  <sheetViews>
    <sheetView zoomScale="90" zoomScaleNormal="90" workbookViewId="0">
      <selection activeCell="A7" sqref="A7"/>
    </sheetView>
  </sheetViews>
  <sheetFormatPr defaultColWidth="8.7109375" defaultRowHeight="15" x14ac:dyDescent="0.25"/>
  <cols>
    <col min="1" max="1" width="35.85546875" style="37" bestFit="1" customWidth="1"/>
    <col min="2" max="13" width="15" style="37" bestFit="1" customWidth="1"/>
    <col min="14" max="16384" width="8.7109375" style="37"/>
  </cols>
  <sheetData>
    <row r="1" spans="1:13" x14ac:dyDescent="0.25">
      <c r="A1" s="37" t="s">
        <v>390</v>
      </c>
    </row>
    <row r="3" spans="1:13" x14ac:dyDescent="0.25">
      <c r="A3" s="37" t="s">
        <v>9</v>
      </c>
    </row>
    <row r="4" spans="1:13" x14ac:dyDescent="0.25">
      <c r="A4" s="37" t="s">
        <v>10</v>
      </c>
    </row>
    <row r="5" spans="1:13" x14ac:dyDescent="0.25">
      <c r="A5" s="37" t="s">
        <v>11</v>
      </c>
    </row>
    <row r="6" spans="1:13" x14ac:dyDescent="0.25">
      <c r="A6" s="37" t="s">
        <v>12</v>
      </c>
    </row>
    <row r="7" spans="1:13" x14ac:dyDescent="0.25">
      <c r="A7" s="37" t="s">
        <v>204</v>
      </c>
    </row>
    <row r="8" spans="1:13" x14ac:dyDescent="0.25">
      <c r="A8" s="37" t="s">
        <v>203</v>
      </c>
    </row>
    <row r="9" spans="1:13" x14ac:dyDescent="0.25">
      <c r="A9" s="37" t="s">
        <v>14</v>
      </c>
    </row>
    <row r="10" spans="1:13" x14ac:dyDescent="0.25">
      <c r="A10" s="25" t="s">
        <v>378</v>
      </c>
    </row>
    <row r="12" spans="1:13" ht="15.75" thickBot="1" x14ac:dyDescent="0.3"/>
    <row r="13" spans="1:13" x14ac:dyDescent="0.25">
      <c r="A13" s="44" t="s">
        <v>175</v>
      </c>
      <c r="B13" s="66" t="s">
        <v>127</v>
      </c>
      <c r="C13" s="66" t="s">
        <v>128</v>
      </c>
      <c r="D13" s="66" t="s">
        <v>129</v>
      </c>
      <c r="E13" s="66" t="s">
        <v>130</v>
      </c>
      <c r="F13" s="66" t="s">
        <v>131</v>
      </c>
      <c r="G13" s="66" t="s">
        <v>132</v>
      </c>
      <c r="H13" s="66" t="s">
        <v>133</v>
      </c>
      <c r="I13" s="66" t="s">
        <v>134</v>
      </c>
      <c r="J13" s="66" t="s">
        <v>135</v>
      </c>
      <c r="K13" s="66" t="s">
        <v>136</v>
      </c>
      <c r="L13" s="66" t="s">
        <v>137</v>
      </c>
      <c r="M13" s="66" t="s">
        <v>138</v>
      </c>
    </row>
    <row r="14" spans="1:13" x14ac:dyDescent="0.25">
      <c r="A14" s="68" t="s">
        <v>123</v>
      </c>
      <c r="B14" s="69">
        <v>25000</v>
      </c>
      <c r="C14" s="69">
        <v>25000</v>
      </c>
      <c r="D14" s="69">
        <v>25000</v>
      </c>
      <c r="E14" s="69">
        <v>120000</v>
      </c>
      <c r="F14" s="69">
        <v>350000</v>
      </c>
      <c r="G14" s="69">
        <v>15000000</v>
      </c>
      <c r="H14" s="69">
        <v>15000000</v>
      </c>
      <c r="I14" s="69">
        <v>15000000</v>
      </c>
      <c r="J14" s="69">
        <v>15000000</v>
      </c>
      <c r="K14" s="69">
        <v>15000000</v>
      </c>
      <c r="L14" s="69">
        <v>15000000</v>
      </c>
      <c r="M14" s="70">
        <v>15000000</v>
      </c>
    </row>
    <row r="15" spans="1:13" x14ac:dyDescent="0.25">
      <c r="A15" s="68" t="s">
        <v>124</v>
      </c>
      <c r="B15" s="71">
        <v>15000</v>
      </c>
      <c r="C15" s="71">
        <v>22500</v>
      </c>
      <c r="D15" s="71">
        <v>24500</v>
      </c>
      <c r="E15" s="71">
        <v>50000</v>
      </c>
      <c r="F15" s="71">
        <v>75000</v>
      </c>
      <c r="G15" s="71">
        <v>100000</v>
      </c>
      <c r="H15" s="71">
        <v>13000000</v>
      </c>
      <c r="I15" s="71">
        <v>14000000</v>
      </c>
      <c r="J15" s="71">
        <v>14100000</v>
      </c>
      <c r="K15" s="71">
        <v>14589000</v>
      </c>
      <c r="L15" s="71">
        <v>15552412</v>
      </c>
      <c r="M15" s="72">
        <v>15860000</v>
      </c>
    </row>
    <row r="16" spans="1:13" x14ac:dyDescent="0.25">
      <c r="A16" s="40" t="s">
        <v>125</v>
      </c>
      <c r="B16" s="73">
        <v>15000000</v>
      </c>
      <c r="C16" s="73">
        <v>15000000</v>
      </c>
      <c r="D16" s="73">
        <v>15860000</v>
      </c>
      <c r="E16" s="73">
        <v>15860000</v>
      </c>
      <c r="F16" s="73">
        <v>15860000</v>
      </c>
      <c r="G16" s="73">
        <v>15860000</v>
      </c>
      <c r="H16" s="73">
        <v>15860000</v>
      </c>
      <c r="I16" s="73">
        <v>15860000</v>
      </c>
      <c r="J16" s="73">
        <v>15860000</v>
      </c>
      <c r="K16" s="73">
        <v>15860000</v>
      </c>
      <c r="L16" s="73">
        <v>15860000</v>
      </c>
      <c r="M16" s="74">
        <v>15860000</v>
      </c>
    </row>
    <row r="17" spans="1:13" ht="15.75" thickBot="1" x14ac:dyDescent="0.3">
      <c r="A17" s="75" t="s">
        <v>126</v>
      </c>
      <c r="B17" s="76">
        <v>15000000</v>
      </c>
      <c r="C17" s="76">
        <v>15000000</v>
      </c>
      <c r="D17" s="76">
        <v>15000000</v>
      </c>
      <c r="E17" s="76">
        <v>15000000</v>
      </c>
      <c r="F17" s="76">
        <v>15000000</v>
      </c>
      <c r="G17" s="76">
        <v>15000000</v>
      </c>
      <c r="H17" s="76">
        <v>15000000</v>
      </c>
      <c r="I17" s="76">
        <v>15000000</v>
      </c>
      <c r="J17" s="76">
        <v>15000000</v>
      </c>
      <c r="K17" s="76">
        <v>15000000</v>
      </c>
      <c r="L17" s="76">
        <v>15000000</v>
      </c>
      <c r="M17" s="77">
        <v>15000000</v>
      </c>
    </row>
    <row r="40" spans="1:13" ht="15.75" thickBot="1" x14ac:dyDescent="0.3"/>
    <row r="41" spans="1:13" x14ac:dyDescent="0.25">
      <c r="A41" s="44" t="s">
        <v>119</v>
      </c>
      <c r="B41" s="67" t="s">
        <v>127</v>
      </c>
      <c r="C41" s="67" t="s">
        <v>128</v>
      </c>
      <c r="D41" s="65" t="s">
        <v>129</v>
      </c>
      <c r="E41" s="67" t="s">
        <v>130</v>
      </c>
      <c r="F41" s="67" t="s">
        <v>131</v>
      </c>
      <c r="G41" s="65" t="s">
        <v>132</v>
      </c>
      <c r="H41" s="67" t="s">
        <v>133</v>
      </c>
      <c r="I41" s="67" t="s">
        <v>134</v>
      </c>
      <c r="J41" s="65" t="s">
        <v>135</v>
      </c>
      <c r="K41" s="67" t="s">
        <v>136</v>
      </c>
      <c r="L41" s="67" t="s">
        <v>137</v>
      </c>
      <c r="M41" s="66" t="s">
        <v>138</v>
      </c>
    </row>
    <row r="42" spans="1:13" x14ac:dyDescent="0.25">
      <c r="A42" s="68" t="s">
        <v>176</v>
      </c>
      <c r="B42" s="78">
        <f t="shared" ref="B42:I42" si="0">1920*2</f>
        <v>3840</v>
      </c>
      <c r="C42" s="78">
        <f t="shared" si="0"/>
        <v>3840</v>
      </c>
      <c r="D42" s="78">
        <f t="shared" si="0"/>
        <v>3840</v>
      </c>
      <c r="E42" s="78">
        <f t="shared" si="0"/>
        <v>3840</v>
      </c>
      <c r="F42" s="78">
        <f t="shared" si="0"/>
        <v>3840</v>
      </c>
      <c r="G42" s="78">
        <f t="shared" si="0"/>
        <v>3840</v>
      </c>
      <c r="H42" s="78">
        <f t="shared" si="0"/>
        <v>3840</v>
      </c>
      <c r="I42" s="78">
        <f t="shared" si="0"/>
        <v>3840</v>
      </c>
      <c r="J42" s="78">
        <f>1920*3</f>
        <v>5760</v>
      </c>
      <c r="K42" s="78">
        <f>1920*3</f>
        <v>5760</v>
      </c>
      <c r="L42" s="78">
        <f>1920*3</f>
        <v>5760</v>
      </c>
      <c r="M42" s="78">
        <f>1920*3</f>
        <v>5760</v>
      </c>
    </row>
    <row r="43" spans="1:13" x14ac:dyDescent="0.25">
      <c r="A43" s="68" t="s">
        <v>177</v>
      </c>
      <c r="B43" s="79">
        <v>450</v>
      </c>
      <c r="C43" s="79">
        <v>850</v>
      </c>
      <c r="D43" s="79">
        <v>920</v>
      </c>
      <c r="E43" s="79">
        <v>1050</v>
      </c>
      <c r="F43" s="79">
        <v>1500</v>
      </c>
      <c r="G43" s="79">
        <v>1750</v>
      </c>
      <c r="H43" s="79">
        <v>2250</v>
      </c>
      <c r="I43" s="79">
        <v>2550</v>
      </c>
      <c r="J43" s="79">
        <v>2950</v>
      </c>
      <c r="K43" s="79">
        <v>3500</v>
      </c>
      <c r="L43" s="79">
        <v>4500</v>
      </c>
      <c r="M43" s="80">
        <v>5760</v>
      </c>
    </row>
    <row r="44" spans="1:13" x14ac:dyDescent="0.25">
      <c r="A44" s="40" t="s">
        <v>178</v>
      </c>
      <c r="B44" s="81">
        <v>3840</v>
      </c>
      <c r="C44" s="81">
        <v>3840</v>
      </c>
      <c r="D44" s="81">
        <v>3840</v>
      </c>
      <c r="E44" s="81">
        <v>3840</v>
      </c>
      <c r="F44" s="81">
        <v>3840</v>
      </c>
      <c r="G44" s="81">
        <v>3840</v>
      </c>
      <c r="H44" s="81">
        <v>5760</v>
      </c>
      <c r="I44" s="81">
        <v>5760</v>
      </c>
      <c r="J44" s="81">
        <v>5760</v>
      </c>
      <c r="K44" s="81">
        <v>5760</v>
      </c>
      <c r="L44" s="81">
        <v>5760</v>
      </c>
      <c r="M44" s="81">
        <v>5760</v>
      </c>
    </row>
    <row r="45" spans="1:13" ht="15.75" thickBot="1" x14ac:dyDescent="0.3">
      <c r="A45" s="75" t="s">
        <v>126</v>
      </c>
      <c r="B45" s="82">
        <v>7500</v>
      </c>
      <c r="C45" s="82">
        <v>7500</v>
      </c>
      <c r="D45" s="82">
        <v>7500</v>
      </c>
      <c r="E45" s="82">
        <v>7500</v>
      </c>
      <c r="F45" s="82">
        <v>7500</v>
      </c>
      <c r="G45" s="82">
        <v>7500</v>
      </c>
      <c r="H45" s="82">
        <v>7500</v>
      </c>
      <c r="I45" s="82">
        <v>7500</v>
      </c>
      <c r="J45" s="82">
        <v>7500</v>
      </c>
      <c r="K45" s="82">
        <v>7500</v>
      </c>
      <c r="L45" s="82">
        <v>7500</v>
      </c>
      <c r="M45" s="82">
        <v>7500</v>
      </c>
    </row>
    <row r="65" spans="1:1" x14ac:dyDescent="0.25">
      <c r="A65" s="25" t="s">
        <v>377</v>
      </c>
    </row>
  </sheetData>
  <pageMargins left="0" right="0" top="0" bottom="0" header="0.3" footer="0.3"/>
  <pageSetup paperSize="5" scale="6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P34"/>
  <sheetViews>
    <sheetView zoomScaleNormal="100" zoomScaleSheetLayoutView="80" workbookViewId="0">
      <selection activeCell="O13" sqref="O13"/>
    </sheetView>
  </sheetViews>
  <sheetFormatPr defaultColWidth="8.7109375" defaultRowHeight="15" x14ac:dyDescent="0.25"/>
  <cols>
    <col min="1" max="1" width="18" style="37" bestFit="1" customWidth="1"/>
    <col min="2" max="2" width="8" style="37" customWidth="1"/>
    <col min="3" max="3" width="9.5703125" style="37" customWidth="1"/>
    <col min="4" max="4" width="11.140625" style="37" bestFit="1" customWidth="1"/>
    <col min="5" max="7" width="15.28515625" style="37" bestFit="1" customWidth="1"/>
    <col min="8" max="8" width="18.5703125" style="37" bestFit="1" customWidth="1"/>
    <col min="9" max="9" width="13.28515625" style="37" bestFit="1" customWidth="1"/>
    <col min="10" max="10" width="34.28515625" style="37" bestFit="1" customWidth="1"/>
    <col min="11" max="11" width="18.5703125" style="37" bestFit="1" customWidth="1"/>
    <col min="12" max="12" width="18.5703125" style="37" customWidth="1"/>
    <col min="13" max="13" width="10.85546875" style="37" bestFit="1" customWidth="1"/>
    <col min="14" max="14" width="43.42578125" style="37" bestFit="1" customWidth="1"/>
    <col min="15" max="15" width="34.28515625" style="37" bestFit="1" customWidth="1"/>
    <col min="16" max="16" width="12.7109375" style="37" bestFit="1" customWidth="1"/>
    <col min="17" max="16384" width="8.7109375" style="37"/>
  </cols>
  <sheetData>
    <row r="1" spans="1:16" x14ac:dyDescent="0.25">
      <c r="A1" s="37" t="s">
        <v>390</v>
      </c>
    </row>
    <row r="3" spans="1:16" x14ac:dyDescent="0.25">
      <c r="A3" s="37" t="s">
        <v>9</v>
      </c>
    </row>
    <row r="4" spans="1:16" x14ac:dyDescent="0.25">
      <c r="A4" s="37" t="s">
        <v>10</v>
      </c>
    </row>
    <row r="5" spans="1:16" x14ac:dyDescent="0.25">
      <c r="A5" s="37" t="s">
        <v>11</v>
      </c>
    </row>
    <row r="6" spans="1:16" x14ac:dyDescent="0.25">
      <c r="A6" s="37" t="s">
        <v>12</v>
      </c>
    </row>
    <row r="7" spans="1:16" x14ac:dyDescent="0.25">
      <c r="A7" s="37" t="s">
        <v>204</v>
      </c>
    </row>
    <row r="8" spans="1:16" x14ac:dyDescent="0.25">
      <c r="A8" s="37" t="s">
        <v>203</v>
      </c>
    </row>
    <row r="9" spans="1:16" x14ac:dyDescent="0.25">
      <c r="A9" s="37" t="s">
        <v>14</v>
      </c>
    </row>
    <row r="11" spans="1:16" ht="15.75" thickBot="1" x14ac:dyDescent="0.3"/>
    <row r="12" spans="1:16" x14ac:dyDescent="0.25">
      <c r="A12" s="194" t="s">
        <v>55</v>
      </c>
      <c r="B12" s="195"/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6"/>
    </row>
    <row r="13" spans="1:16" x14ac:dyDescent="0.25">
      <c r="A13" s="83" t="s">
        <v>56</v>
      </c>
      <c r="B13" s="14" t="s">
        <v>75</v>
      </c>
      <c r="C13" s="14" t="s">
        <v>78</v>
      </c>
      <c r="D13" s="14" t="s">
        <v>67</v>
      </c>
      <c r="E13" s="14" t="s">
        <v>69</v>
      </c>
      <c r="F13" s="14" t="s">
        <v>57</v>
      </c>
      <c r="G13" s="14" t="s">
        <v>11</v>
      </c>
      <c r="H13" s="14" t="s">
        <v>59</v>
      </c>
      <c r="I13" s="14" t="s">
        <v>60</v>
      </c>
      <c r="J13" s="14" t="s">
        <v>58</v>
      </c>
      <c r="K13" s="14" t="s">
        <v>61</v>
      </c>
      <c r="L13" s="14" t="s">
        <v>71</v>
      </c>
      <c r="M13" s="14" t="s">
        <v>72</v>
      </c>
      <c r="N13" s="14" t="s">
        <v>111</v>
      </c>
      <c r="O13" s="14" t="s">
        <v>64</v>
      </c>
      <c r="P13" s="15" t="s">
        <v>62</v>
      </c>
    </row>
    <row r="14" spans="1:16" x14ac:dyDescent="0.25">
      <c r="A14" s="8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5"/>
    </row>
    <row r="15" spans="1:16" x14ac:dyDescent="0.25">
      <c r="A15" s="8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</row>
    <row r="16" spans="1:16" ht="15.75" thickBot="1" x14ac:dyDescent="0.3">
      <c r="A16" s="84"/>
      <c r="B16" s="85"/>
      <c r="C16" s="85"/>
      <c r="D16" s="85"/>
      <c r="E16" s="85"/>
      <c r="F16" s="85"/>
      <c r="G16" s="85"/>
      <c r="H16" s="85"/>
      <c r="I16" s="85"/>
      <c r="J16" s="85"/>
      <c r="K16" s="85" t="s">
        <v>198</v>
      </c>
      <c r="L16" s="86"/>
      <c r="M16" s="86"/>
      <c r="N16" s="197"/>
      <c r="O16" s="197"/>
      <c r="P16" s="198"/>
    </row>
    <row r="17" spans="1:16" ht="15.75" thickBot="1" x14ac:dyDescent="0.3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</row>
    <row r="18" spans="1:16" x14ac:dyDescent="0.25">
      <c r="A18" s="194" t="s">
        <v>18</v>
      </c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6"/>
    </row>
    <row r="19" spans="1:16" x14ac:dyDescent="0.25">
      <c r="A19" s="83" t="s">
        <v>66</v>
      </c>
      <c r="B19" s="14" t="s">
        <v>75</v>
      </c>
      <c r="C19" s="14" t="s">
        <v>78</v>
      </c>
      <c r="D19" s="14" t="s">
        <v>67</v>
      </c>
      <c r="E19" s="14" t="s">
        <v>68</v>
      </c>
      <c r="F19" s="14" t="s">
        <v>59</v>
      </c>
      <c r="G19" s="14" t="s">
        <v>65</v>
      </c>
      <c r="H19" s="14" t="s">
        <v>70</v>
      </c>
      <c r="I19" s="14" t="s">
        <v>71</v>
      </c>
      <c r="J19" s="14" t="s">
        <v>72</v>
      </c>
      <c r="K19" s="14" t="s">
        <v>111</v>
      </c>
      <c r="L19" s="14" t="s">
        <v>140</v>
      </c>
      <c r="M19" s="14" t="s">
        <v>199</v>
      </c>
      <c r="N19" s="15" t="s">
        <v>141</v>
      </c>
    </row>
    <row r="20" spans="1:16" x14ac:dyDescent="0.25">
      <c r="A20" s="8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</row>
    <row r="21" spans="1:16" x14ac:dyDescent="0.25">
      <c r="A21" s="8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</row>
    <row r="22" spans="1:16" ht="15.75" thickBot="1" x14ac:dyDescent="0.3">
      <c r="A22" s="84"/>
      <c r="B22" s="85"/>
      <c r="C22" s="85"/>
      <c r="D22" s="85"/>
      <c r="E22" s="85"/>
      <c r="F22" s="85"/>
      <c r="G22" s="85"/>
      <c r="H22" s="85" t="s">
        <v>198</v>
      </c>
      <c r="I22" s="86"/>
      <c r="J22" s="88"/>
      <c r="K22" s="197"/>
      <c r="L22" s="197"/>
      <c r="M22" s="197"/>
      <c r="N22" s="198"/>
    </row>
    <row r="24" spans="1:16" x14ac:dyDescent="0.25">
      <c r="A24" s="25" t="s">
        <v>377</v>
      </c>
    </row>
    <row r="34" spans="1:1" x14ac:dyDescent="0.25">
      <c r="A34" s="4" t="s">
        <v>200</v>
      </c>
    </row>
  </sheetData>
  <mergeCells count="4">
    <mergeCell ref="A12:P12"/>
    <mergeCell ref="N16:P16"/>
    <mergeCell ref="A18:N18"/>
    <mergeCell ref="K22:N22"/>
  </mergeCells>
  <pageMargins left="0" right="0" top="0" bottom="0" header="0.3" footer="0.3"/>
  <pageSetup paperSize="5" scale="59" orientation="landscape" r:id="rId1"/>
  <headerFooter>
    <oddHeader>&amp;CCDRL# &amp; Title
TO Number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2130a69-70b2-4abb-afa6-fe5edc804dca" xsi:nil="true"/>
    <lcf76f155ced4ddcb4097134ff3c332f xmlns="1438cc18-f613-495a-893f-1116621d34d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80BA2CEED28742A4F8AC2D51BC246E" ma:contentTypeVersion="13" ma:contentTypeDescription="Create a new document." ma:contentTypeScope="" ma:versionID="ffa8ce9ac313f800e379c4672fa7e91c">
  <xsd:schema xmlns:xsd="http://www.w3.org/2001/XMLSchema" xmlns:xs="http://www.w3.org/2001/XMLSchema" xmlns:p="http://schemas.microsoft.com/office/2006/metadata/properties" xmlns:ns2="1438cc18-f613-495a-893f-1116621d34dd" xmlns:ns3="b2130a69-70b2-4abb-afa6-fe5edc804dca" targetNamespace="http://schemas.microsoft.com/office/2006/metadata/properties" ma:root="true" ma:fieldsID="22a2d8ac9c86e3cbdf326cdb22a118ed" ns2:_="" ns3:_="">
    <xsd:import namespace="1438cc18-f613-495a-893f-1116621d34dd"/>
    <xsd:import namespace="b2130a69-70b2-4abb-afa6-fe5edc804d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cc18-f613-495a-893f-1116621d34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130a69-70b2-4abb-afa6-fe5edc804dc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b929628-be75-4929-8336-c013cf3c6647}" ma:internalName="TaxCatchAll" ma:showField="CatchAllData" ma:web="b2130a69-70b2-4abb-afa6-fe5edc804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0505A7-4DF5-4C7B-A762-BABD817D80D0}">
  <ds:schemaRefs>
    <ds:schemaRef ds:uri="http://schemas.microsoft.com/office/infopath/2007/PartnerControls"/>
    <ds:schemaRef ds:uri="http://schemas.microsoft.com/office/2006/documentManagement/types"/>
    <ds:schemaRef ds:uri="bb93f5d2-c592-48b4-878c-5360851d3b98"/>
    <ds:schemaRef ds:uri="http://schemas.microsoft.com/office/2006/metadata/properties"/>
    <ds:schemaRef ds:uri="http://purl.org/dc/elements/1.1/"/>
    <ds:schemaRef ds:uri="bcf8a2c1-1a1f-495c-99df-745bf95b69a1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  <ds:schemaRef ds:uri="bb83fcdf-3d7c-47db-b20b-9ffc00a1843d"/>
  </ds:schemaRefs>
</ds:datastoreItem>
</file>

<file path=customXml/itemProps2.xml><?xml version="1.0" encoding="utf-8"?>
<ds:datastoreItem xmlns:ds="http://schemas.openxmlformats.org/officeDocument/2006/customXml" ds:itemID="{13E8765A-9FE1-45E4-9E67-386F5FFEF281}"/>
</file>

<file path=customXml/itemProps3.xml><?xml version="1.0" encoding="utf-8"?>
<ds:datastoreItem xmlns:ds="http://schemas.openxmlformats.org/officeDocument/2006/customXml" ds:itemID="{304B2825-740A-42F4-9E74-A2D6B63BDC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Definitions</vt:lpstr>
      <vt:lpstr>Title Page</vt:lpstr>
      <vt:lpstr> IDIQ Basic Roll Up</vt:lpstr>
      <vt:lpstr>COR TO Data Breakout</vt:lpstr>
      <vt:lpstr>Rate Analysis COR only file</vt:lpstr>
      <vt:lpstr>COR Spend plan per CLIN</vt:lpstr>
      <vt:lpstr>COR ODC Roll Up Reporting</vt:lpstr>
      <vt:lpstr>'COR TO Data Breakout'!Print_Area</vt:lpstr>
      <vt:lpstr>'Rate Analysis COR only file'!Print_Area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Evelyn S CIV AD, 4.11D Staff</dc:creator>
  <cp:lastModifiedBy>Davis, Amy G CIV USN (USA)</cp:lastModifiedBy>
  <cp:lastPrinted>2020-06-05T18:17:53Z</cp:lastPrinted>
  <dcterms:created xsi:type="dcterms:W3CDTF">2019-07-19T17:41:52Z</dcterms:created>
  <dcterms:modified xsi:type="dcterms:W3CDTF">2025-11-26T16:14:57Z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0x0101007C80BA2CEED28742A4F8AC2D51BC246E</vt:lpwstr>
  </property>
  <property fmtid="{D5CDD505-2E9C-101B-9397-08002B2CF9AE}" pid="3" name="MediaServiceImageTags">
    <vt:lpwstr/>
  </property>
</Properties>
</file>