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robert_m_parvin_civ_army_mil/Documents/Desktop/"/>
    </mc:Choice>
  </mc:AlternateContent>
  <xr:revisionPtr revIDLastSave="1" documentId="13_ncr:1_{AD8D8FFF-D75F-4B96-B9D1-122BABFB11FB}" xr6:coauthVersionLast="47" xr6:coauthVersionMax="47" xr10:uidLastSave="{FEA65EF7-44B6-4371-868E-66B3602E2252}"/>
  <bookViews>
    <workbookView xWindow="28680" yWindow="150" windowWidth="29040" windowHeight="15450" firstSheet="1" activeTab="1" xr2:uid="{00000000-000D-0000-FFFF-FFFF00000000}"/>
  </bookViews>
  <sheets>
    <sheet name="Example" sheetId="3" r:id="rId1"/>
    <sheet name="1st Year" sheetId="6" r:id="rId2"/>
    <sheet name="2nd Year" sheetId="8" r:id="rId3"/>
    <sheet name="3rd Year" sheetId="9" r:id="rId4"/>
    <sheet name="4th Year" sheetId="10" r:id="rId5"/>
    <sheet name="5th Year" sheetId="11" r:id="rId6"/>
  </sheets>
  <definedNames>
    <definedName name="SO_Status" localSheetId="1">'1st Year'!$AH$17:$AH$19</definedName>
    <definedName name="SO_Status" localSheetId="2">'2nd Year'!$AH$17:$AH$19</definedName>
    <definedName name="SO_Status" localSheetId="3">'3rd Year'!$AH$17:$AH$19</definedName>
    <definedName name="SO_Status" localSheetId="4">'4th Year'!$AH$17:$AH$19</definedName>
    <definedName name="SO_Status" localSheetId="5">'5th Year'!$AH$17:$AH$19</definedName>
    <definedName name="SO_Status">Example!$AH$17:$AH$19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/>
  <c r="C3" i="9" s="1"/>
  <c r="C3" i="10" s="1"/>
  <c r="C3" i="11" s="1"/>
  <c r="AD61" i="11"/>
  <c r="AD60" i="11"/>
  <c r="AD59" i="11"/>
  <c r="AD58" i="11"/>
  <c r="AD57" i="11"/>
  <c r="AD56" i="11"/>
  <c r="AD55" i="11"/>
  <c r="AD54" i="11"/>
  <c r="AD53" i="11"/>
  <c r="AD52" i="11"/>
  <c r="AD51" i="11"/>
  <c r="AD50" i="11"/>
  <c r="AD49" i="11"/>
  <c r="AD48" i="11"/>
  <c r="AD47" i="11"/>
  <c r="AD46" i="11"/>
  <c r="AD45" i="11"/>
  <c r="AD44" i="11"/>
  <c r="AD43" i="11"/>
  <c r="AD42" i="11"/>
  <c r="AD41" i="11"/>
  <c r="AD40" i="11"/>
  <c r="AD39" i="11"/>
  <c r="AD38" i="11"/>
  <c r="AD37" i="11"/>
  <c r="AD36" i="11"/>
  <c r="AD35" i="11"/>
  <c r="AD34" i="11"/>
  <c r="AD33" i="11"/>
  <c r="AD32" i="11"/>
  <c r="AD31" i="11"/>
  <c r="AD30" i="11"/>
  <c r="AD29" i="11"/>
  <c r="AD28" i="11"/>
  <c r="AD27" i="11"/>
  <c r="AD26" i="11"/>
  <c r="AD25" i="11"/>
  <c r="AD24" i="11"/>
  <c r="AD23" i="11"/>
  <c r="AD22" i="11"/>
  <c r="AD21" i="11"/>
  <c r="AD20" i="11"/>
  <c r="AD19" i="11"/>
  <c r="AD18" i="11"/>
  <c r="AD17" i="11"/>
  <c r="AD16" i="11"/>
  <c r="AD15" i="11"/>
  <c r="AD14" i="11"/>
  <c r="AD13" i="11"/>
  <c r="AD12" i="11"/>
  <c r="AD11" i="11"/>
  <c r="AD10" i="11"/>
  <c r="AD9" i="11"/>
  <c r="AD8" i="11"/>
  <c r="AG6" i="11"/>
  <c r="AD7" i="11" s="1"/>
  <c r="AD4" i="11" s="1"/>
  <c r="AD61" i="10"/>
  <c r="AD60" i="10"/>
  <c r="AD59" i="10"/>
  <c r="AD58" i="10"/>
  <c r="AD57" i="10"/>
  <c r="AD56" i="10"/>
  <c r="AD55" i="10"/>
  <c r="AD54" i="10"/>
  <c r="AD53" i="10"/>
  <c r="AD52" i="10"/>
  <c r="AD51" i="10"/>
  <c r="AD50" i="10"/>
  <c r="AD49" i="10"/>
  <c r="AD48" i="10"/>
  <c r="AD47" i="10"/>
  <c r="AD46" i="10"/>
  <c r="AD45" i="10"/>
  <c r="AD44" i="10"/>
  <c r="AD43" i="10"/>
  <c r="AD42" i="10"/>
  <c r="AD41" i="10"/>
  <c r="AD40" i="10"/>
  <c r="AD39" i="10"/>
  <c r="AD38" i="10"/>
  <c r="AD37" i="10"/>
  <c r="AD36" i="10"/>
  <c r="AD35" i="10"/>
  <c r="AD34" i="10"/>
  <c r="AD33" i="10"/>
  <c r="AD32" i="10"/>
  <c r="AD31" i="10"/>
  <c r="AD30" i="10"/>
  <c r="AD29" i="10"/>
  <c r="AD28" i="10"/>
  <c r="AD27" i="10"/>
  <c r="AD26" i="10"/>
  <c r="AD25" i="10"/>
  <c r="AD24" i="10"/>
  <c r="AD23" i="10"/>
  <c r="AD22" i="10"/>
  <c r="AD21" i="10"/>
  <c r="AD20" i="10"/>
  <c r="AD19" i="10"/>
  <c r="AD18" i="10"/>
  <c r="AD17" i="10"/>
  <c r="AD16" i="10"/>
  <c r="AD15" i="10"/>
  <c r="AD14" i="10"/>
  <c r="AD13" i="10"/>
  <c r="AD12" i="10"/>
  <c r="AD11" i="10"/>
  <c r="AD10" i="10"/>
  <c r="AD9" i="10"/>
  <c r="AD8" i="10"/>
  <c r="AG6" i="10"/>
  <c r="AD7" i="10" s="1"/>
  <c r="AD4" i="10" s="1"/>
  <c r="AF5" i="10"/>
  <c r="AD61" i="9"/>
  <c r="AD60" i="9"/>
  <c r="AD59" i="9"/>
  <c r="AD58" i="9"/>
  <c r="AD57" i="9"/>
  <c r="AD56" i="9"/>
  <c r="AD55" i="9"/>
  <c r="AD54" i="9"/>
  <c r="AD53" i="9"/>
  <c r="AD52" i="9"/>
  <c r="AD51" i="9"/>
  <c r="AD50" i="9"/>
  <c r="AD49" i="9"/>
  <c r="AD48" i="9"/>
  <c r="AD47" i="9"/>
  <c r="AD46" i="9"/>
  <c r="AD45" i="9"/>
  <c r="AD44" i="9"/>
  <c r="AD43" i="9"/>
  <c r="AD42" i="9"/>
  <c r="AD41" i="9"/>
  <c r="AD40" i="9"/>
  <c r="AD39" i="9"/>
  <c r="AD38" i="9"/>
  <c r="AD37" i="9"/>
  <c r="AD36" i="9"/>
  <c r="AD35" i="9"/>
  <c r="AD34" i="9"/>
  <c r="AD33" i="9"/>
  <c r="AD32" i="9"/>
  <c r="AD31" i="9"/>
  <c r="AD30" i="9"/>
  <c r="AD29" i="9"/>
  <c r="AD28" i="9"/>
  <c r="AD27" i="9"/>
  <c r="AD26" i="9"/>
  <c r="AD25" i="9"/>
  <c r="AD24" i="9"/>
  <c r="AD23" i="9"/>
  <c r="AD22" i="9"/>
  <c r="AD21" i="9"/>
  <c r="AD20" i="9"/>
  <c r="AD19" i="9"/>
  <c r="AD18" i="9"/>
  <c r="AD17" i="9"/>
  <c r="AD16" i="9"/>
  <c r="AD15" i="9"/>
  <c r="AD14" i="9"/>
  <c r="AD13" i="9"/>
  <c r="AD12" i="9"/>
  <c r="AD11" i="9"/>
  <c r="AD10" i="9"/>
  <c r="AD9" i="9"/>
  <c r="AD8" i="9"/>
  <c r="AG6" i="9"/>
  <c r="AF5" i="9" s="1"/>
  <c r="AD61" i="8"/>
  <c r="AD60" i="8"/>
  <c r="AD59" i="8"/>
  <c r="AD58" i="8"/>
  <c r="AD57" i="8"/>
  <c r="AD56" i="8"/>
  <c r="AD55" i="8"/>
  <c r="AD54" i="8"/>
  <c r="AD53" i="8"/>
  <c r="AD52" i="8"/>
  <c r="AD51" i="8"/>
  <c r="AD50" i="8"/>
  <c r="AD49" i="8"/>
  <c r="AD48" i="8"/>
  <c r="AD47" i="8"/>
  <c r="AD46" i="8"/>
  <c r="AD45" i="8"/>
  <c r="AD44" i="8"/>
  <c r="AD43" i="8"/>
  <c r="AD42" i="8"/>
  <c r="AD41" i="8"/>
  <c r="AD40" i="8"/>
  <c r="AD39" i="8"/>
  <c r="AD38" i="8"/>
  <c r="AD37" i="8"/>
  <c r="AD36" i="8"/>
  <c r="AD35" i="8"/>
  <c r="AD34" i="8"/>
  <c r="AD33" i="8"/>
  <c r="AD32" i="8"/>
  <c r="AD31" i="8"/>
  <c r="AD30" i="8"/>
  <c r="AD29" i="8"/>
  <c r="AD28" i="8"/>
  <c r="AD27" i="8"/>
  <c r="AD26" i="8"/>
  <c r="AD25" i="8"/>
  <c r="AD24" i="8"/>
  <c r="AD23" i="8"/>
  <c r="AD22" i="8"/>
  <c r="AD21" i="8"/>
  <c r="AD20" i="8"/>
  <c r="AD19" i="8"/>
  <c r="AD18" i="8"/>
  <c r="AD17" i="8"/>
  <c r="AD16" i="8"/>
  <c r="AD15" i="8"/>
  <c r="AD14" i="8"/>
  <c r="AD13" i="8"/>
  <c r="AD12" i="8"/>
  <c r="AD11" i="8"/>
  <c r="AD10" i="8"/>
  <c r="AD9" i="8"/>
  <c r="AD8" i="8"/>
  <c r="AG6" i="8"/>
  <c r="AF5" i="8" s="1"/>
  <c r="AD61" i="6"/>
  <c r="AD60" i="6"/>
  <c r="AD59" i="6"/>
  <c r="AD58" i="6"/>
  <c r="AD57" i="6"/>
  <c r="AD56" i="6"/>
  <c r="AD55" i="6"/>
  <c r="AD54" i="6"/>
  <c r="AD53" i="6"/>
  <c r="AD52" i="6"/>
  <c r="AD51" i="6"/>
  <c r="AD50" i="6"/>
  <c r="AD49" i="6"/>
  <c r="AD48" i="6"/>
  <c r="AD47" i="6"/>
  <c r="AD46" i="6"/>
  <c r="AD45" i="6"/>
  <c r="AD44" i="6"/>
  <c r="AD43" i="6"/>
  <c r="AD42" i="6"/>
  <c r="AD41" i="6"/>
  <c r="AD40" i="6"/>
  <c r="AD39" i="6"/>
  <c r="AD38" i="6"/>
  <c r="AD37" i="6"/>
  <c r="AD36" i="6"/>
  <c r="AD35" i="6"/>
  <c r="AD34" i="6"/>
  <c r="AD33" i="6"/>
  <c r="AD32" i="6"/>
  <c r="AD31" i="6"/>
  <c r="AD30" i="6"/>
  <c r="AD29" i="6"/>
  <c r="AD28" i="6"/>
  <c r="AD27" i="6"/>
  <c r="AD26" i="6"/>
  <c r="AD25" i="6"/>
  <c r="AD24" i="6"/>
  <c r="AD23" i="6"/>
  <c r="AD22" i="6"/>
  <c r="AD21" i="6"/>
  <c r="AD20" i="6"/>
  <c r="AD19" i="6"/>
  <c r="AD18" i="6"/>
  <c r="AD17" i="6"/>
  <c r="AD16" i="6"/>
  <c r="AD15" i="6"/>
  <c r="AD14" i="6"/>
  <c r="AD13" i="6"/>
  <c r="AD7" i="6"/>
  <c r="AD8" i="6" s="1"/>
  <c r="AD9" i="6" s="1"/>
  <c r="AD10" i="6" s="1"/>
  <c r="AD11" i="6" s="1"/>
  <c r="AD12" i="6" s="1"/>
  <c r="AG6" i="6"/>
  <c r="AF5" i="6" s="1"/>
  <c r="AG6" i="3"/>
  <c r="F11" i="3"/>
  <c r="E11" i="3"/>
  <c r="D11" i="3"/>
  <c r="C11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7" i="3"/>
  <c r="AD8" i="3" s="1"/>
  <c r="AD9" i="3" s="1"/>
  <c r="AD10" i="3" s="1"/>
  <c r="AD11" i="3" s="1"/>
  <c r="AD12" i="3" s="1"/>
  <c r="AF5" i="11" l="1"/>
  <c r="AD7" i="9"/>
  <c r="AD4" i="9" s="1"/>
  <c r="AD7" i="8"/>
  <c r="AD4" i="8" s="1"/>
  <c r="AD4" i="6"/>
  <c r="AD4" i="3"/>
  <c r="AF5" i="3"/>
</calcChain>
</file>

<file path=xl/sharedStrings.xml><?xml version="1.0" encoding="utf-8"?>
<sst xmlns="http://schemas.openxmlformats.org/spreadsheetml/2006/main" count="293" uniqueCount="76">
  <si>
    <r>
      <rPr>
        <b/>
        <sz val="20"/>
        <color theme="1"/>
        <rFont val="Times New Roman"/>
        <family val="1"/>
      </rPr>
      <t>Service Log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(PWS Attachment 6) v16FEB2022</t>
    </r>
  </si>
  <si>
    <t>YEAR:</t>
  </si>
  <si>
    <t>QUARTERLY:</t>
  </si>
  <si>
    <t xml:space="preserve"> 1st Quarter (JAN - MAR)</t>
  </si>
  <si>
    <t>Remaining Funds if all SOs are awarded (excludes Cancelled)</t>
  </si>
  <si>
    <t>CALL CENTER</t>
  </si>
  <si>
    <t>CONTRACTOR ACTION</t>
  </si>
  <si>
    <t>(Insert comment for numerous parts)</t>
  </si>
  <si>
    <t>Service Ticket #</t>
  </si>
  <si>
    <t>Emergency, Routine, or PMI</t>
  </si>
  <si>
    <r>
      <t xml:space="preserve">Caller's Name </t>
    </r>
    <r>
      <rPr>
        <sz val="10"/>
        <color theme="1"/>
        <rFont val="Times New Roman"/>
        <family val="1"/>
      </rPr>
      <t xml:space="preserve"> 
(State PMI for PMI SERVICE)</t>
    </r>
  </si>
  <si>
    <t>Civil Tel No</t>
  </si>
  <si>
    <r>
      <t xml:space="preserve">Date Called
</t>
    </r>
    <r>
      <rPr>
        <sz val="10"/>
        <color theme="1"/>
        <rFont val="Times New Roman"/>
        <family val="1"/>
      </rPr>
      <t>M/D/Y</t>
    </r>
  </si>
  <si>
    <t>Time Called</t>
  </si>
  <si>
    <t>Location</t>
  </si>
  <si>
    <t>Building</t>
  </si>
  <si>
    <t>Room</t>
  </si>
  <si>
    <t>Brief Description of Problem</t>
  </si>
  <si>
    <t>Technician Assigned</t>
  </si>
  <si>
    <t>SO #</t>
  </si>
  <si>
    <t>Date and Time SO Submitted</t>
  </si>
  <si>
    <t>Date and Time SO Authorized</t>
  </si>
  <si>
    <t>Phone Solved or Not</t>
  </si>
  <si>
    <t>Date at Site</t>
  </si>
  <si>
    <t>Time at Site</t>
  </si>
  <si>
    <t>Technicians Assessment of Problem</t>
  </si>
  <si>
    <t>Corrective Action Taken</t>
  </si>
  <si>
    <t xml:space="preserve">Parts Reqd/Used </t>
  </si>
  <si>
    <t>Broken Part Model #</t>
  </si>
  <si>
    <t>Broken Part Serial #</t>
  </si>
  <si>
    <t>Replacement Part Model #</t>
  </si>
  <si>
    <t>Replacement Part Serial #</t>
  </si>
  <si>
    <t>Replacement Part Cost</t>
  </si>
  <si>
    <t>Total SO Cost</t>
  </si>
  <si>
    <r>
      <t>Status</t>
    </r>
    <r>
      <rPr>
        <sz val="10"/>
        <color theme="1"/>
        <rFont val="Times New Roman"/>
        <family val="1"/>
      </rPr>
      <t xml:space="preserve">
(Select from drop down)</t>
    </r>
  </si>
  <si>
    <t>Service Order Resolved (Date)</t>
  </si>
  <si>
    <t>Time Tech Off Site</t>
  </si>
  <si>
    <t>Remaining Funds Calculation</t>
  </si>
  <si>
    <t>Awarded CM</t>
  </si>
  <si>
    <t>Example 0001</t>
  </si>
  <si>
    <t>Routine</t>
  </si>
  <si>
    <t>Stakeholder</t>
  </si>
  <si>
    <t>555-555-5555</t>
  </si>
  <si>
    <t>Fort Pistol</t>
  </si>
  <si>
    <t>DES</t>
  </si>
  <si>
    <t>-</t>
  </si>
  <si>
    <t>Repair CCTV</t>
  </si>
  <si>
    <t>Contractor</t>
  </si>
  <si>
    <t>BY0001</t>
  </si>
  <si>
    <t>No</t>
  </si>
  <si>
    <t>3/18/2021</t>
  </si>
  <si>
    <t>Completed</t>
  </si>
  <si>
    <t>CLIN 1000AA</t>
  </si>
  <si>
    <t>Example 0002</t>
  </si>
  <si>
    <t>Emergency</t>
  </si>
  <si>
    <t>100</t>
  </si>
  <si>
    <t>Install new ACS</t>
  </si>
  <si>
    <t>Not Approved</t>
  </si>
  <si>
    <t>1000AB</t>
  </si>
  <si>
    <t>Example 0003</t>
  </si>
  <si>
    <t>200</t>
  </si>
  <si>
    <t>Investigate IDS Alarm</t>
  </si>
  <si>
    <t>Approved</t>
  </si>
  <si>
    <t>Example 0004</t>
  </si>
  <si>
    <t>300</t>
  </si>
  <si>
    <t>CS Remediation</t>
  </si>
  <si>
    <t>Cancelled</t>
  </si>
  <si>
    <t>Example 0005</t>
  </si>
  <si>
    <t>PMI</t>
  </si>
  <si>
    <t>All Areas</t>
  </si>
  <si>
    <t>Example 0006</t>
  </si>
  <si>
    <t>Example</t>
  </si>
  <si>
    <t>Note PMI's need "$0" to calculate correctly.</t>
  </si>
  <si>
    <t>MONTHLY/QUARTERLY/SEMI-ANNUAL or ETC...:</t>
  </si>
  <si>
    <t>March or 1st Quarter (JAN-MAR) or 1st Semi-Annual (JAN-JUN)</t>
  </si>
  <si>
    <t>CLIN 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</si>
</sst>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44" formatCode="_(&quot;$&quot;* #,##0.00_);_(&quot;$&quot;* \(#,##0.00\);_(&quot;$&quot;* &quot;-&quot;??_);_(@_)"/>
    <numFmt numFmtId="164" formatCode="[$-409]d\-mmm\-yy;@"/>
    <numFmt numFmtId="165" formatCode="m/d/yy\ h:mm;@"/>
    <numFmt numFmtId="166" formatCode="h:mm;@"/>
    <numFmt numFmtId="167" formatCode="0.0"/>
    <numFmt numFmtId="168" formatCode="&quot;$&quot;#,##0.00"/>
    <numFmt numFmtId="169" formatCode="[$-F400]h:mm:ss\ AM/P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49" fontId="0" fillId="0" borderId="0"/>
    <xf numFmtId="44" fontId="1" fillId="0" borderId="0" applyFont="0" applyFill="0" applyBorder="0" applyAlignment="0" applyProtection="0"/>
  </cellStyleXfs>
  <cellXfs count="77">
    <xf numFmtId="49" fontId="0" fillId="0" borderId="0" xfId="0"/>
    <xf numFmtId="49" fontId="3" fillId="0" borderId="0" xfId="0" applyFont="1" applyAlignment="1">
      <alignment wrapText="1"/>
    </xf>
    <xf numFmtId="7" fontId="3" fillId="0" borderId="0" xfId="0" applyNumberFormat="1" applyFont="1" applyAlignment="1">
      <alignment wrapText="1"/>
    </xf>
    <xf numFmtId="168" fontId="3" fillId="0" borderId="0" xfId="0" applyNumberFormat="1" applyFont="1" applyAlignment="1">
      <alignment horizontal="center" vertical="top" wrapText="1"/>
    </xf>
    <xf numFmtId="164" fontId="3" fillId="0" borderId="0" xfId="0" applyNumberFormat="1" applyFont="1" applyAlignment="1">
      <alignment horizontal="right" vertical="top" wrapText="1"/>
    </xf>
    <xf numFmtId="166" fontId="3" fillId="0" borderId="0" xfId="0" applyNumberFormat="1" applyFont="1" applyAlignment="1">
      <alignment wrapText="1"/>
    </xf>
    <xf numFmtId="4" fontId="3" fillId="0" borderId="0" xfId="0" applyNumberFormat="1" applyFont="1" applyAlignment="1" applyProtection="1">
      <alignment wrapText="1"/>
      <protection locked="0"/>
    </xf>
    <xf numFmtId="49" fontId="4" fillId="0" borderId="0" xfId="0" applyFont="1"/>
    <xf numFmtId="49" fontId="3" fillId="0" borderId="0" xfId="0" applyFont="1" applyBorder="1" applyAlignment="1">
      <alignment wrapText="1"/>
    </xf>
    <xf numFmtId="167" fontId="3" fillId="0" borderId="0" xfId="0" applyNumberFormat="1" applyFont="1" applyBorder="1" applyAlignment="1">
      <alignment wrapText="1"/>
    </xf>
    <xf numFmtId="165" fontId="3" fillId="0" borderId="0" xfId="0" applyNumberFormat="1" applyFont="1" applyBorder="1" applyAlignment="1">
      <alignment horizontal="right" wrapText="1"/>
    </xf>
    <xf numFmtId="165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17" fontId="3" fillId="0" borderId="0" xfId="0" applyNumberFormat="1" applyFont="1" applyBorder="1" applyAlignment="1">
      <alignment wrapText="1"/>
    </xf>
    <xf numFmtId="167" fontId="3" fillId="0" borderId="0" xfId="0" applyNumberFormat="1" applyFont="1" applyAlignment="1">
      <alignment horizontal="left" wrapText="1"/>
    </xf>
    <xf numFmtId="49" fontId="3" fillId="0" borderId="0" xfId="0" applyFont="1"/>
    <xf numFmtId="14" fontId="3" fillId="0" borderId="0" xfId="0" applyNumberFormat="1" applyFont="1" applyAlignment="1">
      <alignment horizontal="left"/>
    </xf>
    <xf numFmtId="167" fontId="3" fillId="0" borderId="0" xfId="0" applyNumberFormat="1" applyFont="1" applyAlignment="1">
      <alignment wrapText="1"/>
    </xf>
    <xf numFmtId="165" fontId="3" fillId="0" borderId="0" xfId="0" applyNumberFormat="1" applyFont="1" applyAlignment="1">
      <alignment horizontal="right" wrapText="1"/>
    </xf>
    <xf numFmtId="49" fontId="3" fillId="0" borderId="3" xfId="0" applyFont="1" applyBorder="1" applyAlignment="1">
      <alignment horizontal="left" wrapText="1"/>
    </xf>
    <xf numFmtId="168" fontId="4" fillId="0" borderId="1" xfId="0" applyNumberFormat="1" applyFont="1" applyBorder="1"/>
    <xf numFmtId="49" fontId="3" fillId="0" borderId="1" xfId="0" applyFont="1" applyBorder="1"/>
    <xf numFmtId="14" fontId="4" fillId="0" borderId="0" xfId="0" applyNumberFormat="1" applyFont="1" applyAlignment="1">
      <alignment horizontal="left"/>
    </xf>
    <xf numFmtId="49" fontId="4" fillId="0" borderId="0" xfId="0" applyFont="1" applyAlignment="1">
      <alignment horizontal="right"/>
    </xf>
    <xf numFmtId="168" fontId="4" fillId="0" borderId="0" xfId="0" applyNumberFormat="1" applyFont="1"/>
    <xf numFmtId="49" fontId="3" fillId="3" borderId="1" xfId="0" applyFont="1" applyFill="1" applyBorder="1" applyAlignment="1">
      <alignment horizontal="center" vertical="center" wrapText="1"/>
    </xf>
    <xf numFmtId="49" fontId="3" fillId="2" borderId="1" xfId="0" applyFont="1" applyFill="1" applyBorder="1" applyAlignment="1">
      <alignment horizontal="center" vertical="center" wrapText="1"/>
    </xf>
    <xf numFmtId="49" fontId="3" fillId="2" borderId="5" xfId="0" applyFont="1" applyFill="1" applyBorder="1" applyAlignment="1">
      <alignment horizontal="center" vertical="center" wrapText="1"/>
    </xf>
    <xf numFmtId="49" fontId="3" fillId="2" borderId="6" xfId="0" applyFont="1" applyFill="1" applyBorder="1" applyAlignment="1">
      <alignment horizontal="center" vertical="center" wrapText="1"/>
    </xf>
    <xf numFmtId="49" fontId="3" fillId="3" borderId="6" xfId="0" applyFont="1" applyFill="1" applyBorder="1" applyAlignment="1">
      <alignment horizontal="center" vertical="center" wrapText="1"/>
    </xf>
    <xf numFmtId="167" fontId="3" fillId="3" borderId="6" xfId="0" applyNumberFormat="1" applyFont="1" applyFill="1" applyBorder="1" applyAlignment="1">
      <alignment horizontal="center" vertical="center" wrapText="1"/>
    </xf>
    <xf numFmtId="165" fontId="3" fillId="3" borderId="6" xfId="0" applyNumberFormat="1" applyFont="1" applyFill="1" applyBorder="1" applyAlignment="1">
      <alignment horizontal="center" vertical="center" wrapText="1"/>
    </xf>
    <xf numFmtId="164" fontId="3" fillId="3" borderId="6" xfId="0" applyNumberFormat="1" applyFont="1" applyFill="1" applyBorder="1" applyAlignment="1">
      <alignment horizontal="center" vertical="center" wrapText="1"/>
    </xf>
    <xf numFmtId="166" fontId="3" fillId="3" borderId="6" xfId="0" applyNumberFormat="1" applyFont="1" applyFill="1" applyBorder="1" applyAlignment="1">
      <alignment horizontal="center" vertical="center" wrapText="1"/>
    </xf>
    <xf numFmtId="7" fontId="3" fillId="3" borderId="6" xfId="0" applyNumberFormat="1" applyFont="1" applyFill="1" applyBorder="1" applyAlignment="1">
      <alignment horizontal="center" vertical="center" wrapText="1"/>
    </xf>
    <xf numFmtId="168" fontId="3" fillId="3" borderId="6" xfId="0" applyNumberFormat="1" applyFont="1" applyFill="1" applyBorder="1" applyAlignment="1">
      <alignment horizontal="center" vertical="center" wrapText="1"/>
    </xf>
    <xf numFmtId="4" fontId="3" fillId="3" borderId="2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2" xfId="0" applyFont="1" applyBorder="1" applyAlignment="1">
      <alignment horizontal="center" wrapText="1"/>
    </xf>
    <xf numFmtId="49" fontId="3" fillId="0" borderId="3" xfId="0" applyFont="1" applyBorder="1" applyAlignment="1">
      <alignment horizontal="center" wrapText="1"/>
    </xf>
    <xf numFmtId="167" fontId="3" fillId="2" borderId="6" xfId="0" applyNumberFormat="1" applyFont="1" applyFill="1" applyBorder="1" applyAlignment="1">
      <alignment horizontal="center" vertical="center" wrapText="1"/>
    </xf>
    <xf numFmtId="49" fontId="3" fillId="2" borderId="6" xfId="0" applyFont="1" applyFill="1" applyBorder="1" applyAlignment="1">
      <alignment horizontal="center" vertical="center"/>
    </xf>
    <xf numFmtId="166" fontId="3" fillId="2" borderId="6" xfId="0" applyNumberFormat="1" applyFont="1" applyFill="1" applyBorder="1" applyAlignment="1">
      <alignment horizontal="center" vertical="center" wrapText="1"/>
    </xf>
    <xf numFmtId="49" fontId="3" fillId="0" borderId="0" xfId="0" applyFont="1" applyAlignment="1">
      <alignment horizontal="center" vertical="center" wrapText="1"/>
    </xf>
    <xf numFmtId="49" fontId="3" fillId="0" borderId="1" xfId="0" applyFont="1" applyBorder="1" applyAlignment="1">
      <alignment horizontal="center" vertical="center" wrapText="1"/>
    </xf>
    <xf numFmtId="168" fontId="3" fillId="0" borderId="1" xfId="1" applyNumberFormat="1" applyFont="1" applyBorder="1" applyAlignment="1">
      <alignment horizontal="center" vertical="center" wrapText="1"/>
    </xf>
    <xf numFmtId="49" fontId="4" fillId="0" borderId="0" xfId="0" applyFont="1" applyAlignment="1">
      <alignment horizontal="center" vertical="center"/>
    </xf>
    <xf numFmtId="14" fontId="3" fillId="2" borderId="6" xfId="0" applyNumberFormat="1" applyFont="1" applyFill="1" applyBorder="1" applyAlignment="1">
      <alignment horizontal="center" vertical="center" wrapText="1"/>
    </xf>
    <xf numFmtId="49" fontId="4" fillId="0" borderId="1" xfId="0" applyFont="1" applyFill="1" applyBorder="1" applyAlignment="1">
      <alignment horizontal="center" vertical="center"/>
    </xf>
    <xf numFmtId="49" fontId="4" fillId="0" borderId="4" xfId="0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 wrapText="1"/>
    </xf>
    <xf numFmtId="49" fontId="4" fillId="0" borderId="1" xfId="0" applyFont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49" fontId="4" fillId="0" borderId="1" xfId="0" applyFont="1" applyFill="1" applyBorder="1" applyAlignment="1">
      <alignment horizontal="center" vertical="center" wrapText="1"/>
    </xf>
    <xf numFmtId="168" fontId="4" fillId="0" borderId="1" xfId="0" applyNumberFormat="1" applyFont="1" applyFill="1" applyBorder="1" applyAlignment="1">
      <alignment horizontal="center" vertical="center"/>
    </xf>
    <xf numFmtId="44" fontId="4" fillId="0" borderId="7" xfId="0" applyNumberFormat="1" applyFont="1" applyBorder="1" applyAlignment="1" applyProtection="1">
      <alignment horizontal="center" vertical="center"/>
    </xf>
    <xf numFmtId="49" fontId="3" fillId="0" borderId="0" xfId="0" applyFont="1" applyBorder="1" applyAlignment="1">
      <alignment horizontal="right" vertical="center" wrapText="1"/>
    </xf>
    <xf numFmtId="0" fontId="7" fillId="0" borderId="0" xfId="0" applyNumberFormat="1" applyFont="1" applyBorder="1" applyAlignment="1">
      <alignment horizontal="left" vertical="center"/>
    </xf>
    <xf numFmtId="49" fontId="7" fillId="0" borderId="0" xfId="0" applyFont="1" applyBorder="1" applyAlignment="1">
      <alignment vertical="center"/>
    </xf>
    <xf numFmtId="49" fontId="7" fillId="0" borderId="1" xfId="0" applyFont="1" applyBorder="1"/>
    <xf numFmtId="168" fontId="8" fillId="0" borderId="1" xfId="0" applyNumberFormat="1" applyFont="1" applyBorder="1"/>
    <xf numFmtId="0" fontId="9" fillId="0" borderId="0" xfId="0" applyNumberFormat="1" applyFont="1" applyBorder="1" applyAlignment="1">
      <alignment horizontal="left" vertical="center"/>
    </xf>
    <xf numFmtId="49" fontId="9" fillId="0" borderId="0" xfId="0" applyFont="1" applyBorder="1" applyAlignment="1">
      <alignment vertical="center"/>
    </xf>
    <xf numFmtId="14" fontId="9" fillId="0" borderId="0" xfId="0" applyNumberFormat="1" applyFont="1" applyBorder="1" applyAlignment="1">
      <alignment horizontal="right" vertical="center" wrapText="1"/>
    </xf>
    <xf numFmtId="49" fontId="3" fillId="0" borderId="0" xfId="0" applyFont="1" applyBorder="1" applyAlignment="1">
      <alignment horizontal="center" wrapText="1"/>
    </xf>
    <xf numFmtId="49" fontId="4" fillId="3" borderId="7" xfId="0" applyFont="1" applyFill="1" applyBorder="1" applyAlignment="1">
      <alignment horizontal="center" vertical="center" wrapText="1"/>
    </xf>
    <xf numFmtId="49" fontId="4" fillId="3" borderId="8" xfId="0" applyFont="1" applyFill="1" applyBorder="1" applyAlignment="1">
      <alignment horizontal="center" vertical="center" wrapText="1"/>
    </xf>
    <xf numFmtId="49" fontId="4" fillId="3" borderId="4" xfId="0" applyFont="1" applyFill="1" applyBorder="1" applyAlignment="1">
      <alignment horizontal="center" vertical="center" wrapText="1"/>
    </xf>
    <xf numFmtId="168" fontId="6" fillId="0" borderId="0" xfId="0" applyNumberFormat="1" applyFont="1" applyBorder="1" applyAlignment="1" applyProtection="1">
      <alignment horizontal="center" vertical="center" wrapText="1"/>
    </xf>
    <xf numFmtId="168" fontId="6" fillId="0" borderId="9" xfId="0" applyNumberFormat="1" applyFont="1" applyBorder="1" applyAlignment="1" applyProtection="1">
      <alignment horizontal="center" vertical="center" wrapText="1"/>
    </xf>
    <xf numFmtId="168" fontId="4" fillId="0" borderId="12" xfId="0" applyNumberFormat="1" applyFont="1" applyBorder="1" applyAlignment="1">
      <alignment horizontal="center" wrapText="1"/>
    </xf>
    <xf numFmtId="168" fontId="4" fillId="0" borderId="13" xfId="0" applyNumberFormat="1" applyFont="1" applyBorder="1" applyAlignment="1">
      <alignment horizontal="center" wrapText="1"/>
    </xf>
    <xf numFmtId="49" fontId="4" fillId="0" borderId="10" xfId="0" applyFont="1" applyBorder="1" applyAlignment="1">
      <alignment horizontal="center" vertical="center" wrapText="1"/>
    </xf>
    <xf numFmtId="49" fontId="4" fillId="0" borderId="11" xfId="0" applyFont="1" applyBorder="1" applyAlignment="1">
      <alignment horizontal="center" vertical="center" wrapText="1"/>
    </xf>
    <xf numFmtId="49" fontId="4" fillId="0" borderId="14" xfId="0" applyFont="1" applyBorder="1" applyAlignment="1">
      <alignment horizontal="center" vertical="center" wrapText="1"/>
    </xf>
    <xf numFmtId="49" fontId="4" fillId="0" borderId="15" xfId="0" applyFont="1" applyBorder="1" applyAlignment="1">
      <alignment horizontal="center" vertical="center" wrapText="1"/>
    </xf>
    <xf numFmtId="14" fontId="7" fillId="0" borderId="0" xfId="0" applyNumberFormat="1" applyFont="1" applyBorder="1" applyAlignment="1">
      <alignment horizontal="right" vertical="center" wrapText="1"/>
    </xf>
  </cellXfs>
  <cellStyles count="2">
    <cellStyle name="Currency" xfId="1" builtinId="4"/>
    <cellStyle name="Normal" xfId="0" builtinId="0" customBuiltin="1"/>
  </cellStyles>
  <dxfs count="234"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9" formatCode="[$-F400]h:mm:ss\ AM/PM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8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9" formatCode="[$-F400]h:mm:ss\ AM/PM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m/d/yyyy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9" formatCode="[$-F400]h:mm:ss\ AM/PM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8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9" formatCode="[$-F400]h:mm:ss\ AM/PM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m/d/yyyy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9" formatCode="[$-F400]h:mm:ss\ AM/PM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8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9" formatCode="[$-F400]h:mm:ss\ AM/PM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m/d/yyyy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9" formatCode="[$-F400]h:mm:ss\ AM/PM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8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9" formatCode="[$-F400]h:mm:ss\ AM/PM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m/d/yyyy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9" formatCode="[$-F400]h:mm:ss\ AM/PM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8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9" formatCode="[$-F400]h:mm:ss\ AM/PM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m/d/yyyy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9" formatCode="[$-F400]h:mm:ss\ AM/PM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8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9" formatCode="[$-F400]h:mm:ss\ AM/PM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m/d/yyyy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9786ED-371B-4CDB-90A8-6EB6A4B67B0D}" name="Table1" displayName="Table1" ref="A6:AD61" totalsRowShown="0" headerRowDxfId="233" dataDxfId="231" headerRowBorderDxfId="232" tableBorderDxfId="230" totalsRowBorderDxfId="229">
  <autoFilter ref="A6:AD61" xr:uid="{ED05BBD4-85C3-4F12-AE96-7DFA44E08277}"/>
  <tableColumns count="30">
    <tableColumn id="1" xr3:uid="{5B41EDAE-DB0B-40A1-98B8-6DDFA51A9EFF}" name="Service Ticket #" dataDxfId="228"/>
    <tableColumn id="32" xr3:uid="{E7A5F24B-E52D-472E-986F-96DC8E36A38A}" name="Emergency, Routine, or PMI" dataDxfId="227"/>
    <tableColumn id="2" xr3:uid="{CEF2C409-CF3F-4397-B70A-16E157A09D96}" name="Caller's Name  _x000a_(State PMI for PMI SERVICE)" dataDxfId="226"/>
    <tableColumn id="3" xr3:uid="{2C0C5B33-A0BF-4A30-A70E-9F131809C903}" name="Civil Tel No" dataDxfId="225"/>
    <tableColumn id="4" xr3:uid="{50C43D97-FCD6-4B29-B960-34990A215CA9}" name="Date Called_x000a_M/D/Y" dataDxfId="224"/>
    <tableColumn id="5" xr3:uid="{8A016DB7-4BF3-4ADD-A417-006C6D766AB4}" name="Time Called" dataDxfId="223"/>
    <tableColumn id="6" xr3:uid="{F3A3DFE7-DB19-44B7-B78C-B2660E27F30A}" name="Location" dataDxfId="222"/>
    <tableColumn id="7" xr3:uid="{E569E63B-C318-4273-8285-A2F71221441E}" name="Building" dataDxfId="221"/>
    <tableColumn id="8" xr3:uid="{4E6F68B7-594D-41AB-BD1C-4FB3F7EF3D51}" name="Room" dataDxfId="220"/>
    <tableColumn id="9" xr3:uid="{6396C008-79E9-4D5F-9E0B-8A6228F4DD16}" name="Brief Description of Problem" dataDxfId="219"/>
    <tableColumn id="11" xr3:uid="{E0463931-9779-47DF-A67F-F9FA3A2614D1}" name="Technician Assigned" dataDxfId="218"/>
    <tableColumn id="12" xr3:uid="{8506BD02-A8E3-480E-B741-F4A4DA69291C}" name="SO #" dataDxfId="217"/>
    <tableColumn id="13" xr3:uid="{5A8CEA17-EF92-4EAD-AE39-0301D5C0B08A}" name="Date and Time SO Submitted" dataDxfId="216"/>
    <tableColumn id="14" xr3:uid="{FC43D1B4-9C3F-4117-9456-932506CBFDCD}" name="Date and Time SO Authorized" dataDxfId="215"/>
    <tableColumn id="15" xr3:uid="{00A848D3-A048-43E2-B8BE-27335E41334A}" name="Phone Solved or Not" dataDxfId="214"/>
    <tableColumn id="16" xr3:uid="{FC961215-95EC-4311-93BB-AD810FF1455A}" name="Date at Site" dataDxfId="213"/>
    <tableColumn id="17" xr3:uid="{D30B0C84-912D-4BCC-ADC8-9C29E88315ED}" name="Time at Site" dataDxfId="212"/>
    <tableColumn id="18" xr3:uid="{4CDE8F08-3711-43E9-A477-234E448CA96F}" name="Technicians Assessment of Problem" dataDxfId="211"/>
    <tableColumn id="19" xr3:uid="{22DF2237-3C27-4767-AB74-68BBAB0090A3}" name="Corrective Action Taken" dataDxfId="210"/>
    <tableColumn id="20" xr3:uid="{C2355DF1-6A23-44C8-B80A-6C67407B3D62}" name="Parts Reqd/Used " dataDxfId="209"/>
    <tableColumn id="21" xr3:uid="{C3B22B1A-2B80-4EED-AA05-83BE3EBEF6E3}" name="Broken Part Model #" dataDxfId="208"/>
    <tableColumn id="22" xr3:uid="{01D3FAD3-46C8-4F2F-9087-EBD4E6A7EE0B}" name="Broken Part Serial #" dataDxfId="207"/>
    <tableColumn id="23" xr3:uid="{9BFCEF7C-CD43-44CF-B900-2B84F3A00CD2}" name="Replacement Part Model #" dataDxfId="206"/>
    <tableColumn id="24" xr3:uid="{37B83B6D-909F-4FF0-B6C7-15FE9BDD7DF0}" name="Replacement Part Serial #" dataDxfId="205"/>
    <tableColumn id="25" xr3:uid="{7B25E478-88EA-4FA7-8243-6D6BCF18A193}" name="Replacement Part Cost" dataDxfId="204"/>
    <tableColumn id="26" xr3:uid="{76C93F03-939F-45FA-AB85-9719816CC443}" name="Total SO Cost" dataDxfId="203"/>
    <tableColumn id="34" xr3:uid="{75C30631-FB44-4D5D-B44E-1DBC76DE706E}" name="Status_x000a_(Select from drop down)" dataDxfId="202"/>
    <tableColumn id="28" xr3:uid="{70A3C07C-70FA-4ECE-80AC-FABDD2BCE352}" name="Service Order Resolved (Date)" dataDxfId="201"/>
    <tableColumn id="29" xr3:uid="{B2433B49-F46D-4715-B4CF-C10C03386598}" name="Time Tech Off Site" dataDxfId="200"/>
    <tableColumn id="30" xr3:uid="{6B3AAA15-2B2E-4BD0-9ABD-FA9C8E549FDF}" name="Remaining Funds Calculation" dataDxfId="19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F950E9-B121-49E1-96EB-97107D8AC943}" name="Table13" displayName="Table13" ref="A6:AD61" totalsRowShown="0" headerRowDxfId="198" dataDxfId="196" headerRowBorderDxfId="197" tableBorderDxfId="195" totalsRowBorderDxfId="194">
  <autoFilter ref="A6:AD61" xr:uid="{ED05BBD4-85C3-4F12-AE96-7DFA44E08277}"/>
  <tableColumns count="30">
    <tableColumn id="1" xr3:uid="{4AC59813-B6DE-42E4-86EF-D3BB665F676D}" name="Service Ticket #" dataDxfId="193"/>
    <tableColumn id="32" xr3:uid="{48D01D3E-0F46-4DF7-BAE9-690F03413985}" name="Emergency, Routine, or PMI" dataDxfId="192"/>
    <tableColumn id="2" xr3:uid="{4BB560FE-C43E-4837-BD83-7A32A676A177}" name="Caller's Name  _x000a_(State PMI for PMI SERVICE)" dataDxfId="191"/>
    <tableColumn id="3" xr3:uid="{6BA429D1-423E-4A8E-8B90-09510CAD6D44}" name="Civil Tel No" dataDxfId="190"/>
    <tableColumn id="4" xr3:uid="{E3782951-E05B-4534-9F09-B77BF1346E28}" name="Date Called_x000a_M/D/Y" dataDxfId="189"/>
    <tableColumn id="5" xr3:uid="{5B7FE412-E85C-4C05-A237-B41459D0132C}" name="Time Called" dataDxfId="188"/>
    <tableColumn id="6" xr3:uid="{D6D05794-78C6-4920-B70D-DC10E0F6CFAD}" name="Location" dataDxfId="187"/>
    <tableColumn id="7" xr3:uid="{D2BEB541-8A26-4DCC-B683-09E3422CF91E}" name="Building" dataDxfId="186"/>
    <tableColumn id="8" xr3:uid="{FFB83C74-A20E-4D4C-891A-DEC8570B6B76}" name="Room" dataDxfId="185"/>
    <tableColumn id="9" xr3:uid="{532DCFCF-AFDA-4AB6-97EA-70CA9D17D9AC}" name="Brief Description of Problem" dataDxfId="184"/>
    <tableColumn id="11" xr3:uid="{C6EAE8A0-EB12-40E9-A762-DB4D59123B0E}" name="Technician Assigned" dataDxfId="183"/>
    <tableColumn id="12" xr3:uid="{CA9BD49B-8AF7-41F7-8E26-CFA91375E02B}" name="SO #" dataDxfId="182"/>
    <tableColumn id="13" xr3:uid="{6D1379B7-7093-420B-ACB6-EFE98B5F4156}" name="Date and Time SO Submitted" dataDxfId="181"/>
    <tableColumn id="14" xr3:uid="{9633C229-AA6A-4174-B45B-B83C6C3359E3}" name="Date and Time SO Authorized" dataDxfId="180"/>
    <tableColumn id="15" xr3:uid="{5D595025-F747-4B81-AF58-9C380C96D6F7}" name="Phone Solved or Not" dataDxfId="179"/>
    <tableColumn id="16" xr3:uid="{635289EC-EB67-4E98-9127-8B896AC0DF9A}" name="Date at Site" dataDxfId="178"/>
    <tableColumn id="17" xr3:uid="{4F668540-8DB3-4207-BB1E-D82D904847A5}" name="Time at Site" dataDxfId="177"/>
    <tableColumn id="18" xr3:uid="{99E8B0A0-0181-41F6-911B-4CBA4EBBBF75}" name="Technicians Assessment of Problem" dataDxfId="176"/>
    <tableColumn id="19" xr3:uid="{4604F03A-ED88-42A4-AD1D-7D193944A79A}" name="Corrective Action Taken" dataDxfId="175"/>
    <tableColumn id="20" xr3:uid="{8133762B-AEE0-47E6-9ED3-54BEDF8EFEDC}" name="Parts Reqd/Used " dataDxfId="174"/>
    <tableColumn id="21" xr3:uid="{3EE0BE3A-4117-48E4-B590-861D87B16D79}" name="Broken Part Model #" dataDxfId="173"/>
    <tableColumn id="22" xr3:uid="{04937C81-4FE6-47A2-A59B-EB4D66EB2636}" name="Broken Part Serial #" dataDxfId="172"/>
    <tableColumn id="23" xr3:uid="{1C1D0300-62BB-46D1-9E60-449AFCDA46C0}" name="Replacement Part Model #" dataDxfId="171"/>
    <tableColumn id="24" xr3:uid="{EDEEA7D8-4B75-4B22-8195-2BB78F04142B}" name="Replacement Part Serial #" dataDxfId="170"/>
    <tableColumn id="25" xr3:uid="{7EF06AA3-B7EC-4413-AA78-395359B98E94}" name="Replacement Part Cost" dataDxfId="169"/>
    <tableColumn id="26" xr3:uid="{E484BEB8-1F72-4C11-A08A-884FF3215CB2}" name="Total SO Cost" dataDxfId="168"/>
    <tableColumn id="34" xr3:uid="{C63E936E-18B6-4436-87B4-528FBE23C5F1}" name="Status_x000a_(Select from drop down)" dataDxfId="167"/>
    <tableColumn id="28" xr3:uid="{86D9DA8C-FC9D-4FD9-89FE-2987DCB4EB6C}" name="Service Order Resolved (Date)" dataDxfId="166"/>
    <tableColumn id="29" xr3:uid="{D821C34B-1C88-4C0E-90DA-C5CFD45D9FC9}" name="Time Tech Off Site" dataDxfId="165"/>
    <tableColumn id="30" xr3:uid="{EBBB75BA-C568-48E7-870B-5F485BB79E3C}" name="Remaining Funds Calculation" dataDxfId="16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96203-EA88-4563-85FE-1EBD6D303D69}" name="Table135" displayName="Table135" ref="A6:AD61" totalsRowShown="0" headerRowDxfId="163" dataDxfId="161" headerRowBorderDxfId="162" tableBorderDxfId="160" totalsRowBorderDxfId="159">
  <autoFilter ref="A6:AD61" xr:uid="{ED05BBD4-85C3-4F12-AE96-7DFA44E08277}"/>
  <tableColumns count="30">
    <tableColumn id="1" xr3:uid="{93D8117B-067A-44EB-9B9A-D22E617B7DB4}" name="Service Ticket #" dataDxfId="158"/>
    <tableColumn id="32" xr3:uid="{D318D07D-FF23-45D5-BD1D-039EB51AEA4A}" name="Emergency, Routine, or PMI" dataDxfId="157"/>
    <tableColumn id="2" xr3:uid="{FB5A73D9-2888-4B90-B4B3-284E4BA5D6E3}" name="Caller's Name  _x000a_(State PMI for PMI SERVICE)" dataDxfId="156"/>
    <tableColumn id="3" xr3:uid="{D5DCE21A-6665-4E02-B661-7507BC00DCE7}" name="Civil Tel No" dataDxfId="155"/>
    <tableColumn id="4" xr3:uid="{97E7A775-FBC6-4BD9-936C-CF5D9A38CEC8}" name="Date Called_x000a_M/D/Y" dataDxfId="154"/>
    <tableColumn id="5" xr3:uid="{734CD802-DA88-453A-A81E-EE0FC7DD1D19}" name="Time Called" dataDxfId="153"/>
    <tableColumn id="6" xr3:uid="{EBED521C-16F4-48B3-98FC-1276747EB786}" name="Location" dataDxfId="152"/>
    <tableColumn id="7" xr3:uid="{FA48AC20-F7D3-4474-8E2D-75222B87D636}" name="Building" dataDxfId="151"/>
    <tableColumn id="8" xr3:uid="{800E42D8-5798-441A-80C1-C2A650958644}" name="Room" dataDxfId="150"/>
    <tableColumn id="9" xr3:uid="{28D863C2-9111-4FF0-A6C4-E09720585569}" name="Brief Description of Problem" dataDxfId="149"/>
    <tableColumn id="11" xr3:uid="{C88E1A61-23CC-40EF-B0D4-97F76A83B1FF}" name="Technician Assigned" dataDxfId="148"/>
    <tableColumn id="12" xr3:uid="{CDD3EB08-C2FE-47B3-A2F5-F4897031B291}" name="SO #" dataDxfId="147"/>
    <tableColumn id="13" xr3:uid="{C007AC42-341B-48A9-B7B6-84C67E2B7892}" name="Date and Time SO Submitted" dataDxfId="146"/>
    <tableColumn id="14" xr3:uid="{B3B87586-2AF6-4344-AEDF-962D238E4938}" name="Date and Time SO Authorized" dataDxfId="145"/>
    <tableColumn id="15" xr3:uid="{93994547-2CBE-46CE-8FDC-6EEFE3BD4F29}" name="Phone Solved or Not" dataDxfId="144"/>
    <tableColumn id="16" xr3:uid="{F3A094AE-0C5F-4DAC-A9CE-1E2852992A6A}" name="Date at Site" dataDxfId="143"/>
    <tableColumn id="17" xr3:uid="{160BEDB8-AEDB-4322-8505-DEF180EB31ED}" name="Time at Site" dataDxfId="142"/>
    <tableColumn id="18" xr3:uid="{E444A0B0-E9C3-4D66-8D70-D87413D7BF6F}" name="Technicians Assessment of Problem" dataDxfId="141"/>
    <tableColumn id="19" xr3:uid="{2876D276-0E1B-42DB-A0C8-C4F158B08B62}" name="Corrective Action Taken" dataDxfId="140"/>
    <tableColumn id="20" xr3:uid="{46735BF4-C163-4C2A-9E31-C32E6DBBD414}" name="Parts Reqd/Used " dataDxfId="139"/>
    <tableColumn id="21" xr3:uid="{F26920D3-36DD-4703-B6FF-0C3B3D5FA7C3}" name="Broken Part Model #" dataDxfId="138"/>
    <tableColumn id="22" xr3:uid="{FFA44AB3-AAF6-468A-A44A-373A55F1F5C5}" name="Broken Part Serial #" dataDxfId="137"/>
    <tableColumn id="23" xr3:uid="{A651DCFB-E916-4EAC-90AB-2EBB1048CEC5}" name="Replacement Part Model #" dataDxfId="136"/>
    <tableColumn id="24" xr3:uid="{BD4A8B98-658B-4065-8E8F-777D8657E3F0}" name="Replacement Part Serial #" dataDxfId="135"/>
    <tableColumn id="25" xr3:uid="{BBA4951F-FB11-4A30-B601-627289917FBC}" name="Replacement Part Cost" dataDxfId="134"/>
    <tableColumn id="26" xr3:uid="{9FBD7270-F581-4B3F-B8DE-908548665260}" name="Total SO Cost" dataDxfId="133"/>
    <tableColumn id="34" xr3:uid="{4EC1339A-A955-414A-A04F-AC3B4A5B45C7}" name="Status_x000a_(Select from drop down)" dataDxfId="132"/>
    <tableColumn id="28" xr3:uid="{3FF2B0E5-F6DD-463D-BDFA-676B898CFA39}" name="Service Order Resolved (Date)" dataDxfId="131"/>
    <tableColumn id="29" xr3:uid="{5D2E3567-FBC4-4FC4-B3D7-A354D998594A}" name="Time Tech Off Site" dataDxfId="130"/>
    <tableColumn id="30" xr3:uid="{BBA6AA53-ED9D-4BF9-8D4B-86C18A2439B7}" name="Remaining Funds Calculation" dataDxfId="12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9FC365-F6B0-4415-A191-124669F7576D}" name="Table1356" displayName="Table1356" ref="A6:AD61" totalsRowShown="0" headerRowDxfId="128" dataDxfId="126" headerRowBorderDxfId="127" tableBorderDxfId="125" totalsRowBorderDxfId="124">
  <autoFilter ref="A6:AD61" xr:uid="{ED05BBD4-85C3-4F12-AE96-7DFA44E08277}"/>
  <tableColumns count="30">
    <tableColumn id="1" xr3:uid="{27C0387F-6C34-4FA8-B012-613B390493D9}" name="Service Ticket #" dataDxfId="123"/>
    <tableColumn id="32" xr3:uid="{486DAEA4-C87F-41F3-ABF2-3E6C58B492FB}" name="Emergency, Routine, or PMI" dataDxfId="122"/>
    <tableColumn id="2" xr3:uid="{47CAB010-7AC1-479C-B603-56653ADDE1AA}" name="Caller's Name  _x000a_(State PMI for PMI SERVICE)" dataDxfId="121"/>
    <tableColumn id="3" xr3:uid="{3A763F6B-9D57-4E4C-9AA3-C07A9557C1BB}" name="Civil Tel No" dataDxfId="120"/>
    <tableColumn id="4" xr3:uid="{BEB8AA03-9C80-4C7D-8D3D-6118BCD6F12E}" name="Date Called_x000a_M/D/Y" dataDxfId="119"/>
    <tableColumn id="5" xr3:uid="{A52F6E5A-796A-4819-8EBF-2E7FD1999B82}" name="Time Called" dataDxfId="118"/>
    <tableColumn id="6" xr3:uid="{978A9876-AE5F-45F7-A6F3-F47E81B9CA56}" name="Location" dataDxfId="117"/>
    <tableColumn id="7" xr3:uid="{2E5EAB07-742D-4503-BBC5-203D7C287110}" name="Building" dataDxfId="116"/>
    <tableColumn id="8" xr3:uid="{C72F010B-ECBC-43B1-835E-24B672ED3DF5}" name="Room" dataDxfId="115"/>
    <tableColumn id="9" xr3:uid="{19040B91-706D-48CA-A975-8ABA7ED5F63D}" name="Brief Description of Problem" dataDxfId="114"/>
    <tableColumn id="11" xr3:uid="{D34B432A-3367-4DA7-A51E-4437F28B8CBA}" name="Technician Assigned" dataDxfId="113"/>
    <tableColumn id="12" xr3:uid="{A2AAF649-38B0-463A-8AC7-FEFC6D23648C}" name="SO #" dataDxfId="112"/>
    <tableColumn id="13" xr3:uid="{92F30DE3-5BED-456A-A50A-6B4B8E8C9CB9}" name="Date and Time SO Submitted" dataDxfId="111"/>
    <tableColumn id="14" xr3:uid="{56D0750C-3BBA-45DC-A4CE-20819AC376A8}" name="Date and Time SO Authorized" dataDxfId="110"/>
    <tableColumn id="15" xr3:uid="{0BC55847-4B73-447F-8B67-DFD50C54672C}" name="Phone Solved or Not" dataDxfId="109"/>
    <tableColumn id="16" xr3:uid="{CBE6F706-EC5A-4E2E-9FBD-1C171E7AE488}" name="Date at Site" dataDxfId="108"/>
    <tableColumn id="17" xr3:uid="{52C1C282-6E47-4575-98F9-4FA6BEAC1151}" name="Time at Site" dataDxfId="107"/>
    <tableColumn id="18" xr3:uid="{FFE7A06E-D73F-47BD-B9C6-7939AB09F3E5}" name="Technicians Assessment of Problem" dataDxfId="106"/>
    <tableColumn id="19" xr3:uid="{37EE20C1-01EA-4A36-8959-D18849079755}" name="Corrective Action Taken" dataDxfId="105"/>
    <tableColumn id="20" xr3:uid="{10D2208E-B9C4-48FC-9DE7-E0AED17A7FA2}" name="Parts Reqd/Used " dataDxfId="104"/>
    <tableColumn id="21" xr3:uid="{516D6B90-7C78-40CD-920E-121969359D1E}" name="Broken Part Model #" dataDxfId="103"/>
    <tableColumn id="22" xr3:uid="{2E15433C-85D8-4A23-ADD6-5ECC44343615}" name="Broken Part Serial #" dataDxfId="102"/>
    <tableColumn id="23" xr3:uid="{76320B56-9B63-4E71-B4C8-45C45D3486DF}" name="Replacement Part Model #" dataDxfId="101"/>
    <tableColumn id="24" xr3:uid="{C78911EF-C811-495F-858F-0E0835A6F5D5}" name="Replacement Part Serial #" dataDxfId="100"/>
    <tableColumn id="25" xr3:uid="{780AB5CC-3C4E-4631-9B9A-3E593B92C671}" name="Replacement Part Cost" dataDxfId="99"/>
    <tableColumn id="26" xr3:uid="{EEB4ABA6-D65C-40C7-B234-EB9B67058CC4}" name="Total SO Cost" dataDxfId="98"/>
    <tableColumn id="34" xr3:uid="{403AFB8D-27DD-46AE-9238-3DBD33038DAE}" name="Status_x000a_(Select from drop down)" dataDxfId="97"/>
    <tableColumn id="28" xr3:uid="{A88CB819-9FB5-432A-8D91-135BEF67BD24}" name="Service Order Resolved (Date)" dataDxfId="96"/>
    <tableColumn id="29" xr3:uid="{0E58765C-C2CB-465A-82A1-7270502C119C}" name="Time Tech Off Site" dataDxfId="95"/>
    <tableColumn id="30" xr3:uid="{928C0202-1522-4B8B-A6DC-DCBAF521303E}" name="Remaining Funds Calculation" dataDxfId="9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81B38C-6797-4A47-89CB-D7A460284881}" name="Table13567" displayName="Table13567" ref="A6:AD61" totalsRowShown="0" headerRowDxfId="93" dataDxfId="91" headerRowBorderDxfId="92" tableBorderDxfId="90" totalsRowBorderDxfId="89">
  <autoFilter ref="A6:AD61" xr:uid="{ED05BBD4-85C3-4F12-AE96-7DFA44E08277}"/>
  <tableColumns count="30">
    <tableColumn id="1" xr3:uid="{CB098334-E910-4541-9B4E-CAE88D12FF3B}" name="Service Ticket #" dataDxfId="88"/>
    <tableColumn id="32" xr3:uid="{6FB40A90-9ABC-458B-9C20-C8B85EC6ECF2}" name="Emergency, Routine, or PMI" dataDxfId="87"/>
    <tableColumn id="2" xr3:uid="{47EDF7F7-A46E-4B0B-BA3E-F04D94EB22CA}" name="Caller's Name  _x000a_(State PMI for PMI SERVICE)" dataDxfId="86"/>
    <tableColumn id="3" xr3:uid="{E42573EA-2E57-4696-B833-79BACEA7811C}" name="Civil Tel No" dataDxfId="85"/>
    <tableColumn id="4" xr3:uid="{A17294A0-7F74-445C-8A3A-2F53673E4A12}" name="Date Called_x000a_M/D/Y" dataDxfId="84"/>
    <tableColumn id="5" xr3:uid="{A804ED0A-F798-4710-98A4-89A99618D3DC}" name="Time Called" dataDxfId="83"/>
    <tableColumn id="6" xr3:uid="{4AF36825-C122-4358-B844-C26BC552DD17}" name="Location" dataDxfId="82"/>
    <tableColumn id="7" xr3:uid="{26130D03-BC76-4612-BD81-170943E459DB}" name="Building" dataDxfId="81"/>
    <tableColumn id="8" xr3:uid="{871924DE-4C25-4534-A859-B999045F6890}" name="Room" dataDxfId="80"/>
    <tableColumn id="9" xr3:uid="{D708F395-C738-4BB4-A347-BD36DC27D35A}" name="Brief Description of Problem" dataDxfId="79"/>
    <tableColumn id="11" xr3:uid="{11640317-BBBB-4A88-84E9-1962D266A48F}" name="Technician Assigned" dataDxfId="78"/>
    <tableColumn id="12" xr3:uid="{69FE7BA2-0581-46A6-8DF5-5FAC82FE1B2E}" name="SO #" dataDxfId="77"/>
    <tableColumn id="13" xr3:uid="{99517D35-6065-42B4-9DB3-4743981875E1}" name="Date and Time SO Submitted" dataDxfId="76"/>
    <tableColumn id="14" xr3:uid="{99AD6100-AD01-4920-86F3-0D2A1595B6F0}" name="Date and Time SO Authorized" dataDxfId="75"/>
    <tableColumn id="15" xr3:uid="{2026160F-0924-44E3-A9AD-A21F57DFBC60}" name="Phone Solved or Not" dataDxfId="74"/>
    <tableColumn id="16" xr3:uid="{3B3CB79A-BD87-4149-9631-90B579CA9192}" name="Date at Site" dataDxfId="73"/>
    <tableColumn id="17" xr3:uid="{80D4C7CB-025D-4CC3-96FE-D83E23C5E5F3}" name="Time at Site" dataDxfId="72"/>
    <tableColumn id="18" xr3:uid="{2149EB35-076B-4191-82C4-D265B33A2765}" name="Technicians Assessment of Problem" dataDxfId="71"/>
    <tableColumn id="19" xr3:uid="{791C9750-BE7D-46E3-934D-F1B6888F5901}" name="Corrective Action Taken" dataDxfId="70"/>
    <tableColumn id="20" xr3:uid="{37DF178C-1755-40D2-B463-904CA0FEAF9C}" name="Parts Reqd/Used " dataDxfId="69"/>
    <tableColumn id="21" xr3:uid="{96A4A250-D9E6-46C1-A75D-E372EAA7A2C3}" name="Broken Part Model #" dataDxfId="68"/>
    <tableColumn id="22" xr3:uid="{9952968F-A73D-4822-BDC2-062541206707}" name="Broken Part Serial #" dataDxfId="67"/>
    <tableColumn id="23" xr3:uid="{20FD059E-E4B4-4B2A-AFE4-B54868B40730}" name="Replacement Part Model #" dataDxfId="66"/>
    <tableColumn id="24" xr3:uid="{4E0363D8-8980-4BA9-BE89-24AAB530A447}" name="Replacement Part Serial #" dataDxfId="65"/>
    <tableColumn id="25" xr3:uid="{E9731465-A15B-46E9-AEA7-FA4974E1255D}" name="Replacement Part Cost" dataDxfId="64"/>
    <tableColumn id="26" xr3:uid="{39172EDA-2D78-4496-81FE-5C711B21800D}" name="Total SO Cost" dataDxfId="63"/>
    <tableColumn id="34" xr3:uid="{291C3644-9067-4325-832D-308658C8CDB1}" name="Status_x000a_(Select from drop down)" dataDxfId="62"/>
    <tableColumn id="28" xr3:uid="{A90BBAEB-2A94-4F35-8947-CBFA10A26074}" name="Service Order Resolved (Date)" dataDxfId="61"/>
    <tableColumn id="29" xr3:uid="{91090800-ADBF-416E-959F-B79C6DF52034}" name="Time Tech Off Site" dataDxfId="60"/>
    <tableColumn id="30" xr3:uid="{C8494CEE-D694-4A9E-AC76-11B22FDFDC3F}" name="Remaining Funds Calculation" dataDxfId="59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99A177-2C09-4CAA-94CF-F9D0B3FA19D5}" name="Table135678" displayName="Table135678" ref="A6:AD61" totalsRowShown="0" headerRowDxfId="58" dataDxfId="56" headerRowBorderDxfId="57" tableBorderDxfId="55" totalsRowBorderDxfId="54">
  <autoFilter ref="A6:AD61" xr:uid="{ED05BBD4-85C3-4F12-AE96-7DFA44E08277}"/>
  <tableColumns count="30">
    <tableColumn id="1" xr3:uid="{E2AC0D5D-2D75-4AA4-974F-6A011C960512}" name="Service Ticket #" dataDxfId="53"/>
    <tableColumn id="32" xr3:uid="{B422E9D7-7F73-42FD-8E66-32D0FDDC61CE}" name="Emergency, Routine, or PMI" dataDxfId="52"/>
    <tableColumn id="2" xr3:uid="{0E42A014-00A9-4273-B5BB-C32709C6643E}" name="Caller's Name  _x000a_(State PMI for PMI SERVICE)" dataDxfId="51"/>
    <tableColumn id="3" xr3:uid="{8595D125-78DF-4AA4-8EEB-302F3198CE0C}" name="Civil Tel No" dataDxfId="50"/>
    <tableColumn id="4" xr3:uid="{C85A918D-ED4B-43D8-B465-3F4043AC3880}" name="Date Called_x000a_M/D/Y" dataDxfId="49"/>
    <tableColumn id="5" xr3:uid="{73D3B84B-6582-438C-B10E-075ED1088360}" name="Time Called" dataDxfId="48"/>
    <tableColumn id="6" xr3:uid="{40958721-C230-49BF-9DD7-B6E6D962C5C3}" name="Location" dataDxfId="47"/>
    <tableColumn id="7" xr3:uid="{A4E188FC-3669-4DB7-AD5A-01955440EDF1}" name="Building" dataDxfId="46"/>
    <tableColumn id="8" xr3:uid="{CB2D3137-EC08-46B7-B970-B0004365E7FE}" name="Room" dataDxfId="45"/>
    <tableColumn id="9" xr3:uid="{61549CA5-EC28-4D13-88F2-887C89D20C1C}" name="Brief Description of Problem" dataDxfId="44"/>
    <tableColumn id="11" xr3:uid="{90507E63-D09B-4503-AFAC-A5E5FF73B45E}" name="Technician Assigned" dataDxfId="43"/>
    <tableColumn id="12" xr3:uid="{D7A096CA-6281-4F21-B476-3C223631A046}" name="SO #" dataDxfId="42"/>
    <tableColumn id="13" xr3:uid="{F43306B6-4A5C-4B68-87FD-E2E246F90399}" name="Date and Time SO Submitted" dataDxfId="41"/>
    <tableColumn id="14" xr3:uid="{E655878C-8CFB-4F7E-9FA7-53AAD342BE1E}" name="Date and Time SO Authorized" dataDxfId="40"/>
    <tableColumn id="15" xr3:uid="{5A3389B4-C660-4C96-9A7F-FD3F49A60EAF}" name="Phone Solved or Not" dataDxfId="39"/>
    <tableColumn id="16" xr3:uid="{DF51BD39-69FC-4CC5-A022-3D50A956552F}" name="Date at Site" dataDxfId="38"/>
    <tableColumn id="17" xr3:uid="{F2BD2D40-F726-4F43-AF74-F2EBA4D02054}" name="Time at Site" dataDxfId="37"/>
    <tableColumn id="18" xr3:uid="{BB9AF6DC-4C2C-414B-98CA-30C107680046}" name="Technicians Assessment of Problem" dataDxfId="36"/>
    <tableColumn id="19" xr3:uid="{22217ED5-735A-4EC8-AA4A-C132AB26B7B0}" name="Corrective Action Taken" dataDxfId="35"/>
    <tableColumn id="20" xr3:uid="{AE281825-E8FD-45AC-BFD3-0A181E34D0AB}" name="Parts Reqd/Used " dataDxfId="34"/>
    <tableColumn id="21" xr3:uid="{4C7B9B0A-877B-4D48-B160-B2362023030D}" name="Broken Part Model #" dataDxfId="33"/>
    <tableColumn id="22" xr3:uid="{F76F0D27-EB2D-44C8-82DD-534E9AF0BEAB}" name="Broken Part Serial #" dataDxfId="32"/>
    <tableColumn id="23" xr3:uid="{B21BA071-3AA5-4304-AF7E-7EFD70678338}" name="Replacement Part Model #" dataDxfId="31"/>
    <tableColumn id="24" xr3:uid="{D43D0F29-4A34-42AE-BA5F-B15A8D03E7CB}" name="Replacement Part Serial #" dataDxfId="30"/>
    <tableColumn id="25" xr3:uid="{93348CCA-CF0A-4687-A3DC-0A89AD72F442}" name="Replacement Part Cost" dataDxfId="29"/>
    <tableColumn id="26" xr3:uid="{B2976FAE-7130-4B68-9195-66FF7BF0E0D5}" name="Total SO Cost" dataDxfId="28"/>
    <tableColumn id="34" xr3:uid="{3D7EB76D-BB75-4A6C-9064-227CC00CB0D4}" name="Status_x000a_(Select from drop down)" dataDxfId="27"/>
    <tableColumn id="28" xr3:uid="{FC4ADF68-2040-46AD-A438-D97AE68A3CB2}" name="Service Order Resolved (Date)" dataDxfId="26"/>
    <tableColumn id="29" xr3:uid="{6E4D800C-078C-43C7-98A3-E2560E561AC0}" name="Time Tech Off Site" dataDxfId="25"/>
    <tableColumn id="30" xr3:uid="{0245E338-9CF8-4B71-A706-F7C7C9E22C93}" name="Remaining Funds Calculation" dataDxfId="2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D1172-670D-4BB2-9D76-2784E5F0AFEE}">
  <sheetPr>
    <pageSetUpPr fitToPage="1"/>
  </sheetPr>
  <dimension ref="A1:AG61"/>
  <sheetViews>
    <sheetView zoomScale="70" zoomScaleNormal="7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3" sqref="C3"/>
    </sheetView>
  </sheetViews>
  <sheetFormatPr defaultRowHeight="12.75" x14ac:dyDescent="0.2"/>
  <cols>
    <col min="1" max="1" width="17" style="7" customWidth="1"/>
    <col min="2" max="2" width="20.7109375" style="7" customWidth="1"/>
    <col min="3" max="3" width="15.5703125" style="7" customWidth="1"/>
    <col min="4" max="4" width="13.140625" style="22" customWidth="1"/>
    <col min="5" max="5" width="14" style="7" customWidth="1"/>
    <col min="6" max="7" width="33.28515625" style="7" bestFit="1" customWidth="1"/>
    <col min="8" max="8" width="12.28515625" style="7" customWidth="1"/>
    <col min="9" max="9" width="62" style="7" bestFit="1" customWidth="1"/>
    <col min="10" max="10" width="27.7109375" style="7" customWidth="1"/>
    <col min="11" max="11" width="26.28515625" style="7" customWidth="1"/>
    <col min="12" max="12" width="9.140625" style="7"/>
    <col min="13" max="13" width="28.7109375" style="23" customWidth="1"/>
    <col min="14" max="14" width="29.5703125" style="7" customWidth="1"/>
    <col min="15" max="15" width="20.85546875" style="7" customWidth="1"/>
    <col min="16" max="16" width="15.140625" style="7" customWidth="1"/>
    <col min="17" max="17" width="13.7109375" style="7" customWidth="1"/>
    <col min="18" max="18" width="34.42578125" style="7" customWidth="1"/>
    <col min="19" max="19" width="24.5703125" style="7" customWidth="1"/>
    <col min="20" max="20" width="17.85546875" style="7" customWidth="1"/>
    <col min="21" max="21" width="23.7109375" style="7" customWidth="1"/>
    <col min="22" max="22" width="27.5703125" style="7" customWidth="1"/>
    <col min="23" max="23" width="24.85546875" style="7" customWidth="1"/>
    <col min="24" max="24" width="24" style="7" customWidth="1"/>
    <col min="25" max="25" width="22.85546875" style="7" customWidth="1"/>
    <col min="26" max="26" width="15.42578125" style="24" customWidth="1"/>
    <col min="27" max="27" width="26.42578125" style="7" customWidth="1"/>
    <col min="28" max="28" width="29.5703125" style="23" customWidth="1"/>
    <col min="29" max="29" width="19.7109375" style="7" customWidth="1"/>
    <col min="30" max="30" width="18.7109375" style="7" customWidth="1"/>
    <col min="31" max="31" width="9.140625" style="7"/>
    <col min="32" max="32" width="14" style="7" customWidth="1"/>
    <col min="33" max="33" width="12.42578125" style="7" bestFit="1" customWidth="1"/>
    <col min="34" max="16384" width="9.140625" style="7"/>
  </cols>
  <sheetData>
    <row r="1" spans="1:33" ht="28.5" customHeight="1" x14ac:dyDescent="0.2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1"/>
      <c r="AF1" s="1"/>
      <c r="AG1" s="1"/>
    </row>
    <row r="2" spans="1:33" ht="13.5" thickBo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1"/>
      <c r="AF2" s="1"/>
      <c r="AG2" s="1"/>
    </row>
    <row r="3" spans="1:33" ht="20.25" customHeight="1" x14ac:dyDescent="0.2">
      <c r="A3" s="56"/>
      <c r="B3" s="56" t="s">
        <v>1</v>
      </c>
      <c r="C3" s="61">
        <v>2022</v>
      </c>
      <c r="D3" s="63" t="s">
        <v>2</v>
      </c>
      <c r="E3" s="63"/>
      <c r="F3" s="63"/>
      <c r="G3" s="62" t="s">
        <v>3</v>
      </c>
      <c r="H3" s="13"/>
      <c r="I3" s="13"/>
      <c r="J3" s="13"/>
      <c r="K3" s="8"/>
      <c r="L3" s="9"/>
      <c r="M3" s="10"/>
      <c r="N3" s="11"/>
      <c r="O3" s="1"/>
      <c r="P3" s="12"/>
      <c r="Q3" s="5"/>
      <c r="R3" s="1"/>
      <c r="S3" s="1"/>
      <c r="T3" s="1"/>
      <c r="U3" s="1"/>
      <c r="V3" s="1"/>
      <c r="W3" s="1"/>
      <c r="X3" s="1"/>
      <c r="Y3" s="2"/>
      <c r="Z3" s="3"/>
      <c r="AA3" s="1"/>
      <c r="AB3" s="4"/>
      <c r="AC3" s="5"/>
      <c r="AD3" s="6"/>
      <c r="AE3" s="1"/>
      <c r="AF3" s="72" t="s">
        <v>4</v>
      </c>
      <c r="AG3" s="73"/>
    </row>
    <row r="4" spans="1:33" ht="15" customHeight="1" x14ac:dyDescent="0.2">
      <c r="A4" s="1"/>
      <c r="B4" s="14"/>
      <c r="C4" s="15"/>
      <c r="D4" s="16"/>
      <c r="E4" s="5"/>
      <c r="F4" s="1"/>
      <c r="G4" s="1"/>
      <c r="H4" s="1"/>
      <c r="I4" s="1"/>
      <c r="J4" s="1"/>
      <c r="K4" s="1"/>
      <c r="L4" s="17"/>
      <c r="M4" s="18"/>
      <c r="N4" s="11"/>
      <c r="O4" s="1"/>
      <c r="P4" s="12"/>
      <c r="Q4" s="5"/>
      <c r="R4" s="1"/>
      <c r="S4" s="1"/>
      <c r="T4" s="1"/>
      <c r="U4" s="1"/>
      <c r="V4" s="1"/>
      <c r="W4" s="1"/>
      <c r="X4" s="1"/>
      <c r="Y4" s="2"/>
      <c r="Z4" s="3"/>
      <c r="AA4" s="1"/>
      <c r="AB4" s="4"/>
      <c r="AC4" s="5"/>
      <c r="AD4" s="68">
        <f>SMALL(Table1[Remaining Funds Calculation],COUNTIF(Table1[Remaining Funds Calculation],0)+1)</f>
        <v>45000</v>
      </c>
      <c r="AE4" s="1"/>
      <c r="AF4" s="74"/>
      <c r="AG4" s="75"/>
    </row>
    <row r="5" spans="1:33" ht="15" customHeight="1" thickBot="1" x14ac:dyDescent="0.25">
      <c r="A5" s="26" t="s">
        <v>5</v>
      </c>
      <c r="B5" s="37"/>
      <c r="C5" s="38"/>
      <c r="D5" s="38"/>
      <c r="F5" s="19"/>
      <c r="G5" s="19"/>
      <c r="H5" s="19"/>
      <c r="I5" s="19"/>
      <c r="J5" s="19"/>
      <c r="K5" s="25" t="s">
        <v>6</v>
      </c>
      <c r="L5" s="17"/>
      <c r="M5" s="18"/>
      <c r="N5" s="11"/>
      <c r="O5" s="1"/>
      <c r="P5" s="12"/>
      <c r="Q5" s="5"/>
      <c r="R5" s="1"/>
      <c r="S5" s="1"/>
      <c r="T5" s="1"/>
      <c r="U5" s="65" t="s">
        <v>7</v>
      </c>
      <c r="V5" s="66"/>
      <c r="W5" s="66"/>
      <c r="X5" s="66"/>
      <c r="Y5" s="67"/>
      <c r="Z5" s="3"/>
      <c r="AA5" s="1"/>
      <c r="AB5" s="4"/>
      <c r="AC5" s="5"/>
      <c r="AD5" s="69"/>
      <c r="AE5" s="1"/>
      <c r="AF5" s="70">
        <f>AG6-SUMIF(AA7:AA61,"&lt;&gt;Cancelled", Z7:Z61)</f>
        <v>-35000</v>
      </c>
      <c r="AG5" s="71"/>
    </row>
    <row r="6" spans="1:33" s="45" customFormat="1" ht="38.25" x14ac:dyDescent="0.25">
      <c r="A6" s="27" t="s">
        <v>8</v>
      </c>
      <c r="B6" s="27" t="s">
        <v>9</v>
      </c>
      <c r="C6" s="39" t="s">
        <v>10</v>
      </c>
      <c r="D6" s="40" t="s">
        <v>11</v>
      </c>
      <c r="E6" s="46" t="s">
        <v>12</v>
      </c>
      <c r="F6" s="41" t="s">
        <v>13</v>
      </c>
      <c r="G6" s="28" t="s">
        <v>14</v>
      </c>
      <c r="H6" s="28" t="s">
        <v>15</v>
      </c>
      <c r="I6" s="28" t="s">
        <v>16</v>
      </c>
      <c r="J6" s="28" t="s">
        <v>17</v>
      </c>
      <c r="K6" s="29" t="s">
        <v>18</v>
      </c>
      <c r="L6" s="30" t="s">
        <v>19</v>
      </c>
      <c r="M6" s="31" t="s">
        <v>20</v>
      </c>
      <c r="N6" s="31" t="s">
        <v>21</v>
      </c>
      <c r="O6" s="29" t="s">
        <v>22</v>
      </c>
      <c r="P6" s="32" t="s">
        <v>23</v>
      </c>
      <c r="Q6" s="33" t="s">
        <v>24</v>
      </c>
      <c r="R6" s="29" t="s">
        <v>25</v>
      </c>
      <c r="S6" s="29" t="s">
        <v>26</v>
      </c>
      <c r="T6" s="29" t="s">
        <v>27</v>
      </c>
      <c r="U6" s="29" t="s">
        <v>28</v>
      </c>
      <c r="V6" s="29" t="s">
        <v>29</v>
      </c>
      <c r="W6" s="29" t="s">
        <v>30</v>
      </c>
      <c r="X6" s="29" t="s">
        <v>31</v>
      </c>
      <c r="Y6" s="34" t="s">
        <v>32</v>
      </c>
      <c r="Z6" s="35" t="s">
        <v>33</v>
      </c>
      <c r="AA6" s="29" t="s">
        <v>34</v>
      </c>
      <c r="AB6" s="32" t="s">
        <v>35</v>
      </c>
      <c r="AC6" s="33" t="s">
        <v>36</v>
      </c>
      <c r="AD6" s="36" t="s">
        <v>37</v>
      </c>
      <c r="AE6" s="42"/>
      <c r="AF6" s="43" t="s">
        <v>38</v>
      </c>
      <c r="AG6" s="44">
        <f>SUM(AG7:AG13)</f>
        <v>60000</v>
      </c>
    </row>
    <row r="7" spans="1:33" x14ac:dyDescent="0.2">
      <c r="A7" s="48" t="s">
        <v>39</v>
      </c>
      <c r="B7" s="48" t="s">
        <v>40</v>
      </c>
      <c r="C7" s="49" t="s">
        <v>41</v>
      </c>
      <c r="D7" s="50" t="s">
        <v>42</v>
      </c>
      <c r="E7" s="51">
        <v>44270</v>
      </c>
      <c r="F7" s="52">
        <v>0.375</v>
      </c>
      <c r="G7" s="47" t="s">
        <v>43</v>
      </c>
      <c r="H7" s="47" t="s">
        <v>44</v>
      </c>
      <c r="I7" s="50" t="s">
        <v>45</v>
      </c>
      <c r="J7" s="53" t="s">
        <v>46</v>
      </c>
      <c r="K7" s="50" t="s">
        <v>47</v>
      </c>
      <c r="L7" s="47" t="s">
        <v>48</v>
      </c>
      <c r="M7" s="51">
        <v>44271</v>
      </c>
      <c r="N7" s="51">
        <v>44272</v>
      </c>
      <c r="O7" s="50" t="s">
        <v>49</v>
      </c>
      <c r="P7" s="50" t="s">
        <v>50</v>
      </c>
      <c r="Q7" s="52">
        <v>0.33333333333333331</v>
      </c>
      <c r="R7" s="50"/>
      <c r="S7" s="50"/>
      <c r="T7" s="50"/>
      <c r="U7" s="50"/>
      <c r="V7" s="50"/>
      <c r="W7" s="50"/>
      <c r="X7" s="50"/>
      <c r="Y7" s="50"/>
      <c r="Z7" s="54">
        <v>10000</v>
      </c>
      <c r="AA7" s="50" t="s">
        <v>51</v>
      </c>
      <c r="AB7" s="51">
        <v>44285</v>
      </c>
      <c r="AC7" s="52">
        <v>0.58333333333333337</v>
      </c>
      <c r="AD7" s="55">
        <f>IF(OR(AA7="Not Approved",AA7="Cancelled"), AG6, AG6-Z7)</f>
        <v>50000</v>
      </c>
      <c r="AF7" s="59" t="s">
        <v>52</v>
      </c>
      <c r="AG7" s="60">
        <v>10000</v>
      </c>
    </row>
    <row r="8" spans="1:33" x14ac:dyDescent="0.2">
      <c r="A8" s="48" t="s">
        <v>53</v>
      </c>
      <c r="B8" s="48" t="s">
        <v>54</v>
      </c>
      <c r="C8" s="49" t="s">
        <v>41</v>
      </c>
      <c r="D8" s="50" t="s">
        <v>42</v>
      </c>
      <c r="E8" s="51">
        <v>44270</v>
      </c>
      <c r="F8" s="52">
        <v>0.375</v>
      </c>
      <c r="G8" s="47" t="s">
        <v>43</v>
      </c>
      <c r="H8" s="47" t="s">
        <v>55</v>
      </c>
      <c r="I8" s="50" t="s">
        <v>45</v>
      </c>
      <c r="J8" s="53" t="s">
        <v>56</v>
      </c>
      <c r="K8" s="50"/>
      <c r="L8" s="47"/>
      <c r="M8" s="51"/>
      <c r="N8" s="51"/>
      <c r="O8" s="50"/>
      <c r="P8" s="50"/>
      <c r="Q8" s="52"/>
      <c r="R8" s="50"/>
      <c r="S8" s="50"/>
      <c r="T8" s="50"/>
      <c r="U8" s="50"/>
      <c r="V8" s="50"/>
      <c r="W8" s="50"/>
      <c r="X8" s="50"/>
      <c r="Y8" s="50"/>
      <c r="Z8" s="54">
        <v>30000</v>
      </c>
      <c r="AA8" s="50" t="s">
        <v>57</v>
      </c>
      <c r="AB8" s="51"/>
      <c r="AC8" s="52"/>
      <c r="AD8" s="55">
        <f>IF(ISBLANK(Z8), ,(IF(OR(AA8="Not Approved",AA8="Cancelled"), AD7, AD7-Z8)))</f>
        <v>50000</v>
      </c>
      <c r="AF8" s="59" t="s">
        <v>58</v>
      </c>
      <c r="AG8" s="60">
        <v>50000</v>
      </c>
    </row>
    <row r="9" spans="1:33" x14ac:dyDescent="0.2">
      <c r="A9" s="48" t="s">
        <v>59</v>
      </c>
      <c r="B9" s="48" t="s">
        <v>40</v>
      </c>
      <c r="C9" s="49" t="s">
        <v>41</v>
      </c>
      <c r="D9" s="50" t="s">
        <v>42</v>
      </c>
      <c r="E9" s="51">
        <v>44270</v>
      </c>
      <c r="F9" s="52">
        <v>0.375</v>
      </c>
      <c r="G9" s="47" t="s">
        <v>43</v>
      </c>
      <c r="H9" s="47" t="s">
        <v>60</v>
      </c>
      <c r="I9" s="50" t="s">
        <v>45</v>
      </c>
      <c r="J9" s="53" t="s">
        <v>61</v>
      </c>
      <c r="K9" s="50"/>
      <c r="L9" s="47"/>
      <c r="M9" s="51"/>
      <c r="N9" s="51"/>
      <c r="O9" s="50"/>
      <c r="P9" s="50"/>
      <c r="Q9" s="52"/>
      <c r="R9" s="50"/>
      <c r="S9" s="50"/>
      <c r="T9" s="50"/>
      <c r="U9" s="50"/>
      <c r="V9" s="50"/>
      <c r="W9" s="50"/>
      <c r="X9" s="50"/>
      <c r="Y9" s="50"/>
      <c r="Z9" s="54">
        <v>5000</v>
      </c>
      <c r="AA9" s="50" t="s">
        <v>62</v>
      </c>
      <c r="AB9" s="51"/>
      <c r="AC9" s="52"/>
      <c r="AD9" s="55">
        <f t="shared" ref="AD9:AD61" si="0">IF(ISBLANK(Z9), ,(IF(OR(AA9="Not Approved",AA9="Cancelled"), AD8, AD8-Z9)))</f>
        <v>45000</v>
      </c>
      <c r="AF9" s="21"/>
      <c r="AG9" s="20"/>
    </row>
    <row r="10" spans="1:33" x14ac:dyDescent="0.2">
      <c r="A10" s="48" t="s">
        <v>63</v>
      </c>
      <c r="B10" s="48" t="s">
        <v>40</v>
      </c>
      <c r="C10" s="49" t="s">
        <v>41</v>
      </c>
      <c r="D10" s="50" t="s">
        <v>42</v>
      </c>
      <c r="E10" s="51">
        <v>44270</v>
      </c>
      <c r="F10" s="52">
        <v>0.375</v>
      </c>
      <c r="G10" s="47" t="s">
        <v>43</v>
      </c>
      <c r="H10" s="47" t="s">
        <v>64</v>
      </c>
      <c r="I10" s="50" t="s">
        <v>45</v>
      </c>
      <c r="J10" s="53" t="s">
        <v>65</v>
      </c>
      <c r="K10" s="50"/>
      <c r="L10" s="47"/>
      <c r="M10" s="51"/>
      <c r="N10" s="51"/>
      <c r="O10" s="50"/>
      <c r="P10" s="50"/>
      <c r="Q10" s="52"/>
      <c r="R10" s="50"/>
      <c r="S10" s="50"/>
      <c r="T10" s="50"/>
      <c r="U10" s="50"/>
      <c r="V10" s="50"/>
      <c r="W10" s="50"/>
      <c r="X10" s="50"/>
      <c r="Y10" s="50"/>
      <c r="Z10" s="54">
        <v>15000</v>
      </c>
      <c r="AA10" s="50" t="s">
        <v>66</v>
      </c>
      <c r="AB10" s="51"/>
      <c r="AC10" s="52"/>
      <c r="AD10" s="55">
        <f t="shared" si="0"/>
        <v>45000</v>
      </c>
      <c r="AF10" s="21"/>
      <c r="AG10" s="20"/>
    </row>
    <row r="11" spans="1:33" x14ac:dyDescent="0.2">
      <c r="A11" s="48" t="s">
        <v>67</v>
      </c>
      <c r="B11" s="48" t="s">
        <v>68</v>
      </c>
      <c r="C11" s="49" t="str">
        <f>Table1[[#This Row],[Emergency, Routine, or PMI]]</f>
        <v>PMI</v>
      </c>
      <c r="D11" s="50" t="str">
        <f>Table1[[#This Row],[Emergency, Routine, or PMI]]</f>
        <v>PMI</v>
      </c>
      <c r="E11" s="51" t="str">
        <f>Table1[[#This Row],[Emergency, Routine, or PMI]]</f>
        <v>PMI</v>
      </c>
      <c r="F11" s="52" t="str">
        <f>Table1[[#This Row],[Emergency, Routine, or PMI]]</f>
        <v>PMI</v>
      </c>
      <c r="G11" s="47" t="s">
        <v>43</v>
      </c>
      <c r="H11" s="47" t="s">
        <v>69</v>
      </c>
      <c r="I11" s="50" t="s">
        <v>45</v>
      </c>
      <c r="J11" s="53" t="s">
        <v>68</v>
      </c>
      <c r="K11" s="50"/>
      <c r="L11" s="47" t="s">
        <v>68</v>
      </c>
      <c r="M11" s="51"/>
      <c r="N11" s="51"/>
      <c r="O11" s="50"/>
      <c r="P11" s="50"/>
      <c r="Q11" s="52"/>
      <c r="R11" s="50"/>
      <c r="S11" s="50"/>
      <c r="T11" s="50"/>
      <c r="U11" s="50"/>
      <c r="V11" s="50"/>
      <c r="W11" s="50"/>
      <c r="X11" s="50"/>
      <c r="Y11" s="50"/>
      <c r="Z11" s="54">
        <v>0</v>
      </c>
      <c r="AA11" s="50" t="s">
        <v>51</v>
      </c>
      <c r="AB11" s="51"/>
      <c r="AC11" s="52"/>
      <c r="AD11" s="55">
        <f t="shared" si="0"/>
        <v>45000</v>
      </c>
      <c r="AF11" s="21"/>
      <c r="AG11" s="20"/>
    </row>
    <row r="12" spans="1:33" ht="25.5" x14ac:dyDescent="0.2">
      <c r="A12" s="48" t="s">
        <v>70</v>
      </c>
      <c r="B12" s="48" t="s">
        <v>71</v>
      </c>
      <c r="C12" s="49"/>
      <c r="D12" s="50"/>
      <c r="E12" s="51"/>
      <c r="F12" s="52"/>
      <c r="G12" s="47"/>
      <c r="H12" s="47"/>
      <c r="I12" s="50"/>
      <c r="J12" s="53" t="s">
        <v>72</v>
      </c>
      <c r="K12" s="50"/>
      <c r="L12" s="47"/>
      <c r="M12" s="51"/>
      <c r="N12" s="51"/>
      <c r="O12" s="50"/>
      <c r="P12" s="50"/>
      <c r="Q12" s="52"/>
      <c r="R12" s="50"/>
      <c r="S12" s="50"/>
      <c r="T12" s="50"/>
      <c r="U12" s="50"/>
      <c r="V12" s="50"/>
      <c r="W12" s="50"/>
      <c r="X12" s="50"/>
      <c r="Y12" s="50"/>
      <c r="Z12" s="54">
        <v>50000</v>
      </c>
      <c r="AA12" s="50" t="s">
        <v>57</v>
      </c>
      <c r="AB12" s="51"/>
      <c r="AC12" s="52"/>
      <c r="AD12" s="55">
        <f t="shared" si="0"/>
        <v>45000</v>
      </c>
      <c r="AF12" s="21"/>
      <c r="AG12" s="20"/>
    </row>
    <row r="13" spans="1:33" x14ac:dyDescent="0.2">
      <c r="A13" s="48"/>
      <c r="B13" s="48"/>
      <c r="C13" s="49"/>
      <c r="D13" s="50"/>
      <c r="E13" s="51"/>
      <c r="F13" s="52"/>
      <c r="G13" s="47"/>
      <c r="H13" s="47"/>
      <c r="I13" s="50"/>
      <c r="J13" s="53"/>
      <c r="K13" s="50"/>
      <c r="L13" s="47"/>
      <c r="M13" s="51"/>
      <c r="N13" s="51"/>
      <c r="O13" s="50"/>
      <c r="P13" s="50"/>
      <c r="Q13" s="52"/>
      <c r="R13" s="50"/>
      <c r="S13" s="50"/>
      <c r="T13" s="50"/>
      <c r="U13" s="50"/>
      <c r="V13" s="50"/>
      <c r="W13" s="50"/>
      <c r="X13" s="50"/>
      <c r="Y13" s="50"/>
      <c r="Z13" s="54"/>
      <c r="AA13" s="50"/>
      <c r="AB13" s="51"/>
      <c r="AC13" s="52"/>
      <c r="AD13" s="55">
        <f t="shared" si="0"/>
        <v>0</v>
      </c>
      <c r="AF13" s="21"/>
      <c r="AG13" s="20"/>
    </row>
    <row r="14" spans="1:33" x14ac:dyDescent="0.2">
      <c r="A14" s="48"/>
      <c r="B14" s="48"/>
      <c r="C14" s="49"/>
      <c r="D14" s="50"/>
      <c r="E14" s="51"/>
      <c r="F14" s="52"/>
      <c r="G14" s="47"/>
      <c r="H14" s="47"/>
      <c r="I14" s="50"/>
      <c r="J14" s="53"/>
      <c r="K14" s="50"/>
      <c r="L14" s="47"/>
      <c r="M14" s="51"/>
      <c r="N14" s="51"/>
      <c r="O14" s="50"/>
      <c r="P14" s="50"/>
      <c r="Q14" s="52"/>
      <c r="R14" s="50"/>
      <c r="S14" s="50"/>
      <c r="T14" s="50"/>
      <c r="U14" s="50"/>
      <c r="V14" s="50"/>
      <c r="W14" s="50"/>
      <c r="X14" s="50"/>
      <c r="Y14" s="50"/>
      <c r="Z14" s="54"/>
      <c r="AA14" s="50"/>
      <c r="AB14" s="51"/>
      <c r="AC14" s="52"/>
      <c r="AD14" s="55">
        <f t="shared" si="0"/>
        <v>0</v>
      </c>
    </row>
    <row r="15" spans="1:33" x14ac:dyDescent="0.2">
      <c r="A15" s="48"/>
      <c r="B15" s="48"/>
      <c r="C15" s="49"/>
      <c r="D15" s="50"/>
      <c r="E15" s="51"/>
      <c r="F15" s="52"/>
      <c r="G15" s="47"/>
      <c r="H15" s="47"/>
      <c r="I15" s="50"/>
      <c r="J15" s="53"/>
      <c r="K15" s="50"/>
      <c r="L15" s="47"/>
      <c r="M15" s="51"/>
      <c r="N15" s="51"/>
      <c r="O15" s="50"/>
      <c r="P15" s="50"/>
      <c r="Q15" s="52"/>
      <c r="R15" s="50"/>
      <c r="S15" s="50"/>
      <c r="T15" s="50"/>
      <c r="U15" s="50"/>
      <c r="V15" s="50"/>
      <c r="W15" s="50"/>
      <c r="X15" s="50"/>
      <c r="Y15" s="50"/>
      <c r="Z15" s="54"/>
      <c r="AA15" s="50"/>
      <c r="AB15" s="51"/>
      <c r="AC15" s="52"/>
      <c r="AD15" s="55">
        <f t="shared" si="0"/>
        <v>0</v>
      </c>
    </row>
    <row r="16" spans="1:33" x14ac:dyDescent="0.2">
      <c r="A16" s="48"/>
      <c r="B16" s="48"/>
      <c r="C16" s="49"/>
      <c r="D16" s="50"/>
      <c r="E16" s="51"/>
      <c r="F16" s="52"/>
      <c r="G16" s="47"/>
      <c r="H16" s="47"/>
      <c r="I16" s="50"/>
      <c r="J16" s="53"/>
      <c r="K16" s="50"/>
      <c r="L16" s="47"/>
      <c r="M16" s="51"/>
      <c r="N16" s="51"/>
      <c r="O16" s="50"/>
      <c r="P16" s="50"/>
      <c r="Q16" s="52"/>
      <c r="R16" s="50"/>
      <c r="S16" s="50"/>
      <c r="T16" s="50"/>
      <c r="U16" s="50"/>
      <c r="V16" s="50"/>
      <c r="W16" s="50"/>
      <c r="X16" s="50"/>
      <c r="Y16" s="50"/>
      <c r="Z16" s="54"/>
      <c r="AA16" s="50"/>
      <c r="AB16" s="51"/>
      <c r="AC16" s="52"/>
      <c r="AD16" s="55">
        <f t="shared" si="0"/>
        <v>0</v>
      </c>
    </row>
    <row r="17" spans="1:30" x14ac:dyDescent="0.2">
      <c r="A17" s="48"/>
      <c r="B17" s="48"/>
      <c r="C17" s="49"/>
      <c r="D17" s="50"/>
      <c r="E17" s="51"/>
      <c r="F17" s="52"/>
      <c r="G17" s="47"/>
      <c r="H17" s="47"/>
      <c r="I17" s="50"/>
      <c r="J17" s="53"/>
      <c r="K17" s="50"/>
      <c r="L17" s="47"/>
      <c r="M17" s="51"/>
      <c r="N17" s="51"/>
      <c r="O17" s="50"/>
      <c r="P17" s="50"/>
      <c r="Q17" s="52"/>
      <c r="R17" s="50"/>
      <c r="S17" s="50"/>
      <c r="T17" s="50"/>
      <c r="U17" s="50"/>
      <c r="V17" s="50"/>
      <c r="W17" s="50"/>
      <c r="X17" s="50"/>
      <c r="Y17" s="50"/>
      <c r="Z17" s="54"/>
      <c r="AA17" s="50"/>
      <c r="AB17" s="51"/>
      <c r="AC17" s="52"/>
      <c r="AD17" s="55">
        <f t="shared" si="0"/>
        <v>0</v>
      </c>
    </row>
    <row r="18" spans="1:30" x14ac:dyDescent="0.2">
      <c r="A18" s="48"/>
      <c r="B18" s="48"/>
      <c r="C18" s="49"/>
      <c r="D18" s="50"/>
      <c r="E18" s="51"/>
      <c r="F18" s="52"/>
      <c r="G18" s="47"/>
      <c r="H18" s="47"/>
      <c r="I18" s="50"/>
      <c r="J18" s="53"/>
      <c r="K18" s="50"/>
      <c r="L18" s="47"/>
      <c r="M18" s="51"/>
      <c r="N18" s="51"/>
      <c r="O18" s="50"/>
      <c r="P18" s="50"/>
      <c r="Q18" s="52"/>
      <c r="R18" s="50"/>
      <c r="S18" s="50"/>
      <c r="T18" s="50"/>
      <c r="U18" s="50"/>
      <c r="V18" s="50"/>
      <c r="W18" s="50"/>
      <c r="X18" s="50"/>
      <c r="Y18" s="50"/>
      <c r="Z18" s="54"/>
      <c r="AA18" s="50"/>
      <c r="AB18" s="51"/>
      <c r="AC18" s="52"/>
      <c r="AD18" s="55">
        <f t="shared" si="0"/>
        <v>0</v>
      </c>
    </row>
    <row r="19" spans="1:30" x14ac:dyDescent="0.2">
      <c r="A19" s="48"/>
      <c r="B19" s="48"/>
      <c r="C19" s="49"/>
      <c r="D19" s="50"/>
      <c r="E19" s="51"/>
      <c r="F19" s="52"/>
      <c r="G19" s="47"/>
      <c r="H19" s="47"/>
      <c r="I19" s="50"/>
      <c r="J19" s="53"/>
      <c r="K19" s="50"/>
      <c r="L19" s="47"/>
      <c r="M19" s="51"/>
      <c r="N19" s="51"/>
      <c r="O19" s="50"/>
      <c r="P19" s="50"/>
      <c r="Q19" s="52"/>
      <c r="R19" s="50"/>
      <c r="S19" s="50"/>
      <c r="T19" s="50"/>
      <c r="U19" s="50"/>
      <c r="V19" s="50"/>
      <c r="W19" s="50"/>
      <c r="X19" s="50"/>
      <c r="Y19" s="50"/>
      <c r="Z19" s="54"/>
      <c r="AA19" s="50"/>
      <c r="AB19" s="51"/>
      <c r="AC19" s="52"/>
      <c r="AD19" s="55">
        <f t="shared" si="0"/>
        <v>0</v>
      </c>
    </row>
    <row r="20" spans="1:30" x14ac:dyDescent="0.2">
      <c r="A20" s="48"/>
      <c r="B20" s="48"/>
      <c r="C20" s="49"/>
      <c r="D20" s="50"/>
      <c r="E20" s="51"/>
      <c r="F20" s="52"/>
      <c r="G20" s="47"/>
      <c r="H20" s="47"/>
      <c r="I20" s="50"/>
      <c r="J20" s="53"/>
      <c r="K20" s="50"/>
      <c r="L20" s="47"/>
      <c r="M20" s="51"/>
      <c r="N20" s="51"/>
      <c r="O20" s="50"/>
      <c r="P20" s="50"/>
      <c r="Q20" s="52"/>
      <c r="R20" s="50"/>
      <c r="S20" s="50"/>
      <c r="T20" s="50"/>
      <c r="U20" s="50"/>
      <c r="V20" s="50"/>
      <c r="W20" s="50"/>
      <c r="X20" s="50"/>
      <c r="Y20" s="50"/>
      <c r="Z20" s="54"/>
      <c r="AA20" s="50"/>
      <c r="AB20" s="51"/>
      <c r="AC20" s="52"/>
      <c r="AD20" s="55">
        <f t="shared" si="0"/>
        <v>0</v>
      </c>
    </row>
    <row r="21" spans="1:30" x14ac:dyDescent="0.2">
      <c r="A21" s="48"/>
      <c r="B21" s="48"/>
      <c r="C21" s="49"/>
      <c r="D21" s="50"/>
      <c r="E21" s="51"/>
      <c r="F21" s="52"/>
      <c r="G21" s="47"/>
      <c r="H21" s="47"/>
      <c r="I21" s="50"/>
      <c r="J21" s="53"/>
      <c r="K21" s="50"/>
      <c r="L21" s="47"/>
      <c r="M21" s="51"/>
      <c r="N21" s="51"/>
      <c r="O21" s="50"/>
      <c r="P21" s="50"/>
      <c r="Q21" s="52"/>
      <c r="R21" s="50"/>
      <c r="S21" s="50"/>
      <c r="T21" s="50"/>
      <c r="U21" s="50"/>
      <c r="V21" s="50"/>
      <c r="W21" s="50"/>
      <c r="X21" s="50"/>
      <c r="Y21" s="50"/>
      <c r="Z21" s="54"/>
      <c r="AA21" s="50"/>
      <c r="AB21" s="51"/>
      <c r="AC21" s="52"/>
      <c r="AD21" s="55">
        <f t="shared" si="0"/>
        <v>0</v>
      </c>
    </row>
    <row r="22" spans="1:30" x14ac:dyDescent="0.2">
      <c r="A22" s="48"/>
      <c r="B22" s="48"/>
      <c r="C22" s="49"/>
      <c r="D22" s="50"/>
      <c r="E22" s="51"/>
      <c r="F22" s="52"/>
      <c r="G22" s="47"/>
      <c r="H22" s="47"/>
      <c r="I22" s="50"/>
      <c r="J22" s="53"/>
      <c r="K22" s="50"/>
      <c r="L22" s="47"/>
      <c r="M22" s="51"/>
      <c r="N22" s="51"/>
      <c r="O22" s="50"/>
      <c r="P22" s="50"/>
      <c r="Q22" s="52"/>
      <c r="R22" s="50"/>
      <c r="S22" s="50"/>
      <c r="T22" s="50"/>
      <c r="U22" s="50"/>
      <c r="V22" s="50"/>
      <c r="W22" s="50"/>
      <c r="X22" s="50"/>
      <c r="Y22" s="50"/>
      <c r="Z22" s="54"/>
      <c r="AA22" s="50"/>
      <c r="AB22" s="51"/>
      <c r="AC22" s="52"/>
      <c r="AD22" s="55">
        <f t="shared" si="0"/>
        <v>0</v>
      </c>
    </row>
    <row r="23" spans="1:30" x14ac:dyDescent="0.2">
      <c r="A23" s="48"/>
      <c r="B23" s="48"/>
      <c r="C23" s="49"/>
      <c r="D23" s="50"/>
      <c r="E23" s="51"/>
      <c r="F23" s="52"/>
      <c r="G23" s="47"/>
      <c r="H23" s="47"/>
      <c r="I23" s="50"/>
      <c r="J23" s="53"/>
      <c r="K23" s="50"/>
      <c r="L23" s="47"/>
      <c r="M23" s="51"/>
      <c r="N23" s="51"/>
      <c r="O23" s="50"/>
      <c r="P23" s="50"/>
      <c r="Q23" s="52"/>
      <c r="R23" s="50"/>
      <c r="S23" s="50"/>
      <c r="T23" s="50"/>
      <c r="U23" s="50"/>
      <c r="V23" s="50"/>
      <c r="W23" s="50"/>
      <c r="X23" s="50"/>
      <c r="Y23" s="50"/>
      <c r="Z23" s="54"/>
      <c r="AA23" s="50"/>
      <c r="AB23" s="51"/>
      <c r="AC23" s="52"/>
      <c r="AD23" s="55">
        <f t="shared" si="0"/>
        <v>0</v>
      </c>
    </row>
    <row r="24" spans="1:30" x14ac:dyDescent="0.2">
      <c r="A24" s="48"/>
      <c r="B24" s="48"/>
      <c r="C24" s="49"/>
      <c r="D24" s="50"/>
      <c r="E24" s="51"/>
      <c r="F24" s="52"/>
      <c r="G24" s="47"/>
      <c r="H24" s="47"/>
      <c r="I24" s="50"/>
      <c r="J24" s="53"/>
      <c r="K24" s="50"/>
      <c r="L24" s="47"/>
      <c r="M24" s="51"/>
      <c r="N24" s="51"/>
      <c r="O24" s="50"/>
      <c r="P24" s="50"/>
      <c r="Q24" s="52"/>
      <c r="R24" s="50"/>
      <c r="S24" s="50"/>
      <c r="T24" s="50"/>
      <c r="U24" s="50"/>
      <c r="V24" s="50"/>
      <c r="W24" s="50"/>
      <c r="X24" s="50"/>
      <c r="Y24" s="50"/>
      <c r="Z24" s="54"/>
      <c r="AA24" s="50"/>
      <c r="AB24" s="51"/>
      <c r="AC24" s="52"/>
      <c r="AD24" s="55">
        <f t="shared" si="0"/>
        <v>0</v>
      </c>
    </row>
    <row r="25" spans="1:30" x14ac:dyDescent="0.2">
      <c r="A25" s="48"/>
      <c r="B25" s="48"/>
      <c r="C25" s="49"/>
      <c r="D25" s="50"/>
      <c r="E25" s="51"/>
      <c r="F25" s="52"/>
      <c r="G25" s="47"/>
      <c r="H25" s="47"/>
      <c r="I25" s="50"/>
      <c r="J25" s="53"/>
      <c r="K25" s="50"/>
      <c r="L25" s="47"/>
      <c r="M25" s="51"/>
      <c r="N25" s="51"/>
      <c r="O25" s="50"/>
      <c r="P25" s="50"/>
      <c r="Q25" s="52"/>
      <c r="R25" s="50"/>
      <c r="S25" s="50"/>
      <c r="T25" s="50"/>
      <c r="U25" s="50"/>
      <c r="V25" s="50"/>
      <c r="W25" s="50"/>
      <c r="X25" s="50"/>
      <c r="Y25" s="50"/>
      <c r="Z25" s="54"/>
      <c r="AA25" s="50"/>
      <c r="AB25" s="51"/>
      <c r="AC25" s="52"/>
      <c r="AD25" s="55">
        <f t="shared" si="0"/>
        <v>0</v>
      </c>
    </row>
    <row r="26" spans="1:30" x14ac:dyDescent="0.2">
      <c r="A26" s="48"/>
      <c r="B26" s="48"/>
      <c r="C26" s="49"/>
      <c r="D26" s="50"/>
      <c r="E26" s="51"/>
      <c r="F26" s="52"/>
      <c r="G26" s="47"/>
      <c r="H26" s="47"/>
      <c r="I26" s="50"/>
      <c r="J26" s="53"/>
      <c r="K26" s="50"/>
      <c r="L26" s="47"/>
      <c r="M26" s="51"/>
      <c r="N26" s="51"/>
      <c r="O26" s="50"/>
      <c r="P26" s="50"/>
      <c r="Q26" s="52"/>
      <c r="R26" s="50"/>
      <c r="S26" s="50"/>
      <c r="T26" s="50"/>
      <c r="U26" s="50"/>
      <c r="V26" s="50"/>
      <c r="W26" s="50"/>
      <c r="X26" s="50"/>
      <c r="Y26" s="50"/>
      <c r="Z26" s="54"/>
      <c r="AA26" s="50"/>
      <c r="AB26" s="51"/>
      <c r="AC26" s="52"/>
      <c r="AD26" s="55">
        <f t="shared" si="0"/>
        <v>0</v>
      </c>
    </row>
    <row r="27" spans="1:30" x14ac:dyDescent="0.2">
      <c r="A27" s="48"/>
      <c r="B27" s="48"/>
      <c r="C27" s="49"/>
      <c r="D27" s="50"/>
      <c r="E27" s="51"/>
      <c r="F27" s="52"/>
      <c r="G27" s="47"/>
      <c r="H27" s="47"/>
      <c r="I27" s="50"/>
      <c r="J27" s="53"/>
      <c r="K27" s="50"/>
      <c r="L27" s="47"/>
      <c r="M27" s="51"/>
      <c r="N27" s="51"/>
      <c r="O27" s="50"/>
      <c r="P27" s="50"/>
      <c r="Q27" s="52"/>
      <c r="R27" s="50"/>
      <c r="S27" s="50"/>
      <c r="T27" s="50"/>
      <c r="U27" s="50"/>
      <c r="V27" s="50"/>
      <c r="W27" s="50"/>
      <c r="X27" s="50"/>
      <c r="Y27" s="50"/>
      <c r="Z27" s="54"/>
      <c r="AA27" s="50"/>
      <c r="AB27" s="51"/>
      <c r="AC27" s="52"/>
      <c r="AD27" s="55">
        <f t="shared" si="0"/>
        <v>0</v>
      </c>
    </row>
    <row r="28" spans="1:30" x14ac:dyDescent="0.2">
      <c r="A28" s="48"/>
      <c r="B28" s="48"/>
      <c r="C28" s="49"/>
      <c r="D28" s="50"/>
      <c r="E28" s="51"/>
      <c r="F28" s="52"/>
      <c r="G28" s="47"/>
      <c r="H28" s="47"/>
      <c r="I28" s="50"/>
      <c r="J28" s="53"/>
      <c r="K28" s="50"/>
      <c r="L28" s="47"/>
      <c r="M28" s="51"/>
      <c r="N28" s="51"/>
      <c r="O28" s="50"/>
      <c r="P28" s="50"/>
      <c r="Q28" s="52"/>
      <c r="R28" s="50"/>
      <c r="S28" s="50"/>
      <c r="T28" s="50"/>
      <c r="U28" s="50"/>
      <c r="V28" s="50"/>
      <c r="W28" s="50"/>
      <c r="X28" s="50"/>
      <c r="Y28" s="50"/>
      <c r="Z28" s="54"/>
      <c r="AA28" s="50"/>
      <c r="AB28" s="51"/>
      <c r="AC28" s="52"/>
      <c r="AD28" s="55">
        <f t="shared" si="0"/>
        <v>0</v>
      </c>
    </row>
    <row r="29" spans="1:30" x14ac:dyDescent="0.2">
      <c r="A29" s="48"/>
      <c r="B29" s="48"/>
      <c r="C29" s="49"/>
      <c r="D29" s="50"/>
      <c r="E29" s="51"/>
      <c r="F29" s="52"/>
      <c r="G29" s="47"/>
      <c r="H29" s="47"/>
      <c r="I29" s="50"/>
      <c r="J29" s="53"/>
      <c r="K29" s="50"/>
      <c r="L29" s="47"/>
      <c r="M29" s="51"/>
      <c r="N29" s="51"/>
      <c r="O29" s="50"/>
      <c r="P29" s="50"/>
      <c r="Q29" s="52"/>
      <c r="R29" s="50"/>
      <c r="S29" s="50"/>
      <c r="T29" s="50"/>
      <c r="U29" s="50"/>
      <c r="V29" s="50"/>
      <c r="W29" s="50"/>
      <c r="X29" s="50"/>
      <c r="Y29" s="50"/>
      <c r="Z29" s="54"/>
      <c r="AA29" s="50"/>
      <c r="AB29" s="51"/>
      <c r="AC29" s="52"/>
      <c r="AD29" s="55">
        <f t="shared" si="0"/>
        <v>0</v>
      </c>
    </row>
    <row r="30" spans="1:30" x14ac:dyDescent="0.2">
      <c r="A30" s="48"/>
      <c r="B30" s="48"/>
      <c r="C30" s="49"/>
      <c r="D30" s="50"/>
      <c r="E30" s="51"/>
      <c r="F30" s="52"/>
      <c r="G30" s="47"/>
      <c r="H30" s="47"/>
      <c r="I30" s="50"/>
      <c r="J30" s="53"/>
      <c r="K30" s="50"/>
      <c r="L30" s="47"/>
      <c r="M30" s="51"/>
      <c r="N30" s="51"/>
      <c r="O30" s="50"/>
      <c r="P30" s="50"/>
      <c r="Q30" s="52"/>
      <c r="R30" s="50"/>
      <c r="S30" s="50"/>
      <c r="T30" s="50"/>
      <c r="U30" s="50"/>
      <c r="V30" s="50"/>
      <c r="W30" s="50"/>
      <c r="X30" s="50"/>
      <c r="Y30" s="50"/>
      <c r="Z30" s="54"/>
      <c r="AA30" s="50"/>
      <c r="AB30" s="51"/>
      <c r="AC30" s="52"/>
      <c r="AD30" s="55">
        <f t="shared" si="0"/>
        <v>0</v>
      </c>
    </row>
    <row r="31" spans="1:30" x14ac:dyDescent="0.2">
      <c r="A31" s="48"/>
      <c r="B31" s="48"/>
      <c r="C31" s="49"/>
      <c r="D31" s="50"/>
      <c r="E31" s="51"/>
      <c r="F31" s="52"/>
      <c r="G31" s="47"/>
      <c r="H31" s="47"/>
      <c r="I31" s="50"/>
      <c r="J31" s="53"/>
      <c r="K31" s="50"/>
      <c r="L31" s="47"/>
      <c r="M31" s="51"/>
      <c r="N31" s="51"/>
      <c r="O31" s="50"/>
      <c r="P31" s="50"/>
      <c r="Q31" s="52"/>
      <c r="R31" s="50"/>
      <c r="S31" s="50"/>
      <c r="T31" s="50"/>
      <c r="U31" s="50"/>
      <c r="V31" s="50"/>
      <c r="W31" s="50"/>
      <c r="X31" s="50"/>
      <c r="Y31" s="50"/>
      <c r="Z31" s="54"/>
      <c r="AA31" s="50"/>
      <c r="AB31" s="51"/>
      <c r="AC31" s="52"/>
      <c r="AD31" s="55">
        <f t="shared" si="0"/>
        <v>0</v>
      </c>
    </row>
    <row r="32" spans="1:30" x14ac:dyDescent="0.2">
      <c r="A32" s="48"/>
      <c r="B32" s="48"/>
      <c r="C32" s="49"/>
      <c r="D32" s="50"/>
      <c r="E32" s="51"/>
      <c r="F32" s="52"/>
      <c r="G32" s="47"/>
      <c r="H32" s="47"/>
      <c r="I32" s="50"/>
      <c r="J32" s="53"/>
      <c r="K32" s="50"/>
      <c r="L32" s="47"/>
      <c r="M32" s="51"/>
      <c r="N32" s="51"/>
      <c r="O32" s="50"/>
      <c r="P32" s="50"/>
      <c r="Q32" s="52"/>
      <c r="R32" s="50"/>
      <c r="S32" s="50"/>
      <c r="T32" s="50"/>
      <c r="U32" s="50"/>
      <c r="V32" s="50"/>
      <c r="W32" s="50"/>
      <c r="X32" s="50"/>
      <c r="Y32" s="50"/>
      <c r="Z32" s="54"/>
      <c r="AA32" s="50"/>
      <c r="AB32" s="51"/>
      <c r="AC32" s="52"/>
      <c r="AD32" s="55">
        <f t="shared" si="0"/>
        <v>0</v>
      </c>
    </row>
    <row r="33" spans="1:30" x14ac:dyDescent="0.2">
      <c r="A33" s="48"/>
      <c r="B33" s="48"/>
      <c r="C33" s="49"/>
      <c r="D33" s="50"/>
      <c r="E33" s="51"/>
      <c r="F33" s="52"/>
      <c r="G33" s="47"/>
      <c r="H33" s="47"/>
      <c r="I33" s="50"/>
      <c r="J33" s="53"/>
      <c r="K33" s="50"/>
      <c r="L33" s="47"/>
      <c r="M33" s="51"/>
      <c r="N33" s="51"/>
      <c r="O33" s="50"/>
      <c r="P33" s="50"/>
      <c r="Q33" s="52"/>
      <c r="R33" s="50"/>
      <c r="S33" s="50"/>
      <c r="T33" s="50"/>
      <c r="U33" s="50"/>
      <c r="V33" s="50"/>
      <c r="W33" s="50"/>
      <c r="X33" s="50"/>
      <c r="Y33" s="50"/>
      <c r="Z33" s="54"/>
      <c r="AA33" s="50"/>
      <c r="AB33" s="51"/>
      <c r="AC33" s="52"/>
      <c r="AD33" s="55">
        <f t="shared" si="0"/>
        <v>0</v>
      </c>
    </row>
    <row r="34" spans="1:30" x14ac:dyDescent="0.2">
      <c r="A34" s="48"/>
      <c r="B34" s="48"/>
      <c r="C34" s="49"/>
      <c r="D34" s="50"/>
      <c r="E34" s="51"/>
      <c r="F34" s="52"/>
      <c r="G34" s="47"/>
      <c r="H34" s="47"/>
      <c r="I34" s="50"/>
      <c r="J34" s="53"/>
      <c r="K34" s="50"/>
      <c r="L34" s="47"/>
      <c r="M34" s="51"/>
      <c r="N34" s="51"/>
      <c r="O34" s="50"/>
      <c r="P34" s="50"/>
      <c r="Q34" s="52"/>
      <c r="R34" s="50"/>
      <c r="S34" s="50"/>
      <c r="T34" s="50"/>
      <c r="U34" s="50"/>
      <c r="V34" s="50"/>
      <c r="W34" s="50"/>
      <c r="X34" s="50"/>
      <c r="Y34" s="50"/>
      <c r="Z34" s="54"/>
      <c r="AA34" s="50"/>
      <c r="AB34" s="51"/>
      <c r="AC34" s="52"/>
      <c r="AD34" s="55">
        <f t="shared" si="0"/>
        <v>0</v>
      </c>
    </row>
    <row r="35" spans="1:30" x14ac:dyDescent="0.2">
      <c r="A35" s="48"/>
      <c r="B35" s="48"/>
      <c r="C35" s="49"/>
      <c r="D35" s="50"/>
      <c r="E35" s="51"/>
      <c r="F35" s="52"/>
      <c r="G35" s="47"/>
      <c r="H35" s="47"/>
      <c r="I35" s="50"/>
      <c r="J35" s="53"/>
      <c r="K35" s="50"/>
      <c r="L35" s="47"/>
      <c r="M35" s="51"/>
      <c r="N35" s="51"/>
      <c r="O35" s="50"/>
      <c r="P35" s="50"/>
      <c r="Q35" s="52"/>
      <c r="R35" s="50"/>
      <c r="S35" s="50"/>
      <c r="T35" s="50"/>
      <c r="U35" s="50"/>
      <c r="V35" s="50"/>
      <c r="W35" s="50"/>
      <c r="X35" s="50"/>
      <c r="Y35" s="50"/>
      <c r="Z35" s="54"/>
      <c r="AA35" s="50"/>
      <c r="AB35" s="51"/>
      <c r="AC35" s="52"/>
      <c r="AD35" s="55">
        <f t="shared" si="0"/>
        <v>0</v>
      </c>
    </row>
    <row r="36" spans="1:30" x14ac:dyDescent="0.2">
      <c r="A36" s="48"/>
      <c r="B36" s="48"/>
      <c r="C36" s="49"/>
      <c r="D36" s="50"/>
      <c r="E36" s="51"/>
      <c r="F36" s="52"/>
      <c r="G36" s="47"/>
      <c r="H36" s="47"/>
      <c r="I36" s="50"/>
      <c r="J36" s="53"/>
      <c r="K36" s="50"/>
      <c r="L36" s="47"/>
      <c r="M36" s="51"/>
      <c r="N36" s="51"/>
      <c r="O36" s="50"/>
      <c r="P36" s="50"/>
      <c r="Q36" s="52"/>
      <c r="R36" s="50"/>
      <c r="S36" s="50"/>
      <c r="T36" s="50"/>
      <c r="U36" s="50"/>
      <c r="V36" s="50"/>
      <c r="W36" s="50"/>
      <c r="X36" s="50"/>
      <c r="Y36" s="50"/>
      <c r="Z36" s="54"/>
      <c r="AA36" s="50"/>
      <c r="AB36" s="51"/>
      <c r="AC36" s="52"/>
      <c r="AD36" s="55">
        <f t="shared" si="0"/>
        <v>0</v>
      </c>
    </row>
    <row r="37" spans="1:30" x14ac:dyDescent="0.2">
      <c r="A37" s="48"/>
      <c r="B37" s="48"/>
      <c r="C37" s="49"/>
      <c r="D37" s="50"/>
      <c r="E37" s="51"/>
      <c r="F37" s="52"/>
      <c r="G37" s="47"/>
      <c r="H37" s="47"/>
      <c r="I37" s="50"/>
      <c r="J37" s="53"/>
      <c r="K37" s="50"/>
      <c r="L37" s="47"/>
      <c r="M37" s="51"/>
      <c r="N37" s="51"/>
      <c r="O37" s="50"/>
      <c r="P37" s="50"/>
      <c r="Q37" s="52"/>
      <c r="R37" s="50"/>
      <c r="S37" s="50"/>
      <c r="T37" s="50"/>
      <c r="U37" s="50"/>
      <c r="V37" s="50"/>
      <c r="W37" s="50"/>
      <c r="X37" s="50"/>
      <c r="Y37" s="50"/>
      <c r="Z37" s="54"/>
      <c r="AA37" s="50"/>
      <c r="AB37" s="51"/>
      <c r="AC37" s="52"/>
      <c r="AD37" s="55">
        <f t="shared" si="0"/>
        <v>0</v>
      </c>
    </row>
    <row r="38" spans="1:30" x14ac:dyDescent="0.2">
      <c r="A38" s="48"/>
      <c r="B38" s="48"/>
      <c r="C38" s="49"/>
      <c r="D38" s="50"/>
      <c r="E38" s="51"/>
      <c r="F38" s="52"/>
      <c r="G38" s="47"/>
      <c r="H38" s="47"/>
      <c r="I38" s="50"/>
      <c r="J38" s="53"/>
      <c r="K38" s="50"/>
      <c r="L38" s="47"/>
      <c r="M38" s="51"/>
      <c r="N38" s="51"/>
      <c r="O38" s="50"/>
      <c r="P38" s="50"/>
      <c r="Q38" s="52"/>
      <c r="R38" s="50"/>
      <c r="S38" s="50"/>
      <c r="T38" s="50"/>
      <c r="U38" s="50"/>
      <c r="V38" s="50"/>
      <c r="W38" s="50"/>
      <c r="X38" s="50"/>
      <c r="Y38" s="50"/>
      <c r="Z38" s="54"/>
      <c r="AA38" s="50"/>
      <c r="AB38" s="51"/>
      <c r="AC38" s="52"/>
      <c r="AD38" s="55">
        <f t="shared" si="0"/>
        <v>0</v>
      </c>
    </row>
    <row r="39" spans="1:30" x14ac:dyDescent="0.2">
      <c r="A39" s="48"/>
      <c r="B39" s="48"/>
      <c r="C39" s="49"/>
      <c r="D39" s="50"/>
      <c r="E39" s="51"/>
      <c r="F39" s="52"/>
      <c r="G39" s="47"/>
      <c r="H39" s="47"/>
      <c r="I39" s="50"/>
      <c r="J39" s="53"/>
      <c r="K39" s="50"/>
      <c r="L39" s="47"/>
      <c r="M39" s="51"/>
      <c r="N39" s="51"/>
      <c r="O39" s="50"/>
      <c r="P39" s="50"/>
      <c r="Q39" s="52"/>
      <c r="R39" s="50"/>
      <c r="S39" s="50"/>
      <c r="T39" s="50"/>
      <c r="U39" s="50"/>
      <c r="V39" s="50"/>
      <c r="W39" s="50"/>
      <c r="X39" s="50"/>
      <c r="Y39" s="50"/>
      <c r="Z39" s="54"/>
      <c r="AA39" s="50"/>
      <c r="AB39" s="51"/>
      <c r="AC39" s="52"/>
      <c r="AD39" s="55">
        <f t="shared" si="0"/>
        <v>0</v>
      </c>
    </row>
    <row r="40" spans="1:30" x14ac:dyDescent="0.2">
      <c r="A40" s="48"/>
      <c r="B40" s="48"/>
      <c r="C40" s="49"/>
      <c r="D40" s="50"/>
      <c r="E40" s="51"/>
      <c r="F40" s="52"/>
      <c r="G40" s="47"/>
      <c r="H40" s="47"/>
      <c r="I40" s="50"/>
      <c r="J40" s="53"/>
      <c r="K40" s="50"/>
      <c r="L40" s="47"/>
      <c r="M40" s="51"/>
      <c r="N40" s="51"/>
      <c r="O40" s="50"/>
      <c r="P40" s="50"/>
      <c r="Q40" s="52"/>
      <c r="R40" s="50"/>
      <c r="S40" s="50"/>
      <c r="T40" s="50"/>
      <c r="U40" s="50"/>
      <c r="V40" s="50"/>
      <c r="W40" s="50"/>
      <c r="X40" s="50"/>
      <c r="Y40" s="50"/>
      <c r="Z40" s="54"/>
      <c r="AA40" s="50"/>
      <c r="AB40" s="51"/>
      <c r="AC40" s="52"/>
      <c r="AD40" s="55">
        <f t="shared" si="0"/>
        <v>0</v>
      </c>
    </row>
    <row r="41" spans="1:30" x14ac:dyDescent="0.2">
      <c r="A41" s="48"/>
      <c r="B41" s="48"/>
      <c r="C41" s="49"/>
      <c r="D41" s="50"/>
      <c r="E41" s="51"/>
      <c r="F41" s="52"/>
      <c r="G41" s="47"/>
      <c r="H41" s="47"/>
      <c r="I41" s="50"/>
      <c r="J41" s="53"/>
      <c r="K41" s="50"/>
      <c r="L41" s="47"/>
      <c r="M41" s="51"/>
      <c r="N41" s="51"/>
      <c r="O41" s="50"/>
      <c r="P41" s="50"/>
      <c r="Q41" s="52"/>
      <c r="R41" s="50"/>
      <c r="S41" s="50"/>
      <c r="T41" s="50"/>
      <c r="U41" s="50"/>
      <c r="V41" s="50"/>
      <c r="W41" s="50"/>
      <c r="X41" s="50"/>
      <c r="Y41" s="50"/>
      <c r="Z41" s="54"/>
      <c r="AA41" s="50"/>
      <c r="AB41" s="51"/>
      <c r="AC41" s="52"/>
      <c r="AD41" s="55">
        <f t="shared" si="0"/>
        <v>0</v>
      </c>
    </row>
    <row r="42" spans="1:30" x14ac:dyDescent="0.2">
      <c r="A42" s="48"/>
      <c r="B42" s="48"/>
      <c r="C42" s="49"/>
      <c r="D42" s="50"/>
      <c r="E42" s="51"/>
      <c r="F42" s="52"/>
      <c r="G42" s="47"/>
      <c r="H42" s="47"/>
      <c r="I42" s="50"/>
      <c r="J42" s="53"/>
      <c r="K42" s="50"/>
      <c r="L42" s="47"/>
      <c r="M42" s="51"/>
      <c r="N42" s="51"/>
      <c r="O42" s="50"/>
      <c r="P42" s="50"/>
      <c r="Q42" s="52"/>
      <c r="R42" s="50"/>
      <c r="S42" s="50"/>
      <c r="T42" s="50"/>
      <c r="U42" s="50"/>
      <c r="V42" s="50"/>
      <c r="W42" s="50"/>
      <c r="X42" s="50"/>
      <c r="Y42" s="50"/>
      <c r="Z42" s="54"/>
      <c r="AA42" s="50"/>
      <c r="AB42" s="51"/>
      <c r="AC42" s="52"/>
      <c r="AD42" s="55">
        <f t="shared" si="0"/>
        <v>0</v>
      </c>
    </row>
    <row r="43" spans="1:30" x14ac:dyDescent="0.2">
      <c r="A43" s="48"/>
      <c r="B43" s="48"/>
      <c r="C43" s="49"/>
      <c r="D43" s="50"/>
      <c r="E43" s="51"/>
      <c r="F43" s="52"/>
      <c r="G43" s="47"/>
      <c r="H43" s="47"/>
      <c r="I43" s="50"/>
      <c r="J43" s="53"/>
      <c r="K43" s="50"/>
      <c r="L43" s="47"/>
      <c r="M43" s="51"/>
      <c r="N43" s="51"/>
      <c r="O43" s="50"/>
      <c r="P43" s="50"/>
      <c r="Q43" s="52"/>
      <c r="R43" s="50"/>
      <c r="S43" s="50"/>
      <c r="T43" s="50"/>
      <c r="U43" s="50"/>
      <c r="V43" s="50"/>
      <c r="W43" s="50"/>
      <c r="X43" s="50"/>
      <c r="Y43" s="50"/>
      <c r="Z43" s="54"/>
      <c r="AA43" s="50"/>
      <c r="AB43" s="51"/>
      <c r="AC43" s="52"/>
      <c r="AD43" s="55">
        <f t="shared" si="0"/>
        <v>0</v>
      </c>
    </row>
    <row r="44" spans="1:30" x14ac:dyDescent="0.2">
      <c r="A44" s="48"/>
      <c r="B44" s="48"/>
      <c r="C44" s="49"/>
      <c r="D44" s="50"/>
      <c r="E44" s="51"/>
      <c r="F44" s="52"/>
      <c r="G44" s="47"/>
      <c r="H44" s="47"/>
      <c r="I44" s="50"/>
      <c r="J44" s="53"/>
      <c r="K44" s="50"/>
      <c r="L44" s="47"/>
      <c r="M44" s="51"/>
      <c r="N44" s="51"/>
      <c r="O44" s="50"/>
      <c r="P44" s="50"/>
      <c r="Q44" s="52"/>
      <c r="R44" s="50"/>
      <c r="S44" s="50"/>
      <c r="T44" s="50"/>
      <c r="U44" s="50"/>
      <c r="V44" s="50"/>
      <c r="W44" s="50"/>
      <c r="X44" s="50"/>
      <c r="Y44" s="50"/>
      <c r="Z44" s="54"/>
      <c r="AA44" s="50"/>
      <c r="AB44" s="51"/>
      <c r="AC44" s="52"/>
      <c r="AD44" s="55">
        <f t="shared" si="0"/>
        <v>0</v>
      </c>
    </row>
    <row r="45" spans="1:30" x14ac:dyDescent="0.2">
      <c r="A45" s="48"/>
      <c r="B45" s="48"/>
      <c r="C45" s="49"/>
      <c r="D45" s="50"/>
      <c r="E45" s="51"/>
      <c r="F45" s="52"/>
      <c r="G45" s="47"/>
      <c r="H45" s="47"/>
      <c r="I45" s="50"/>
      <c r="J45" s="53"/>
      <c r="K45" s="50"/>
      <c r="L45" s="47"/>
      <c r="M45" s="51"/>
      <c r="N45" s="51"/>
      <c r="O45" s="50"/>
      <c r="P45" s="50"/>
      <c r="Q45" s="52"/>
      <c r="R45" s="50"/>
      <c r="S45" s="50"/>
      <c r="T45" s="50"/>
      <c r="U45" s="50"/>
      <c r="V45" s="50"/>
      <c r="W45" s="50"/>
      <c r="X45" s="50"/>
      <c r="Y45" s="50"/>
      <c r="Z45" s="54"/>
      <c r="AA45" s="50"/>
      <c r="AB45" s="51"/>
      <c r="AC45" s="52"/>
      <c r="AD45" s="55">
        <f t="shared" si="0"/>
        <v>0</v>
      </c>
    </row>
    <row r="46" spans="1:30" x14ac:dyDescent="0.2">
      <c r="A46" s="48"/>
      <c r="B46" s="48"/>
      <c r="C46" s="49"/>
      <c r="D46" s="50"/>
      <c r="E46" s="51"/>
      <c r="F46" s="52"/>
      <c r="G46" s="47"/>
      <c r="H46" s="47"/>
      <c r="I46" s="50"/>
      <c r="J46" s="53"/>
      <c r="K46" s="50"/>
      <c r="L46" s="47"/>
      <c r="M46" s="51"/>
      <c r="N46" s="51"/>
      <c r="O46" s="50"/>
      <c r="P46" s="50"/>
      <c r="Q46" s="52"/>
      <c r="R46" s="50"/>
      <c r="S46" s="50"/>
      <c r="T46" s="50"/>
      <c r="U46" s="50"/>
      <c r="V46" s="50"/>
      <c r="W46" s="50"/>
      <c r="X46" s="50"/>
      <c r="Y46" s="50"/>
      <c r="Z46" s="54"/>
      <c r="AA46" s="50"/>
      <c r="AB46" s="51"/>
      <c r="AC46" s="52"/>
      <c r="AD46" s="55">
        <f t="shared" si="0"/>
        <v>0</v>
      </c>
    </row>
    <row r="47" spans="1:30" x14ac:dyDescent="0.2">
      <c r="A47" s="48"/>
      <c r="B47" s="48"/>
      <c r="C47" s="49"/>
      <c r="D47" s="50"/>
      <c r="E47" s="51"/>
      <c r="F47" s="52"/>
      <c r="G47" s="47"/>
      <c r="H47" s="47"/>
      <c r="I47" s="50"/>
      <c r="J47" s="53"/>
      <c r="K47" s="50"/>
      <c r="L47" s="47"/>
      <c r="M47" s="51"/>
      <c r="N47" s="51"/>
      <c r="O47" s="50"/>
      <c r="P47" s="50"/>
      <c r="Q47" s="52"/>
      <c r="R47" s="50"/>
      <c r="S47" s="50"/>
      <c r="T47" s="50"/>
      <c r="U47" s="50"/>
      <c r="V47" s="50"/>
      <c r="W47" s="50"/>
      <c r="X47" s="50"/>
      <c r="Y47" s="50"/>
      <c r="Z47" s="54"/>
      <c r="AA47" s="50"/>
      <c r="AB47" s="51"/>
      <c r="AC47" s="52"/>
      <c r="AD47" s="55">
        <f t="shared" si="0"/>
        <v>0</v>
      </c>
    </row>
    <row r="48" spans="1:30" x14ac:dyDescent="0.2">
      <c r="A48" s="48"/>
      <c r="B48" s="48"/>
      <c r="C48" s="49"/>
      <c r="D48" s="50"/>
      <c r="E48" s="51"/>
      <c r="F48" s="52"/>
      <c r="G48" s="47"/>
      <c r="H48" s="47"/>
      <c r="I48" s="50"/>
      <c r="J48" s="53"/>
      <c r="K48" s="50"/>
      <c r="L48" s="47"/>
      <c r="M48" s="51"/>
      <c r="N48" s="51"/>
      <c r="O48" s="50"/>
      <c r="P48" s="50"/>
      <c r="Q48" s="52"/>
      <c r="R48" s="50"/>
      <c r="S48" s="50"/>
      <c r="T48" s="50"/>
      <c r="U48" s="50"/>
      <c r="V48" s="50"/>
      <c r="W48" s="50"/>
      <c r="X48" s="50"/>
      <c r="Y48" s="50"/>
      <c r="Z48" s="54"/>
      <c r="AA48" s="50"/>
      <c r="AB48" s="51"/>
      <c r="AC48" s="52"/>
      <c r="AD48" s="55">
        <f t="shared" si="0"/>
        <v>0</v>
      </c>
    </row>
    <row r="49" spans="1:30" x14ac:dyDescent="0.2">
      <c r="A49" s="48"/>
      <c r="B49" s="48"/>
      <c r="C49" s="49"/>
      <c r="D49" s="50"/>
      <c r="E49" s="51"/>
      <c r="F49" s="52"/>
      <c r="G49" s="47"/>
      <c r="H49" s="47"/>
      <c r="I49" s="50"/>
      <c r="J49" s="53"/>
      <c r="K49" s="50"/>
      <c r="L49" s="47"/>
      <c r="M49" s="51"/>
      <c r="N49" s="51"/>
      <c r="O49" s="50"/>
      <c r="P49" s="50"/>
      <c r="Q49" s="52"/>
      <c r="R49" s="50"/>
      <c r="S49" s="50"/>
      <c r="T49" s="50"/>
      <c r="U49" s="50"/>
      <c r="V49" s="50"/>
      <c r="W49" s="50"/>
      <c r="X49" s="50"/>
      <c r="Y49" s="50"/>
      <c r="Z49" s="54"/>
      <c r="AA49" s="50"/>
      <c r="AB49" s="51"/>
      <c r="AC49" s="52"/>
      <c r="AD49" s="55">
        <f t="shared" si="0"/>
        <v>0</v>
      </c>
    </row>
    <row r="50" spans="1:30" x14ac:dyDescent="0.2">
      <c r="A50" s="48"/>
      <c r="B50" s="48"/>
      <c r="C50" s="49"/>
      <c r="D50" s="50"/>
      <c r="E50" s="51"/>
      <c r="F50" s="52"/>
      <c r="G50" s="47"/>
      <c r="H50" s="47"/>
      <c r="I50" s="50"/>
      <c r="J50" s="53"/>
      <c r="K50" s="50"/>
      <c r="L50" s="47"/>
      <c r="M50" s="51"/>
      <c r="N50" s="51"/>
      <c r="O50" s="50"/>
      <c r="P50" s="50"/>
      <c r="Q50" s="52"/>
      <c r="R50" s="50"/>
      <c r="S50" s="50"/>
      <c r="T50" s="50"/>
      <c r="U50" s="50"/>
      <c r="V50" s="50"/>
      <c r="W50" s="50"/>
      <c r="X50" s="50"/>
      <c r="Y50" s="50"/>
      <c r="Z50" s="54"/>
      <c r="AA50" s="50"/>
      <c r="AB50" s="51"/>
      <c r="AC50" s="52"/>
      <c r="AD50" s="55">
        <f t="shared" si="0"/>
        <v>0</v>
      </c>
    </row>
    <row r="51" spans="1:30" x14ac:dyDescent="0.2">
      <c r="A51" s="48"/>
      <c r="B51" s="48"/>
      <c r="C51" s="49"/>
      <c r="D51" s="50"/>
      <c r="E51" s="51"/>
      <c r="F51" s="52"/>
      <c r="G51" s="47"/>
      <c r="H51" s="47"/>
      <c r="I51" s="50"/>
      <c r="J51" s="53"/>
      <c r="K51" s="50"/>
      <c r="L51" s="47"/>
      <c r="M51" s="51"/>
      <c r="N51" s="51"/>
      <c r="O51" s="50"/>
      <c r="P51" s="50"/>
      <c r="Q51" s="52"/>
      <c r="R51" s="50"/>
      <c r="S51" s="50"/>
      <c r="T51" s="50"/>
      <c r="U51" s="50"/>
      <c r="V51" s="50"/>
      <c r="W51" s="50"/>
      <c r="X51" s="50"/>
      <c r="Y51" s="50"/>
      <c r="Z51" s="54"/>
      <c r="AA51" s="50"/>
      <c r="AB51" s="51"/>
      <c r="AC51" s="52"/>
      <c r="AD51" s="55">
        <f t="shared" si="0"/>
        <v>0</v>
      </c>
    </row>
    <row r="52" spans="1:30" x14ac:dyDescent="0.2">
      <c r="A52" s="48"/>
      <c r="B52" s="48"/>
      <c r="C52" s="49"/>
      <c r="D52" s="50"/>
      <c r="E52" s="51"/>
      <c r="F52" s="52"/>
      <c r="G52" s="47"/>
      <c r="H52" s="47"/>
      <c r="I52" s="50"/>
      <c r="J52" s="53"/>
      <c r="K52" s="50"/>
      <c r="L52" s="47"/>
      <c r="M52" s="51"/>
      <c r="N52" s="51"/>
      <c r="O52" s="50"/>
      <c r="P52" s="50"/>
      <c r="Q52" s="52"/>
      <c r="R52" s="50"/>
      <c r="S52" s="50"/>
      <c r="T52" s="50"/>
      <c r="U52" s="50"/>
      <c r="V52" s="50"/>
      <c r="W52" s="50"/>
      <c r="X52" s="50"/>
      <c r="Y52" s="50"/>
      <c r="Z52" s="54"/>
      <c r="AA52" s="50"/>
      <c r="AB52" s="51"/>
      <c r="AC52" s="52"/>
      <c r="AD52" s="55">
        <f t="shared" si="0"/>
        <v>0</v>
      </c>
    </row>
    <row r="53" spans="1:30" x14ac:dyDescent="0.2">
      <c r="A53" s="48"/>
      <c r="B53" s="48"/>
      <c r="C53" s="49"/>
      <c r="D53" s="50"/>
      <c r="E53" s="51"/>
      <c r="F53" s="52"/>
      <c r="G53" s="47"/>
      <c r="H53" s="47"/>
      <c r="I53" s="50"/>
      <c r="J53" s="53"/>
      <c r="K53" s="50"/>
      <c r="L53" s="47"/>
      <c r="M53" s="51"/>
      <c r="N53" s="51"/>
      <c r="O53" s="50"/>
      <c r="P53" s="50"/>
      <c r="Q53" s="52"/>
      <c r="R53" s="50"/>
      <c r="S53" s="50"/>
      <c r="T53" s="50"/>
      <c r="U53" s="50"/>
      <c r="V53" s="50"/>
      <c r="W53" s="50"/>
      <c r="X53" s="50"/>
      <c r="Y53" s="50"/>
      <c r="Z53" s="54"/>
      <c r="AA53" s="50"/>
      <c r="AB53" s="51"/>
      <c r="AC53" s="52"/>
      <c r="AD53" s="55">
        <f t="shared" si="0"/>
        <v>0</v>
      </c>
    </row>
    <row r="54" spans="1:30" x14ac:dyDescent="0.2">
      <c r="A54" s="48"/>
      <c r="B54" s="48"/>
      <c r="C54" s="49"/>
      <c r="D54" s="50"/>
      <c r="E54" s="51"/>
      <c r="F54" s="52"/>
      <c r="G54" s="47"/>
      <c r="H54" s="47"/>
      <c r="I54" s="50"/>
      <c r="J54" s="53"/>
      <c r="K54" s="50"/>
      <c r="L54" s="47"/>
      <c r="M54" s="51"/>
      <c r="N54" s="51"/>
      <c r="O54" s="50"/>
      <c r="P54" s="50"/>
      <c r="Q54" s="52"/>
      <c r="R54" s="50"/>
      <c r="S54" s="50"/>
      <c r="T54" s="50"/>
      <c r="U54" s="50"/>
      <c r="V54" s="50"/>
      <c r="W54" s="50"/>
      <c r="X54" s="50"/>
      <c r="Y54" s="50"/>
      <c r="Z54" s="54"/>
      <c r="AA54" s="50"/>
      <c r="AB54" s="51"/>
      <c r="AC54" s="52"/>
      <c r="AD54" s="55">
        <f t="shared" si="0"/>
        <v>0</v>
      </c>
    </row>
    <row r="55" spans="1:30" x14ac:dyDescent="0.2">
      <c r="A55" s="48"/>
      <c r="B55" s="48"/>
      <c r="C55" s="49"/>
      <c r="D55" s="50"/>
      <c r="E55" s="51"/>
      <c r="F55" s="52"/>
      <c r="G55" s="47"/>
      <c r="H55" s="47"/>
      <c r="I55" s="50"/>
      <c r="J55" s="53"/>
      <c r="K55" s="50"/>
      <c r="L55" s="47"/>
      <c r="M55" s="51"/>
      <c r="N55" s="51"/>
      <c r="O55" s="50"/>
      <c r="P55" s="50"/>
      <c r="Q55" s="52"/>
      <c r="R55" s="50"/>
      <c r="S55" s="50"/>
      <c r="T55" s="50"/>
      <c r="U55" s="50"/>
      <c r="V55" s="50"/>
      <c r="W55" s="50"/>
      <c r="X55" s="50"/>
      <c r="Y55" s="50"/>
      <c r="Z55" s="54"/>
      <c r="AA55" s="50"/>
      <c r="AB55" s="51"/>
      <c r="AC55" s="52"/>
      <c r="AD55" s="55">
        <f t="shared" si="0"/>
        <v>0</v>
      </c>
    </row>
    <row r="56" spans="1:30" x14ac:dyDescent="0.2">
      <c r="A56" s="48"/>
      <c r="B56" s="48"/>
      <c r="C56" s="49"/>
      <c r="D56" s="50"/>
      <c r="E56" s="51"/>
      <c r="F56" s="52"/>
      <c r="G56" s="47"/>
      <c r="H56" s="47"/>
      <c r="I56" s="50"/>
      <c r="J56" s="53"/>
      <c r="K56" s="50"/>
      <c r="L56" s="47"/>
      <c r="M56" s="51"/>
      <c r="N56" s="51"/>
      <c r="O56" s="50"/>
      <c r="P56" s="50"/>
      <c r="Q56" s="52"/>
      <c r="R56" s="50"/>
      <c r="S56" s="50"/>
      <c r="T56" s="50"/>
      <c r="U56" s="50"/>
      <c r="V56" s="50"/>
      <c r="W56" s="50"/>
      <c r="X56" s="50"/>
      <c r="Y56" s="50"/>
      <c r="Z56" s="54"/>
      <c r="AA56" s="50"/>
      <c r="AB56" s="51"/>
      <c r="AC56" s="52"/>
      <c r="AD56" s="55">
        <f t="shared" si="0"/>
        <v>0</v>
      </c>
    </row>
    <row r="57" spans="1:30" x14ac:dyDescent="0.2">
      <c r="A57" s="48"/>
      <c r="B57" s="48"/>
      <c r="C57" s="49"/>
      <c r="D57" s="50"/>
      <c r="E57" s="51"/>
      <c r="F57" s="52"/>
      <c r="G57" s="47"/>
      <c r="H57" s="47"/>
      <c r="I57" s="50"/>
      <c r="J57" s="53"/>
      <c r="K57" s="50"/>
      <c r="L57" s="47"/>
      <c r="M57" s="51"/>
      <c r="N57" s="51"/>
      <c r="O57" s="50"/>
      <c r="P57" s="50"/>
      <c r="Q57" s="52"/>
      <c r="R57" s="50"/>
      <c r="S57" s="50"/>
      <c r="T57" s="50"/>
      <c r="U57" s="50"/>
      <c r="V57" s="50"/>
      <c r="W57" s="50"/>
      <c r="X57" s="50"/>
      <c r="Y57" s="50"/>
      <c r="Z57" s="54"/>
      <c r="AA57" s="50"/>
      <c r="AB57" s="51"/>
      <c r="AC57" s="52"/>
      <c r="AD57" s="55">
        <f t="shared" si="0"/>
        <v>0</v>
      </c>
    </row>
    <row r="58" spans="1:30" x14ac:dyDescent="0.2">
      <c r="A58" s="48"/>
      <c r="B58" s="48"/>
      <c r="C58" s="49"/>
      <c r="D58" s="50"/>
      <c r="E58" s="51"/>
      <c r="F58" s="52"/>
      <c r="G58" s="47"/>
      <c r="H58" s="47"/>
      <c r="I58" s="50"/>
      <c r="J58" s="53"/>
      <c r="K58" s="50"/>
      <c r="L58" s="47"/>
      <c r="M58" s="51"/>
      <c r="N58" s="51"/>
      <c r="O58" s="50"/>
      <c r="P58" s="50"/>
      <c r="Q58" s="52"/>
      <c r="R58" s="50"/>
      <c r="S58" s="50"/>
      <c r="T58" s="50"/>
      <c r="U58" s="50"/>
      <c r="V58" s="50"/>
      <c r="W58" s="50"/>
      <c r="X58" s="50"/>
      <c r="Y58" s="50"/>
      <c r="Z58" s="54"/>
      <c r="AA58" s="50"/>
      <c r="AB58" s="51"/>
      <c r="AC58" s="52"/>
      <c r="AD58" s="55">
        <f t="shared" si="0"/>
        <v>0</v>
      </c>
    </row>
    <row r="59" spans="1:30" x14ac:dyDescent="0.2">
      <c r="A59" s="48"/>
      <c r="B59" s="48"/>
      <c r="C59" s="49"/>
      <c r="D59" s="50"/>
      <c r="E59" s="51"/>
      <c r="F59" s="52"/>
      <c r="G59" s="47"/>
      <c r="H59" s="47"/>
      <c r="I59" s="50"/>
      <c r="J59" s="53"/>
      <c r="K59" s="50"/>
      <c r="L59" s="47"/>
      <c r="M59" s="51"/>
      <c r="N59" s="51"/>
      <c r="O59" s="50"/>
      <c r="P59" s="50"/>
      <c r="Q59" s="52"/>
      <c r="R59" s="50"/>
      <c r="S59" s="50"/>
      <c r="T59" s="50"/>
      <c r="U59" s="50"/>
      <c r="V59" s="50"/>
      <c r="W59" s="50"/>
      <c r="X59" s="50"/>
      <c r="Y59" s="50"/>
      <c r="Z59" s="54"/>
      <c r="AA59" s="50"/>
      <c r="AB59" s="51"/>
      <c r="AC59" s="52"/>
      <c r="AD59" s="55">
        <f t="shared" si="0"/>
        <v>0</v>
      </c>
    </row>
    <row r="60" spans="1:30" x14ac:dyDescent="0.2">
      <c r="A60" s="48"/>
      <c r="B60" s="48"/>
      <c r="C60" s="49"/>
      <c r="D60" s="50"/>
      <c r="E60" s="51"/>
      <c r="F60" s="52"/>
      <c r="G60" s="47"/>
      <c r="H60" s="47"/>
      <c r="I60" s="50"/>
      <c r="J60" s="53"/>
      <c r="K60" s="50"/>
      <c r="L60" s="47"/>
      <c r="M60" s="51"/>
      <c r="N60" s="51"/>
      <c r="O60" s="50"/>
      <c r="P60" s="50"/>
      <c r="Q60" s="52"/>
      <c r="R60" s="50"/>
      <c r="S60" s="50"/>
      <c r="T60" s="50"/>
      <c r="U60" s="50"/>
      <c r="V60" s="50"/>
      <c r="W60" s="50"/>
      <c r="X60" s="50"/>
      <c r="Y60" s="50"/>
      <c r="Z60" s="54"/>
      <c r="AA60" s="50"/>
      <c r="AB60" s="51"/>
      <c r="AC60" s="52"/>
      <c r="AD60" s="55">
        <f t="shared" si="0"/>
        <v>0</v>
      </c>
    </row>
    <row r="61" spans="1:30" x14ac:dyDescent="0.2">
      <c r="A61" s="48"/>
      <c r="B61" s="48"/>
      <c r="C61" s="49"/>
      <c r="D61" s="50"/>
      <c r="E61" s="51"/>
      <c r="F61" s="52"/>
      <c r="G61" s="47"/>
      <c r="H61" s="47"/>
      <c r="I61" s="50"/>
      <c r="J61" s="53"/>
      <c r="K61" s="50"/>
      <c r="L61" s="47"/>
      <c r="M61" s="51"/>
      <c r="N61" s="51"/>
      <c r="O61" s="50"/>
      <c r="P61" s="50"/>
      <c r="Q61" s="52"/>
      <c r="R61" s="50"/>
      <c r="S61" s="50"/>
      <c r="T61" s="50"/>
      <c r="U61" s="50"/>
      <c r="V61" s="50"/>
      <c r="W61" s="50"/>
      <c r="X61" s="50"/>
      <c r="Y61" s="50"/>
      <c r="Z61" s="54"/>
      <c r="AA61" s="50"/>
      <c r="AB61" s="51"/>
      <c r="AC61" s="52"/>
      <c r="AD61" s="55">
        <f t="shared" si="0"/>
        <v>0</v>
      </c>
    </row>
  </sheetData>
  <mergeCells count="6">
    <mergeCell ref="D3:F3"/>
    <mergeCell ref="A1:AD2"/>
    <mergeCell ref="U5:Y5"/>
    <mergeCell ref="AD4:AD5"/>
    <mergeCell ref="AF5:AG5"/>
    <mergeCell ref="AF3:AG4"/>
  </mergeCells>
  <phoneticPr fontId="2" type="noConversion"/>
  <conditionalFormatting sqref="AA7:AA61">
    <cfRule type="expression" dxfId="23" priority="7">
      <formula>AND(NOT(ISBLANK(Z7)),ISBLANK(AA7))</formula>
    </cfRule>
  </conditionalFormatting>
  <conditionalFormatting sqref="AD4:AD5">
    <cfRule type="cellIs" dxfId="22" priority="1" operator="greaterThan">
      <formula>0</formula>
    </cfRule>
  </conditionalFormatting>
  <conditionalFormatting sqref="AD7:AD61">
    <cfRule type="cellIs" dxfId="21" priority="13" operator="lessThan">
      <formula>0</formula>
    </cfRule>
  </conditionalFormatting>
  <conditionalFormatting sqref="AF5:AG5">
    <cfRule type="cellIs" dxfId="20" priority="2" operator="lessThan">
      <formula>0</formula>
    </cfRule>
  </conditionalFormatting>
  <dataValidations count="1">
    <dataValidation type="list" allowBlank="1" showInputMessage="1" showErrorMessage="1" sqref="AA7:AA61" xr:uid="{A4A0E181-F283-4DFF-98A8-94DFA9B92AAB}">
      <formula1>"Approved, Completed, Not Approved, Cancelled"</formula1>
    </dataValidation>
  </dataValidations>
  <pageMargins left="0.25" right="0.25" top="0.75" bottom="0.75" header="0.3" footer="0.3"/>
  <pageSetup paperSize="124" scale="18" orientation="landscape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626B-C77D-4B45-908E-12834986F8A9}">
  <sheetPr>
    <pageSetUpPr fitToPage="1"/>
  </sheetPr>
  <dimension ref="A1:AG61"/>
  <sheetViews>
    <sheetView tabSelected="1" zoomScale="70" zoomScaleNormal="7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3" sqref="C3"/>
    </sheetView>
  </sheetViews>
  <sheetFormatPr defaultRowHeight="12.75" x14ac:dyDescent="0.2"/>
  <cols>
    <col min="1" max="1" width="17" style="7" customWidth="1"/>
    <col min="2" max="2" width="20.7109375" style="7" customWidth="1"/>
    <col min="3" max="3" width="15.5703125" style="7" customWidth="1"/>
    <col min="4" max="4" width="13.140625" style="22" customWidth="1"/>
    <col min="5" max="5" width="14" style="7" customWidth="1"/>
    <col min="6" max="7" width="33.28515625" style="7" bestFit="1" customWidth="1"/>
    <col min="8" max="8" width="12.28515625" style="7" customWidth="1"/>
    <col min="9" max="9" width="62" style="7" bestFit="1" customWidth="1"/>
    <col min="10" max="10" width="27.7109375" style="7" customWidth="1"/>
    <col min="11" max="11" width="26.28515625" style="7" customWidth="1"/>
    <col min="12" max="12" width="9.140625" style="7"/>
    <col min="13" max="13" width="28.7109375" style="23" customWidth="1"/>
    <col min="14" max="14" width="29.5703125" style="7" customWidth="1"/>
    <col min="15" max="15" width="20.85546875" style="7" customWidth="1"/>
    <col min="16" max="16" width="15.140625" style="7" customWidth="1"/>
    <col min="17" max="17" width="13.7109375" style="7" customWidth="1"/>
    <col min="18" max="18" width="34.42578125" style="7" customWidth="1"/>
    <col min="19" max="19" width="24.5703125" style="7" customWidth="1"/>
    <col min="20" max="20" width="17.85546875" style="7" customWidth="1"/>
    <col min="21" max="21" width="23.7109375" style="7" customWidth="1"/>
    <col min="22" max="22" width="27.5703125" style="7" customWidth="1"/>
    <col min="23" max="23" width="24.85546875" style="7" customWidth="1"/>
    <col min="24" max="24" width="24" style="7" customWidth="1"/>
    <col min="25" max="25" width="22.85546875" style="7" customWidth="1"/>
    <col min="26" max="26" width="15.42578125" style="24" customWidth="1"/>
    <col min="27" max="27" width="26.42578125" style="7" customWidth="1"/>
    <col min="28" max="28" width="29.5703125" style="23" customWidth="1"/>
    <col min="29" max="29" width="19.7109375" style="7" customWidth="1"/>
    <col min="30" max="30" width="18.7109375" style="7" customWidth="1"/>
    <col min="31" max="31" width="9.140625" style="7"/>
    <col min="32" max="32" width="14" style="7" customWidth="1"/>
    <col min="33" max="33" width="12.42578125" style="7" bestFit="1" customWidth="1"/>
    <col min="34" max="16384" width="9.140625" style="7"/>
  </cols>
  <sheetData>
    <row r="1" spans="1:33" ht="28.5" customHeight="1" x14ac:dyDescent="0.2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1"/>
      <c r="AF1" s="1"/>
      <c r="AG1" s="1"/>
    </row>
    <row r="2" spans="1:33" ht="13.5" thickBo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1"/>
      <c r="AF2" s="1"/>
      <c r="AG2" s="1"/>
    </row>
    <row r="3" spans="1:33" ht="20.25" customHeight="1" x14ac:dyDescent="0.2">
      <c r="A3" s="56"/>
      <c r="B3" s="56" t="s">
        <v>1</v>
      </c>
      <c r="C3" s="57">
        <v>2026</v>
      </c>
      <c r="D3" s="76" t="s">
        <v>73</v>
      </c>
      <c r="E3" s="76"/>
      <c r="F3" s="76"/>
      <c r="G3" s="58" t="s">
        <v>74</v>
      </c>
      <c r="H3" s="13"/>
      <c r="I3" s="13"/>
      <c r="J3" s="13"/>
      <c r="K3" s="8"/>
      <c r="L3" s="9"/>
      <c r="M3" s="10"/>
      <c r="N3" s="11"/>
      <c r="O3" s="1"/>
      <c r="P3" s="12"/>
      <c r="Q3" s="5"/>
      <c r="R3" s="1"/>
      <c r="S3" s="1"/>
      <c r="T3" s="1"/>
      <c r="U3" s="1"/>
      <c r="V3" s="1"/>
      <c r="W3" s="1"/>
      <c r="X3" s="1"/>
      <c r="Y3" s="2"/>
      <c r="Z3" s="3"/>
      <c r="AA3" s="1"/>
      <c r="AB3" s="4"/>
      <c r="AC3" s="5"/>
      <c r="AD3" s="6"/>
      <c r="AE3" s="1"/>
      <c r="AF3" s="72" t="s">
        <v>4</v>
      </c>
      <c r="AG3" s="73"/>
    </row>
    <row r="4" spans="1:33" ht="15" customHeight="1" x14ac:dyDescent="0.2">
      <c r="A4" s="1"/>
      <c r="B4" s="14"/>
      <c r="C4" s="15"/>
      <c r="D4" s="16"/>
      <c r="E4" s="5"/>
      <c r="F4" s="1"/>
      <c r="G4" s="1"/>
      <c r="H4" s="1"/>
      <c r="I4" s="1"/>
      <c r="J4" s="1"/>
      <c r="K4" s="1"/>
      <c r="L4" s="17"/>
      <c r="M4" s="18"/>
      <c r="N4" s="11"/>
      <c r="O4" s="1"/>
      <c r="P4" s="12"/>
      <c r="Q4" s="5"/>
      <c r="R4" s="1"/>
      <c r="S4" s="1"/>
      <c r="T4" s="1"/>
      <c r="U4" s="1"/>
      <c r="V4" s="1"/>
      <c r="W4" s="1"/>
      <c r="X4" s="1"/>
      <c r="Y4" s="2"/>
      <c r="Z4" s="3"/>
      <c r="AA4" s="1"/>
      <c r="AB4" s="4"/>
      <c r="AC4" s="5"/>
      <c r="AD4" s="68" t="e">
        <f>SMALL(Table13[Remaining Funds Calculation],COUNTIF(Table13[Remaining Funds Calculation],0)+1)</f>
        <v>#NUM!</v>
      </c>
      <c r="AE4" s="1"/>
      <c r="AF4" s="74"/>
      <c r="AG4" s="75"/>
    </row>
    <row r="5" spans="1:33" ht="15" customHeight="1" thickBot="1" x14ac:dyDescent="0.25">
      <c r="A5" s="26" t="s">
        <v>5</v>
      </c>
      <c r="B5" s="37"/>
      <c r="C5" s="38"/>
      <c r="D5" s="38"/>
      <c r="F5" s="19"/>
      <c r="G5" s="19"/>
      <c r="H5" s="19"/>
      <c r="I5" s="19"/>
      <c r="J5" s="19"/>
      <c r="K5" s="25" t="s">
        <v>6</v>
      </c>
      <c r="L5" s="17"/>
      <c r="M5" s="18"/>
      <c r="N5" s="11"/>
      <c r="O5" s="1"/>
      <c r="P5" s="12"/>
      <c r="Q5" s="5"/>
      <c r="R5" s="1"/>
      <c r="S5" s="1"/>
      <c r="T5" s="1"/>
      <c r="U5" s="65" t="s">
        <v>7</v>
      </c>
      <c r="V5" s="66"/>
      <c r="W5" s="66"/>
      <c r="X5" s="66"/>
      <c r="Y5" s="67"/>
      <c r="Z5" s="3"/>
      <c r="AA5" s="1"/>
      <c r="AB5" s="4"/>
      <c r="AC5" s="5"/>
      <c r="AD5" s="69"/>
      <c r="AE5" s="1"/>
      <c r="AF5" s="70">
        <f>AG6-SUMIF(AA7:AA61,"&lt;&gt;Cancelled", Z7:Z61)</f>
        <v>0</v>
      </c>
      <c r="AG5" s="71"/>
    </row>
    <row r="6" spans="1:33" s="45" customFormat="1" ht="38.25" x14ac:dyDescent="0.25">
      <c r="A6" s="27" t="s">
        <v>8</v>
      </c>
      <c r="B6" s="27" t="s">
        <v>9</v>
      </c>
      <c r="C6" s="39" t="s">
        <v>10</v>
      </c>
      <c r="D6" s="40" t="s">
        <v>11</v>
      </c>
      <c r="E6" s="46" t="s">
        <v>12</v>
      </c>
      <c r="F6" s="41" t="s">
        <v>13</v>
      </c>
      <c r="G6" s="28" t="s">
        <v>14</v>
      </c>
      <c r="H6" s="28" t="s">
        <v>15</v>
      </c>
      <c r="I6" s="28" t="s">
        <v>16</v>
      </c>
      <c r="J6" s="28" t="s">
        <v>17</v>
      </c>
      <c r="K6" s="29" t="s">
        <v>18</v>
      </c>
      <c r="L6" s="30" t="s">
        <v>19</v>
      </c>
      <c r="M6" s="31" t="s">
        <v>20</v>
      </c>
      <c r="N6" s="31" t="s">
        <v>21</v>
      </c>
      <c r="O6" s="29" t="s">
        <v>22</v>
      </c>
      <c r="P6" s="32" t="s">
        <v>23</v>
      </c>
      <c r="Q6" s="33" t="s">
        <v>24</v>
      </c>
      <c r="R6" s="29" t="s">
        <v>25</v>
      </c>
      <c r="S6" s="29" t="s">
        <v>26</v>
      </c>
      <c r="T6" s="29" t="s">
        <v>27</v>
      </c>
      <c r="U6" s="29" t="s">
        <v>28</v>
      </c>
      <c r="V6" s="29" t="s">
        <v>29</v>
      </c>
      <c r="W6" s="29" t="s">
        <v>30</v>
      </c>
      <c r="X6" s="29" t="s">
        <v>31</v>
      </c>
      <c r="Y6" s="34" t="s">
        <v>32</v>
      </c>
      <c r="Z6" s="35" t="s">
        <v>33</v>
      </c>
      <c r="AA6" s="29" t="s">
        <v>34</v>
      </c>
      <c r="AB6" s="32" t="s">
        <v>35</v>
      </c>
      <c r="AC6" s="33" t="s">
        <v>36</v>
      </c>
      <c r="AD6" s="36" t="s">
        <v>37</v>
      </c>
      <c r="AE6" s="42"/>
      <c r="AF6" s="43" t="s">
        <v>38</v>
      </c>
      <c r="AG6" s="44">
        <f>SUM(AG7:AG13)</f>
        <v>0</v>
      </c>
    </row>
    <row r="7" spans="1:33" x14ac:dyDescent="0.2">
      <c r="A7" s="48"/>
      <c r="B7" s="48"/>
      <c r="C7" s="49"/>
      <c r="D7" s="50"/>
      <c r="E7" s="51"/>
      <c r="F7" s="52"/>
      <c r="G7" s="47"/>
      <c r="H7" s="47"/>
      <c r="I7" s="50"/>
      <c r="J7" s="53"/>
      <c r="K7" s="50"/>
      <c r="L7" s="47"/>
      <c r="M7" s="51"/>
      <c r="N7" s="51"/>
      <c r="O7" s="50"/>
      <c r="P7" s="50"/>
      <c r="Q7" s="52"/>
      <c r="R7" s="50"/>
      <c r="S7" s="50"/>
      <c r="T7" s="50"/>
      <c r="U7" s="50"/>
      <c r="V7" s="50"/>
      <c r="W7" s="50"/>
      <c r="X7" s="50"/>
      <c r="Y7" s="50"/>
      <c r="Z7" s="54"/>
      <c r="AA7" s="50"/>
      <c r="AB7" s="51"/>
      <c r="AC7" s="52"/>
      <c r="AD7" s="55">
        <f>IF(OR(AA7="Not Approved",AA7="Cancelled"), AG6, AG6-Z7)</f>
        <v>0</v>
      </c>
      <c r="AF7" s="59" t="s">
        <v>75</v>
      </c>
      <c r="AG7" s="60"/>
    </row>
    <row r="8" spans="1:33" x14ac:dyDescent="0.2">
      <c r="A8" s="48"/>
      <c r="B8" s="48"/>
      <c r="C8" s="49"/>
      <c r="D8" s="50"/>
      <c r="E8" s="51"/>
      <c r="F8" s="52"/>
      <c r="G8" s="47"/>
      <c r="H8" s="47"/>
      <c r="I8" s="50"/>
      <c r="J8" s="53"/>
      <c r="K8" s="50"/>
      <c r="L8" s="47"/>
      <c r="M8" s="51"/>
      <c r="N8" s="51"/>
      <c r="O8" s="50"/>
      <c r="P8" s="50"/>
      <c r="Q8" s="52"/>
      <c r="R8" s="50"/>
      <c r="S8" s="50"/>
      <c r="T8" s="50"/>
      <c r="U8" s="50"/>
      <c r="V8" s="50"/>
      <c r="W8" s="50"/>
      <c r="X8" s="50"/>
      <c r="Y8" s="50"/>
      <c r="Z8" s="54"/>
      <c r="AA8" s="50"/>
      <c r="AB8" s="51"/>
      <c r="AC8" s="52"/>
      <c r="AD8" s="55">
        <f>IF(ISBLANK(Z8), ,(IF(OR(AA8="Not Approved",AA8="Cancelled"), AD7, AD7-Z8)))</f>
        <v>0</v>
      </c>
      <c r="AF8" s="59"/>
      <c r="AG8" s="60"/>
    </row>
    <row r="9" spans="1:33" x14ac:dyDescent="0.2">
      <c r="A9" s="48"/>
      <c r="B9" s="48"/>
      <c r="C9" s="49"/>
      <c r="D9" s="50"/>
      <c r="E9" s="51"/>
      <c r="F9" s="52"/>
      <c r="G9" s="47"/>
      <c r="H9" s="47"/>
      <c r="I9" s="50"/>
      <c r="J9" s="53"/>
      <c r="K9" s="50"/>
      <c r="L9" s="47"/>
      <c r="M9" s="51"/>
      <c r="N9" s="51"/>
      <c r="O9" s="50"/>
      <c r="P9" s="50"/>
      <c r="Q9" s="52"/>
      <c r="R9" s="50"/>
      <c r="S9" s="50"/>
      <c r="T9" s="50"/>
      <c r="U9" s="50"/>
      <c r="V9" s="50"/>
      <c r="W9" s="50"/>
      <c r="X9" s="50"/>
      <c r="Y9" s="50"/>
      <c r="Z9" s="54"/>
      <c r="AA9" s="50"/>
      <c r="AB9" s="51"/>
      <c r="AC9" s="52"/>
      <c r="AD9" s="55">
        <f t="shared" ref="AD9:AD61" si="0">IF(ISBLANK(Z9), ,(IF(OR(AA9="Not Approved",AA9="Cancelled"), AD8, AD8-Z9)))</f>
        <v>0</v>
      </c>
      <c r="AF9" s="21"/>
      <c r="AG9" s="20"/>
    </row>
    <row r="10" spans="1:33" x14ac:dyDescent="0.2">
      <c r="A10" s="48"/>
      <c r="B10" s="48"/>
      <c r="C10" s="49"/>
      <c r="D10" s="50"/>
      <c r="E10" s="51"/>
      <c r="F10" s="52"/>
      <c r="G10" s="47"/>
      <c r="H10" s="47"/>
      <c r="I10" s="50"/>
      <c r="J10" s="53"/>
      <c r="K10" s="50"/>
      <c r="L10" s="47"/>
      <c r="M10" s="51"/>
      <c r="N10" s="51"/>
      <c r="O10" s="50"/>
      <c r="P10" s="50"/>
      <c r="Q10" s="52"/>
      <c r="R10" s="50"/>
      <c r="S10" s="50"/>
      <c r="T10" s="50"/>
      <c r="U10" s="50"/>
      <c r="V10" s="50"/>
      <c r="W10" s="50"/>
      <c r="X10" s="50"/>
      <c r="Y10" s="50"/>
      <c r="Z10" s="54"/>
      <c r="AA10" s="50"/>
      <c r="AB10" s="51"/>
      <c r="AC10" s="52"/>
      <c r="AD10" s="55">
        <f t="shared" si="0"/>
        <v>0</v>
      </c>
      <c r="AF10" s="21"/>
      <c r="AG10" s="20"/>
    </row>
    <row r="11" spans="1:33" x14ac:dyDescent="0.2">
      <c r="A11" s="48"/>
      <c r="B11" s="48"/>
      <c r="C11" s="49"/>
      <c r="D11" s="50"/>
      <c r="E11" s="51"/>
      <c r="F11" s="52"/>
      <c r="G11" s="47"/>
      <c r="H11" s="47"/>
      <c r="I11" s="50"/>
      <c r="J11" s="53"/>
      <c r="K11" s="50"/>
      <c r="L11" s="47"/>
      <c r="M11" s="51"/>
      <c r="N11" s="51"/>
      <c r="O11" s="50"/>
      <c r="P11" s="50"/>
      <c r="Q11" s="52"/>
      <c r="R11" s="50"/>
      <c r="S11" s="50"/>
      <c r="T11" s="50"/>
      <c r="U11" s="50"/>
      <c r="V11" s="50"/>
      <c r="W11" s="50"/>
      <c r="X11" s="50"/>
      <c r="Y11" s="50"/>
      <c r="Z11" s="54"/>
      <c r="AA11" s="50"/>
      <c r="AB11" s="51"/>
      <c r="AC11" s="52"/>
      <c r="AD11" s="55">
        <f t="shared" si="0"/>
        <v>0</v>
      </c>
      <c r="AF11" s="21"/>
      <c r="AG11" s="20"/>
    </row>
    <row r="12" spans="1:33" x14ac:dyDescent="0.2">
      <c r="A12" s="48"/>
      <c r="B12" s="48"/>
      <c r="C12" s="49"/>
      <c r="D12" s="50"/>
      <c r="E12" s="51"/>
      <c r="F12" s="52"/>
      <c r="G12" s="47"/>
      <c r="H12" s="47"/>
      <c r="I12" s="50"/>
      <c r="J12" s="53"/>
      <c r="K12" s="50"/>
      <c r="L12" s="47"/>
      <c r="M12" s="51"/>
      <c r="N12" s="51"/>
      <c r="O12" s="50"/>
      <c r="P12" s="50"/>
      <c r="Q12" s="52"/>
      <c r="R12" s="50"/>
      <c r="S12" s="50"/>
      <c r="T12" s="50"/>
      <c r="U12" s="50"/>
      <c r="V12" s="50"/>
      <c r="W12" s="50"/>
      <c r="X12" s="50"/>
      <c r="Y12" s="50"/>
      <c r="Z12" s="54"/>
      <c r="AA12" s="50"/>
      <c r="AB12" s="51"/>
      <c r="AC12" s="52"/>
      <c r="AD12" s="55">
        <f t="shared" si="0"/>
        <v>0</v>
      </c>
      <c r="AF12" s="21"/>
      <c r="AG12" s="20"/>
    </row>
    <row r="13" spans="1:33" x14ac:dyDescent="0.2">
      <c r="A13" s="48"/>
      <c r="B13" s="48"/>
      <c r="C13" s="49"/>
      <c r="D13" s="50"/>
      <c r="E13" s="51"/>
      <c r="F13" s="52"/>
      <c r="G13" s="47"/>
      <c r="H13" s="47"/>
      <c r="I13" s="50"/>
      <c r="J13" s="53"/>
      <c r="K13" s="50"/>
      <c r="L13" s="47"/>
      <c r="M13" s="51"/>
      <c r="N13" s="51"/>
      <c r="O13" s="50"/>
      <c r="P13" s="50"/>
      <c r="Q13" s="52"/>
      <c r="R13" s="50"/>
      <c r="S13" s="50"/>
      <c r="T13" s="50"/>
      <c r="U13" s="50"/>
      <c r="V13" s="50"/>
      <c r="W13" s="50"/>
      <c r="X13" s="50"/>
      <c r="Y13" s="50"/>
      <c r="Z13" s="54"/>
      <c r="AA13" s="50"/>
      <c r="AB13" s="51"/>
      <c r="AC13" s="52"/>
      <c r="AD13" s="55">
        <f t="shared" si="0"/>
        <v>0</v>
      </c>
      <c r="AF13" s="21"/>
      <c r="AG13" s="20"/>
    </row>
    <row r="14" spans="1:33" x14ac:dyDescent="0.2">
      <c r="A14" s="48"/>
      <c r="B14" s="48"/>
      <c r="C14" s="49"/>
      <c r="D14" s="50"/>
      <c r="E14" s="51"/>
      <c r="F14" s="52"/>
      <c r="G14" s="47"/>
      <c r="H14" s="47"/>
      <c r="I14" s="50"/>
      <c r="J14" s="53"/>
      <c r="K14" s="50"/>
      <c r="L14" s="47"/>
      <c r="M14" s="51"/>
      <c r="N14" s="51"/>
      <c r="O14" s="50"/>
      <c r="P14" s="50"/>
      <c r="Q14" s="52"/>
      <c r="R14" s="50"/>
      <c r="S14" s="50"/>
      <c r="T14" s="50"/>
      <c r="U14" s="50"/>
      <c r="V14" s="50"/>
      <c r="W14" s="50"/>
      <c r="X14" s="50"/>
      <c r="Y14" s="50"/>
      <c r="Z14" s="54"/>
      <c r="AA14" s="50"/>
      <c r="AB14" s="51"/>
      <c r="AC14" s="52"/>
      <c r="AD14" s="55">
        <f t="shared" si="0"/>
        <v>0</v>
      </c>
    </row>
    <row r="15" spans="1:33" x14ac:dyDescent="0.2">
      <c r="A15" s="48"/>
      <c r="B15" s="48"/>
      <c r="C15" s="49"/>
      <c r="D15" s="50"/>
      <c r="E15" s="51"/>
      <c r="F15" s="52"/>
      <c r="G15" s="47"/>
      <c r="H15" s="47"/>
      <c r="I15" s="50"/>
      <c r="J15" s="53"/>
      <c r="K15" s="50"/>
      <c r="L15" s="47"/>
      <c r="M15" s="51"/>
      <c r="N15" s="51"/>
      <c r="O15" s="50"/>
      <c r="P15" s="50"/>
      <c r="Q15" s="52"/>
      <c r="R15" s="50"/>
      <c r="S15" s="50"/>
      <c r="T15" s="50"/>
      <c r="U15" s="50"/>
      <c r="V15" s="50"/>
      <c r="W15" s="50"/>
      <c r="X15" s="50"/>
      <c r="Y15" s="50"/>
      <c r="Z15" s="54"/>
      <c r="AA15" s="50"/>
      <c r="AB15" s="51"/>
      <c r="AC15" s="52"/>
      <c r="AD15" s="55">
        <f t="shared" si="0"/>
        <v>0</v>
      </c>
    </row>
    <row r="16" spans="1:33" x14ac:dyDescent="0.2">
      <c r="A16" s="48"/>
      <c r="B16" s="48"/>
      <c r="C16" s="49"/>
      <c r="D16" s="50"/>
      <c r="E16" s="51"/>
      <c r="F16" s="52"/>
      <c r="G16" s="47"/>
      <c r="H16" s="47"/>
      <c r="I16" s="50"/>
      <c r="J16" s="53"/>
      <c r="K16" s="50"/>
      <c r="L16" s="47"/>
      <c r="M16" s="51"/>
      <c r="N16" s="51"/>
      <c r="O16" s="50"/>
      <c r="P16" s="50"/>
      <c r="Q16" s="52"/>
      <c r="R16" s="50"/>
      <c r="S16" s="50"/>
      <c r="T16" s="50"/>
      <c r="U16" s="50"/>
      <c r="V16" s="50"/>
      <c r="W16" s="50"/>
      <c r="X16" s="50"/>
      <c r="Y16" s="50"/>
      <c r="Z16" s="54"/>
      <c r="AA16" s="50"/>
      <c r="AB16" s="51"/>
      <c r="AC16" s="52"/>
      <c r="AD16" s="55">
        <f t="shared" si="0"/>
        <v>0</v>
      </c>
    </row>
    <row r="17" spans="1:30" x14ac:dyDescent="0.2">
      <c r="A17" s="48"/>
      <c r="B17" s="48"/>
      <c r="C17" s="49"/>
      <c r="D17" s="50"/>
      <c r="E17" s="51"/>
      <c r="F17" s="52"/>
      <c r="G17" s="47"/>
      <c r="H17" s="47"/>
      <c r="I17" s="50"/>
      <c r="J17" s="53"/>
      <c r="K17" s="50"/>
      <c r="L17" s="47"/>
      <c r="M17" s="51"/>
      <c r="N17" s="51"/>
      <c r="O17" s="50"/>
      <c r="P17" s="50"/>
      <c r="Q17" s="52"/>
      <c r="R17" s="50"/>
      <c r="S17" s="50"/>
      <c r="T17" s="50"/>
      <c r="U17" s="50"/>
      <c r="V17" s="50"/>
      <c r="W17" s="50"/>
      <c r="X17" s="50"/>
      <c r="Y17" s="50"/>
      <c r="Z17" s="54"/>
      <c r="AA17" s="50"/>
      <c r="AB17" s="51"/>
      <c r="AC17" s="52"/>
      <c r="AD17" s="55">
        <f t="shared" si="0"/>
        <v>0</v>
      </c>
    </row>
    <row r="18" spans="1:30" x14ac:dyDescent="0.2">
      <c r="A18" s="48"/>
      <c r="B18" s="48"/>
      <c r="C18" s="49"/>
      <c r="D18" s="50"/>
      <c r="E18" s="51"/>
      <c r="F18" s="52"/>
      <c r="G18" s="47"/>
      <c r="H18" s="47"/>
      <c r="I18" s="50"/>
      <c r="J18" s="53"/>
      <c r="K18" s="50"/>
      <c r="L18" s="47"/>
      <c r="M18" s="51"/>
      <c r="N18" s="51"/>
      <c r="O18" s="50"/>
      <c r="P18" s="50"/>
      <c r="Q18" s="52"/>
      <c r="R18" s="50"/>
      <c r="S18" s="50"/>
      <c r="T18" s="50"/>
      <c r="U18" s="50"/>
      <c r="V18" s="50"/>
      <c r="W18" s="50"/>
      <c r="X18" s="50"/>
      <c r="Y18" s="50"/>
      <c r="Z18" s="54"/>
      <c r="AA18" s="50"/>
      <c r="AB18" s="51"/>
      <c r="AC18" s="52"/>
      <c r="AD18" s="55">
        <f t="shared" si="0"/>
        <v>0</v>
      </c>
    </row>
    <row r="19" spans="1:30" x14ac:dyDescent="0.2">
      <c r="A19" s="48"/>
      <c r="B19" s="48"/>
      <c r="C19" s="49"/>
      <c r="D19" s="50"/>
      <c r="E19" s="51"/>
      <c r="F19" s="52"/>
      <c r="G19" s="47"/>
      <c r="H19" s="47"/>
      <c r="I19" s="50"/>
      <c r="J19" s="53"/>
      <c r="K19" s="50"/>
      <c r="L19" s="47"/>
      <c r="M19" s="51"/>
      <c r="N19" s="51"/>
      <c r="O19" s="50"/>
      <c r="P19" s="50"/>
      <c r="Q19" s="52"/>
      <c r="R19" s="50"/>
      <c r="S19" s="50"/>
      <c r="T19" s="50"/>
      <c r="U19" s="50"/>
      <c r="V19" s="50"/>
      <c r="W19" s="50"/>
      <c r="X19" s="50"/>
      <c r="Y19" s="50"/>
      <c r="Z19" s="54"/>
      <c r="AA19" s="50"/>
      <c r="AB19" s="51"/>
      <c r="AC19" s="52"/>
      <c r="AD19" s="55">
        <f t="shared" si="0"/>
        <v>0</v>
      </c>
    </row>
    <row r="20" spans="1:30" x14ac:dyDescent="0.2">
      <c r="A20" s="48"/>
      <c r="B20" s="48"/>
      <c r="C20" s="49"/>
      <c r="D20" s="50"/>
      <c r="E20" s="51"/>
      <c r="F20" s="52"/>
      <c r="G20" s="47"/>
      <c r="H20" s="47"/>
      <c r="I20" s="50"/>
      <c r="J20" s="53"/>
      <c r="K20" s="50"/>
      <c r="L20" s="47"/>
      <c r="M20" s="51"/>
      <c r="N20" s="51"/>
      <c r="O20" s="50"/>
      <c r="P20" s="50"/>
      <c r="Q20" s="52"/>
      <c r="R20" s="50"/>
      <c r="S20" s="50"/>
      <c r="T20" s="50"/>
      <c r="U20" s="50"/>
      <c r="V20" s="50"/>
      <c r="W20" s="50"/>
      <c r="X20" s="50"/>
      <c r="Y20" s="50"/>
      <c r="Z20" s="54"/>
      <c r="AA20" s="50"/>
      <c r="AB20" s="51"/>
      <c r="AC20" s="52"/>
      <c r="AD20" s="55">
        <f t="shared" si="0"/>
        <v>0</v>
      </c>
    </row>
    <row r="21" spans="1:30" x14ac:dyDescent="0.2">
      <c r="A21" s="48"/>
      <c r="B21" s="48"/>
      <c r="C21" s="49"/>
      <c r="D21" s="50"/>
      <c r="E21" s="51"/>
      <c r="F21" s="52"/>
      <c r="G21" s="47"/>
      <c r="H21" s="47"/>
      <c r="I21" s="50"/>
      <c r="J21" s="53"/>
      <c r="K21" s="50"/>
      <c r="L21" s="47"/>
      <c r="M21" s="51"/>
      <c r="N21" s="51"/>
      <c r="O21" s="50"/>
      <c r="P21" s="50"/>
      <c r="Q21" s="52"/>
      <c r="R21" s="50"/>
      <c r="S21" s="50"/>
      <c r="T21" s="50"/>
      <c r="U21" s="50"/>
      <c r="V21" s="50"/>
      <c r="W21" s="50"/>
      <c r="X21" s="50"/>
      <c r="Y21" s="50"/>
      <c r="Z21" s="54"/>
      <c r="AA21" s="50"/>
      <c r="AB21" s="51"/>
      <c r="AC21" s="52"/>
      <c r="AD21" s="55">
        <f t="shared" si="0"/>
        <v>0</v>
      </c>
    </row>
    <row r="22" spans="1:30" x14ac:dyDescent="0.2">
      <c r="A22" s="48"/>
      <c r="B22" s="48"/>
      <c r="C22" s="49"/>
      <c r="D22" s="50"/>
      <c r="E22" s="51"/>
      <c r="F22" s="52"/>
      <c r="G22" s="47"/>
      <c r="H22" s="47"/>
      <c r="I22" s="50"/>
      <c r="J22" s="53"/>
      <c r="K22" s="50"/>
      <c r="L22" s="47"/>
      <c r="M22" s="51"/>
      <c r="N22" s="51"/>
      <c r="O22" s="50"/>
      <c r="P22" s="50"/>
      <c r="Q22" s="52"/>
      <c r="R22" s="50"/>
      <c r="S22" s="50"/>
      <c r="T22" s="50"/>
      <c r="U22" s="50"/>
      <c r="V22" s="50"/>
      <c r="W22" s="50"/>
      <c r="X22" s="50"/>
      <c r="Y22" s="50"/>
      <c r="Z22" s="54"/>
      <c r="AA22" s="50"/>
      <c r="AB22" s="51"/>
      <c r="AC22" s="52"/>
      <c r="AD22" s="55">
        <f t="shared" si="0"/>
        <v>0</v>
      </c>
    </row>
    <row r="23" spans="1:30" x14ac:dyDescent="0.2">
      <c r="A23" s="48"/>
      <c r="B23" s="48"/>
      <c r="C23" s="49"/>
      <c r="D23" s="50"/>
      <c r="E23" s="51"/>
      <c r="F23" s="52"/>
      <c r="G23" s="47"/>
      <c r="H23" s="47"/>
      <c r="I23" s="50"/>
      <c r="J23" s="53"/>
      <c r="K23" s="50"/>
      <c r="L23" s="47"/>
      <c r="M23" s="51"/>
      <c r="N23" s="51"/>
      <c r="O23" s="50"/>
      <c r="P23" s="50"/>
      <c r="Q23" s="52"/>
      <c r="R23" s="50"/>
      <c r="S23" s="50"/>
      <c r="T23" s="50"/>
      <c r="U23" s="50"/>
      <c r="V23" s="50"/>
      <c r="W23" s="50"/>
      <c r="X23" s="50"/>
      <c r="Y23" s="50"/>
      <c r="Z23" s="54"/>
      <c r="AA23" s="50"/>
      <c r="AB23" s="51"/>
      <c r="AC23" s="52"/>
      <c r="AD23" s="55">
        <f t="shared" si="0"/>
        <v>0</v>
      </c>
    </row>
    <row r="24" spans="1:30" x14ac:dyDescent="0.2">
      <c r="A24" s="48"/>
      <c r="B24" s="48"/>
      <c r="C24" s="49"/>
      <c r="D24" s="50"/>
      <c r="E24" s="51"/>
      <c r="F24" s="52"/>
      <c r="G24" s="47"/>
      <c r="H24" s="47"/>
      <c r="I24" s="50"/>
      <c r="J24" s="53"/>
      <c r="K24" s="50"/>
      <c r="L24" s="47"/>
      <c r="M24" s="51"/>
      <c r="N24" s="51"/>
      <c r="O24" s="50"/>
      <c r="P24" s="50"/>
      <c r="Q24" s="52"/>
      <c r="R24" s="50"/>
      <c r="S24" s="50"/>
      <c r="T24" s="50"/>
      <c r="U24" s="50"/>
      <c r="V24" s="50"/>
      <c r="W24" s="50"/>
      <c r="X24" s="50"/>
      <c r="Y24" s="50"/>
      <c r="Z24" s="54"/>
      <c r="AA24" s="50"/>
      <c r="AB24" s="51"/>
      <c r="AC24" s="52"/>
      <c r="AD24" s="55">
        <f t="shared" si="0"/>
        <v>0</v>
      </c>
    </row>
    <row r="25" spans="1:30" x14ac:dyDescent="0.2">
      <c r="A25" s="48"/>
      <c r="B25" s="48"/>
      <c r="C25" s="49"/>
      <c r="D25" s="50"/>
      <c r="E25" s="51"/>
      <c r="F25" s="52"/>
      <c r="G25" s="47"/>
      <c r="H25" s="47"/>
      <c r="I25" s="50"/>
      <c r="J25" s="53"/>
      <c r="K25" s="50"/>
      <c r="L25" s="47"/>
      <c r="M25" s="51"/>
      <c r="N25" s="51"/>
      <c r="O25" s="50"/>
      <c r="P25" s="50"/>
      <c r="Q25" s="52"/>
      <c r="R25" s="50"/>
      <c r="S25" s="50"/>
      <c r="T25" s="50"/>
      <c r="U25" s="50"/>
      <c r="V25" s="50"/>
      <c r="W25" s="50"/>
      <c r="X25" s="50"/>
      <c r="Y25" s="50"/>
      <c r="Z25" s="54"/>
      <c r="AA25" s="50"/>
      <c r="AB25" s="51"/>
      <c r="AC25" s="52"/>
      <c r="AD25" s="55">
        <f t="shared" si="0"/>
        <v>0</v>
      </c>
    </row>
    <row r="26" spans="1:30" x14ac:dyDescent="0.2">
      <c r="A26" s="48"/>
      <c r="B26" s="48"/>
      <c r="C26" s="49"/>
      <c r="D26" s="50"/>
      <c r="E26" s="51"/>
      <c r="F26" s="52"/>
      <c r="G26" s="47"/>
      <c r="H26" s="47"/>
      <c r="I26" s="50"/>
      <c r="J26" s="53"/>
      <c r="K26" s="50"/>
      <c r="L26" s="47"/>
      <c r="M26" s="51"/>
      <c r="N26" s="51"/>
      <c r="O26" s="50"/>
      <c r="P26" s="50"/>
      <c r="Q26" s="52"/>
      <c r="R26" s="50"/>
      <c r="S26" s="50"/>
      <c r="T26" s="50"/>
      <c r="U26" s="50"/>
      <c r="V26" s="50"/>
      <c r="W26" s="50"/>
      <c r="X26" s="50"/>
      <c r="Y26" s="50"/>
      <c r="Z26" s="54"/>
      <c r="AA26" s="50"/>
      <c r="AB26" s="51"/>
      <c r="AC26" s="52"/>
      <c r="AD26" s="55">
        <f t="shared" si="0"/>
        <v>0</v>
      </c>
    </row>
    <row r="27" spans="1:30" x14ac:dyDescent="0.2">
      <c r="A27" s="48"/>
      <c r="B27" s="48"/>
      <c r="C27" s="49"/>
      <c r="D27" s="50"/>
      <c r="E27" s="51"/>
      <c r="F27" s="52"/>
      <c r="G27" s="47"/>
      <c r="H27" s="47"/>
      <c r="I27" s="50"/>
      <c r="J27" s="53"/>
      <c r="K27" s="50"/>
      <c r="L27" s="47"/>
      <c r="M27" s="51"/>
      <c r="N27" s="51"/>
      <c r="O27" s="50"/>
      <c r="P27" s="50"/>
      <c r="Q27" s="52"/>
      <c r="R27" s="50"/>
      <c r="S27" s="50"/>
      <c r="T27" s="50"/>
      <c r="U27" s="50"/>
      <c r="V27" s="50"/>
      <c r="W27" s="50"/>
      <c r="X27" s="50"/>
      <c r="Y27" s="50"/>
      <c r="Z27" s="54"/>
      <c r="AA27" s="50"/>
      <c r="AB27" s="51"/>
      <c r="AC27" s="52"/>
      <c r="AD27" s="55">
        <f t="shared" si="0"/>
        <v>0</v>
      </c>
    </row>
    <row r="28" spans="1:30" x14ac:dyDescent="0.2">
      <c r="A28" s="48"/>
      <c r="B28" s="48"/>
      <c r="C28" s="49"/>
      <c r="D28" s="50"/>
      <c r="E28" s="51"/>
      <c r="F28" s="52"/>
      <c r="G28" s="47"/>
      <c r="H28" s="47"/>
      <c r="I28" s="50"/>
      <c r="J28" s="53"/>
      <c r="K28" s="50"/>
      <c r="L28" s="47"/>
      <c r="M28" s="51"/>
      <c r="N28" s="51"/>
      <c r="O28" s="50"/>
      <c r="P28" s="50"/>
      <c r="Q28" s="52"/>
      <c r="R28" s="50"/>
      <c r="S28" s="50"/>
      <c r="T28" s="50"/>
      <c r="U28" s="50"/>
      <c r="V28" s="50"/>
      <c r="W28" s="50"/>
      <c r="X28" s="50"/>
      <c r="Y28" s="50"/>
      <c r="Z28" s="54"/>
      <c r="AA28" s="50"/>
      <c r="AB28" s="51"/>
      <c r="AC28" s="52"/>
      <c r="AD28" s="55">
        <f t="shared" si="0"/>
        <v>0</v>
      </c>
    </row>
    <row r="29" spans="1:30" x14ac:dyDescent="0.2">
      <c r="A29" s="48"/>
      <c r="B29" s="48"/>
      <c r="C29" s="49"/>
      <c r="D29" s="50"/>
      <c r="E29" s="51"/>
      <c r="F29" s="52"/>
      <c r="G29" s="47"/>
      <c r="H29" s="47"/>
      <c r="I29" s="50"/>
      <c r="J29" s="53"/>
      <c r="K29" s="50"/>
      <c r="L29" s="47"/>
      <c r="M29" s="51"/>
      <c r="N29" s="51"/>
      <c r="O29" s="50"/>
      <c r="P29" s="50"/>
      <c r="Q29" s="52"/>
      <c r="R29" s="50"/>
      <c r="S29" s="50"/>
      <c r="T29" s="50"/>
      <c r="U29" s="50"/>
      <c r="V29" s="50"/>
      <c r="W29" s="50"/>
      <c r="X29" s="50"/>
      <c r="Y29" s="50"/>
      <c r="Z29" s="54"/>
      <c r="AA29" s="50"/>
      <c r="AB29" s="51"/>
      <c r="AC29" s="52"/>
      <c r="AD29" s="55">
        <f t="shared" si="0"/>
        <v>0</v>
      </c>
    </row>
    <row r="30" spans="1:30" x14ac:dyDescent="0.2">
      <c r="A30" s="48"/>
      <c r="B30" s="48"/>
      <c r="C30" s="49"/>
      <c r="D30" s="50"/>
      <c r="E30" s="51"/>
      <c r="F30" s="52"/>
      <c r="G30" s="47"/>
      <c r="H30" s="47"/>
      <c r="I30" s="50"/>
      <c r="J30" s="53"/>
      <c r="K30" s="50"/>
      <c r="L30" s="47"/>
      <c r="M30" s="51"/>
      <c r="N30" s="51"/>
      <c r="O30" s="50"/>
      <c r="P30" s="50"/>
      <c r="Q30" s="52"/>
      <c r="R30" s="50"/>
      <c r="S30" s="50"/>
      <c r="T30" s="50"/>
      <c r="U30" s="50"/>
      <c r="V30" s="50"/>
      <c r="W30" s="50"/>
      <c r="X30" s="50"/>
      <c r="Y30" s="50"/>
      <c r="Z30" s="54"/>
      <c r="AA30" s="50"/>
      <c r="AB30" s="51"/>
      <c r="AC30" s="52"/>
      <c r="AD30" s="55">
        <f t="shared" si="0"/>
        <v>0</v>
      </c>
    </row>
    <row r="31" spans="1:30" x14ac:dyDescent="0.2">
      <c r="A31" s="48"/>
      <c r="B31" s="48"/>
      <c r="C31" s="49"/>
      <c r="D31" s="50"/>
      <c r="E31" s="51"/>
      <c r="F31" s="52"/>
      <c r="G31" s="47"/>
      <c r="H31" s="47"/>
      <c r="I31" s="50"/>
      <c r="J31" s="53"/>
      <c r="K31" s="50"/>
      <c r="L31" s="47"/>
      <c r="M31" s="51"/>
      <c r="N31" s="51"/>
      <c r="O31" s="50"/>
      <c r="P31" s="50"/>
      <c r="Q31" s="52"/>
      <c r="R31" s="50"/>
      <c r="S31" s="50"/>
      <c r="T31" s="50"/>
      <c r="U31" s="50"/>
      <c r="V31" s="50"/>
      <c r="W31" s="50"/>
      <c r="X31" s="50"/>
      <c r="Y31" s="50"/>
      <c r="Z31" s="54"/>
      <c r="AA31" s="50"/>
      <c r="AB31" s="51"/>
      <c r="AC31" s="52"/>
      <c r="AD31" s="55">
        <f t="shared" si="0"/>
        <v>0</v>
      </c>
    </row>
    <row r="32" spans="1:30" x14ac:dyDescent="0.2">
      <c r="A32" s="48"/>
      <c r="B32" s="48"/>
      <c r="C32" s="49"/>
      <c r="D32" s="50"/>
      <c r="E32" s="51"/>
      <c r="F32" s="52"/>
      <c r="G32" s="47"/>
      <c r="H32" s="47"/>
      <c r="I32" s="50"/>
      <c r="J32" s="53"/>
      <c r="K32" s="50"/>
      <c r="L32" s="47"/>
      <c r="M32" s="51"/>
      <c r="N32" s="51"/>
      <c r="O32" s="50"/>
      <c r="P32" s="50"/>
      <c r="Q32" s="52"/>
      <c r="R32" s="50"/>
      <c r="S32" s="50"/>
      <c r="T32" s="50"/>
      <c r="U32" s="50"/>
      <c r="V32" s="50"/>
      <c r="W32" s="50"/>
      <c r="X32" s="50"/>
      <c r="Y32" s="50"/>
      <c r="Z32" s="54"/>
      <c r="AA32" s="50"/>
      <c r="AB32" s="51"/>
      <c r="AC32" s="52"/>
      <c r="AD32" s="55">
        <f t="shared" si="0"/>
        <v>0</v>
      </c>
    </row>
    <row r="33" spans="1:30" x14ac:dyDescent="0.2">
      <c r="A33" s="48"/>
      <c r="B33" s="48"/>
      <c r="C33" s="49"/>
      <c r="D33" s="50"/>
      <c r="E33" s="51"/>
      <c r="F33" s="52"/>
      <c r="G33" s="47"/>
      <c r="H33" s="47"/>
      <c r="I33" s="50"/>
      <c r="J33" s="53"/>
      <c r="K33" s="50"/>
      <c r="L33" s="47"/>
      <c r="M33" s="51"/>
      <c r="N33" s="51"/>
      <c r="O33" s="50"/>
      <c r="P33" s="50"/>
      <c r="Q33" s="52"/>
      <c r="R33" s="50"/>
      <c r="S33" s="50"/>
      <c r="T33" s="50"/>
      <c r="U33" s="50"/>
      <c r="V33" s="50"/>
      <c r="W33" s="50"/>
      <c r="X33" s="50"/>
      <c r="Y33" s="50"/>
      <c r="Z33" s="54"/>
      <c r="AA33" s="50"/>
      <c r="AB33" s="51"/>
      <c r="AC33" s="52"/>
      <c r="AD33" s="55">
        <f t="shared" si="0"/>
        <v>0</v>
      </c>
    </row>
    <row r="34" spans="1:30" x14ac:dyDescent="0.2">
      <c r="A34" s="48"/>
      <c r="B34" s="48"/>
      <c r="C34" s="49"/>
      <c r="D34" s="50"/>
      <c r="E34" s="51"/>
      <c r="F34" s="52"/>
      <c r="G34" s="47"/>
      <c r="H34" s="47"/>
      <c r="I34" s="50"/>
      <c r="J34" s="53"/>
      <c r="K34" s="50"/>
      <c r="L34" s="47"/>
      <c r="M34" s="51"/>
      <c r="N34" s="51"/>
      <c r="O34" s="50"/>
      <c r="P34" s="50"/>
      <c r="Q34" s="52"/>
      <c r="R34" s="50"/>
      <c r="S34" s="50"/>
      <c r="T34" s="50"/>
      <c r="U34" s="50"/>
      <c r="V34" s="50"/>
      <c r="W34" s="50"/>
      <c r="X34" s="50"/>
      <c r="Y34" s="50"/>
      <c r="Z34" s="54"/>
      <c r="AA34" s="50"/>
      <c r="AB34" s="51"/>
      <c r="AC34" s="52"/>
      <c r="AD34" s="55">
        <f t="shared" si="0"/>
        <v>0</v>
      </c>
    </row>
    <row r="35" spans="1:30" x14ac:dyDescent="0.2">
      <c r="A35" s="48"/>
      <c r="B35" s="48"/>
      <c r="C35" s="49"/>
      <c r="D35" s="50"/>
      <c r="E35" s="51"/>
      <c r="F35" s="52"/>
      <c r="G35" s="47"/>
      <c r="H35" s="47"/>
      <c r="I35" s="50"/>
      <c r="J35" s="53"/>
      <c r="K35" s="50"/>
      <c r="L35" s="47"/>
      <c r="M35" s="51"/>
      <c r="N35" s="51"/>
      <c r="O35" s="50"/>
      <c r="P35" s="50"/>
      <c r="Q35" s="52"/>
      <c r="R35" s="50"/>
      <c r="S35" s="50"/>
      <c r="T35" s="50"/>
      <c r="U35" s="50"/>
      <c r="V35" s="50"/>
      <c r="W35" s="50"/>
      <c r="X35" s="50"/>
      <c r="Y35" s="50"/>
      <c r="Z35" s="54"/>
      <c r="AA35" s="50"/>
      <c r="AB35" s="51"/>
      <c r="AC35" s="52"/>
      <c r="AD35" s="55">
        <f t="shared" si="0"/>
        <v>0</v>
      </c>
    </row>
    <row r="36" spans="1:30" x14ac:dyDescent="0.2">
      <c r="A36" s="48"/>
      <c r="B36" s="48"/>
      <c r="C36" s="49"/>
      <c r="D36" s="50"/>
      <c r="E36" s="51"/>
      <c r="F36" s="52"/>
      <c r="G36" s="47"/>
      <c r="H36" s="47"/>
      <c r="I36" s="50"/>
      <c r="J36" s="53"/>
      <c r="K36" s="50"/>
      <c r="L36" s="47"/>
      <c r="M36" s="51"/>
      <c r="N36" s="51"/>
      <c r="O36" s="50"/>
      <c r="P36" s="50"/>
      <c r="Q36" s="52"/>
      <c r="R36" s="50"/>
      <c r="S36" s="50"/>
      <c r="T36" s="50"/>
      <c r="U36" s="50"/>
      <c r="V36" s="50"/>
      <c r="W36" s="50"/>
      <c r="X36" s="50"/>
      <c r="Y36" s="50"/>
      <c r="Z36" s="54"/>
      <c r="AA36" s="50"/>
      <c r="AB36" s="51"/>
      <c r="AC36" s="52"/>
      <c r="AD36" s="55">
        <f t="shared" si="0"/>
        <v>0</v>
      </c>
    </row>
    <row r="37" spans="1:30" x14ac:dyDescent="0.2">
      <c r="A37" s="48"/>
      <c r="B37" s="48"/>
      <c r="C37" s="49"/>
      <c r="D37" s="50"/>
      <c r="E37" s="51"/>
      <c r="F37" s="52"/>
      <c r="G37" s="47"/>
      <c r="H37" s="47"/>
      <c r="I37" s="50"/>
      <c r="J37" s="53"/>
      <c r="K37" s="50"/>
      <c r="L37" s="47"/>
      <c r="M37" s="51"/>
      <c r="N37" s="51"/>
      <c r="O37" s="50"/>
      <c r="P37" s="50"/>
      <c r="Q37" s="52"/>
      <c r="R37" s="50"/>
      <c r="S37" s="50"/>
      <c r="T37" s="50"/>
      <c r="U37" s="50"/>
      <c r="V37" s="50"/>
      <c r="W37" s="50"/>
      <c r="X37" s="50"/>
      <c r="Y37" s="50"/>
      <c r="Z37" s="54"/>
      <c r="AA37" s="50"/>
      <c r="AB37" s="51"/>
      <c r="AC37" s="52"/>
      <c r="AD37" s="55">
        <f t="shared" si="0"/>
        <v>0</v>
      </c>
    </row>
    <row r="38" spans="1:30" x14ac:dyDescent="0.2">
      <c r="A38" s="48"/>
      <c r="B38" s="48"/>
      <c r="C38" s="49"/>
      <c r="D38" s="50"/>
      <c r="E38" s="51"/>
      <c r="F38" s="52"/>
      <c r="G38" s="47"/>
      <c r="H38" s="47"/>
      <c r="I38" s="50"/>
      <c r="J38" s="53"/>
      <c r="K38" s="50"/>
      <c r="L38" s="47"/>
      <c r="M38" s="51"/>
      <c r="N38" s="51"/>
      <c r="O38" s="50"/>
      <c r="P38" s="50"/>
      <c r="Q38" s="52"/>
      <c r="R38" s="50"/>
      <c r="S38" s="50"/>
      <c r="T38" s="50"/>
      <c r="U38" s="50"/>
      <c r="V38" s="50"/>
      <c r="W38" s="50"/>
      <c r="X38" s="50"/>
      <c r="Y38" s="50"/>
      <c r="Z38" s="54"/>
      <c r="AA38" s="50"/>
      <c r="AB38" s="51"/>
      <c r="AC38" s="52"/>
      <c r="AD38" s="55">
        <f t="shared" si="0"/>
        <v>0</v>
      </c>
    </row>
    <row r="39" spans="1:30" x14ac:dyDescent="0.2">
      <c r="A39" s="48"/>
      <c r="B39" s="48"/>
      <c r="C39" s="49"/>
      <c r="D39" s="50"/>
      <c r="E39" s="51"/>
      <c r="F39" s="52"/>
      <c r="G39" s="47"/>
      <c r="H39" s="47"/>
      <c r="I39" s="50"/>
      <c r="J39" s="53"/>
      <c r="K39" s="50"/>
      <c r="L39" s="47"/>
      <c r="M39" s="51"/>
      <c r="N39" s="51"/>
      <c r="O39" s="50"/>
      <c r="P39" s="50"/>
      <c r="Q39" s="52"/>
      <c r="R39" s="50"/>
      <c r="S39" s="50"/>
      <c r="T39" s="50"/>
      <c r="U39" s="50"/>
      <c r="V39" s="50"/>
      <c r="W39" s="50"/>
      <c r="X39" s="50"/>
      <c r="Y39" s="50"/>
      <c r="Z39" s="54"/>
      <c r="AA39" s="50"/>
      <c r="AB39" s="51"/>
      <c r="AC39" s="52"/>
      <c r="AD39" s="55">
        <f t="shared" si="0"/>
        <v>0</v>
      </c>
    </row>
    <row r="40" spans="1:30" x14ac:dyDescent="0.2">
      <c r="A40" s="48"/>
      <c r="B40" s="48"/>
      <c r="C40" s="49"/>
      <c r="D40" s="50"/>
      <c r="E40" s="51"/>
      <c r="F40" s="52"/>
      <c r="G40" s="47"/>
      <c r="H40" s="47"/>
      <c r="I40" s="50"/>
      <c r="J40" s="53"/>
      <c r="K40" s="50"/>
      <c r="L40" s="47"/>
      <c r="M40" s="51"/>
      <c r="N40" s="51"/>
      <c r="O40" s="50"/>
      <c r="P40" s="50"/>
      <c r="Q40" s="52"/>
      <c r="R40" s="50"/>
      <c r="S40" s="50"/>
      <c r="T40" s="50"/>
      <c r="U40" s="50"/>
      <c r="V40" s="50"/>
      <c r="W40" s="50"/>
      <c r="X40" s="50"/>
      <c r="Y40" s="50"/>
      <c r="Z40" s="54"/>
      <c r="AA40" s="50"/>
      <c r="AB40" s="51"/>
      <c r="AC40" s="52"/>
      <c r="AD40" s="55">
        <f t="shared" si="0"/>
        <v>0</v>
      </c>
    </row>
    <row r="41" spans="1:30" x14ac:dyDescent="0.2">
      <c r="A41" s="48"/>
      <c r="B41" s="48"/>
      <c r="C41" s="49"/>
      <c r="D41" s="50"/>
      <c r="E41" s="51"/>
      <c r="F41" s="52"/>
      <c r="G41" s="47"/>
      <c r="H41" s="47"/>
      <c r="I41" s="50"/>
      <c r="J41" s="53"/>
      <c r="K41" s="50"/>
      <c r="L41" s="47"/>
      <c r="M41" s="51"/>
      <c r="N41" s="51"/>
      <c r="O41" s="50"/>
      <c r="P41" s="50"/>
      <c r="Q41" s="52"/>
      <c r="R41" s="50"/>
      <c r="S41" s="50"/>
      <c r="T41" s="50"/>
      <c r="U41" s="50"/>
      <c r="V41" s="50"/>
      <c r="W41" s="50"/>
      <c r="X41" s="50"/>
      <c r="Y41" s="50"/>
      <c r="Z41" s="54"/>
      <c r="AA41" s="50"/>
      <c r="AB41" s="51"/>
      <c r="AC41" s="52"/>
      <c r="AD41" s="55">
        <f t="shared" si="0"/>
        <v>0</v>
      </c>
    </row>
    <row r="42" spans="1:30" x14ac:dyDescent="0.2">
      <c r="A42" s="48"/>
      <c r="B42" s="48"/>
      <c r="C42" s="49"/>
      <c r="D42" s="50"/>
      <c r="E42" s="51"/>
      <c r="F42" s="52"/>
      <c r="G42" s="47"/>
      <c r="H42" s="47"/>
      <c r="I42" s="50"/>
      <c r="J42" s="53"/>
      <c r="K42" s="50"/>
      <c r="L42" s="47"/>
      <c r="M42" s="51"/>
      <c r="N42" s="51"/>
      <c r="O42" s="50"/>
      <c r="P42" s="50"/>
      <c r="Q42" s="52"/>
      <c r="R42" s="50"/>
      <c r="S42" s="50"/>
      <c r="T42" s="50"/>
      <c r="U42" s="50"/>
      <c r="V42" s="50"/>
      <c r="W42" s="50"/>
      <c r="X42" s="50"/>
      <c r="Y42" s="50"/>
      <c r="Z42" s="54"/>
      <c r="AA42" s="50"/>
      <c r="AB42" s="51"/>
      <c r="AC42" s="52"/>
      <c r="AD42" s="55">
        <f t="shared" si="0"/>
        <v>0</v>
      </c>
    </row>
    <row r="43" spans="1:30" x14ac:dyDescent="0.2">
      <c r="A43" s="48"/>
      <c r="B43" s="48"/>
      <c r="C43" s="49"/>
      <c r="D43" s="50"/>
      <c r="E43" s="51"/>
      <c r="F43" s="52"/>
      <c r="G43" s="47"/>
      <c r="H43" s="47"/>
      <c r="I43" s="50"/>
      <c r="J43" s="53"/>
      <c r="K43" s="50"/>
      <c r="L43" s="47"/>
      <c r="M43" s="51"/>
      <c r="N43" s="51"/>
      <c r="O43" s="50"/>
      <c r="P43" s="50"/>
      <c r="Q43" s="52"/>
      <c r="R43" s="50"/>
      <c r="S43" s="50"/>
      <c r="T43" s="50"/>
      <c r="U43" s="50"/>
      <c r="V43" s="50"/>
      <c r="W43" s="50"/>
      <c r="X43" s="50"/>
      <c r="Y43" s="50"/>
      <c r="Z43" s="54"/>
      <c r="AA43" s="50"/>
      <c r="AB43" s="51"/>
      <c r="AC43" s="52"/>
      <c r="AD43" s="55">
        <f t="shared" si="0"/>
        <v>0</v>
      </c>
    </row>
    <row r="44" spans="1:30" x14ac:dyDescent="0.2">
      <c r="A44" s="48"/>
      <c r="B44" s="48"/>
      <c r="C44" s="49"/>
      <c r="D44" s="50"/>
      <c r="E44" s="51"/>
      <c r="F44" s="52"/>
      <c r="G44" s="47"/>
      <c r="H44" s="47"/>
      <c r="I44" s="50"/>
      <c r="J44" s="53"/>
      <c r="K44" s="50"/>
      <c r="L44" s="47"/>
      <c r="M44" s="51"/>
      <c r="N44" s="51"/>
      <c r="O44" s="50"/>
      <c r="P44" s="50"/>
      <c r="Q44" s="52"/>
      <c r="R44" s="50"/>
      <c r="S44" s="50"/>
      <c r="T44" s="50"/>
      <c r="U44" s="50"/>
      <c r="V44" s="50"/>
      <c r="W44" s="50"/>
      <c r="X44" s="50"/>
      <c r="Y44" s="50"/>
      <c r="Z44" s="54"/>
      <c r="AA44" s="50"/>
      <c r="AB44" s="51"/>
      <c r="AC44" s="52"/>
      <c r="AD44" s="55">
        <f t="shared" si="0"/>
        <v>0</v>
      </c>
    </row>
    <row r="45" spans="1:30" x14ac:dyDescent="0.2">
      <c r="A45" s="48"/>
      <c r="B45" s="48"/>
      <c r="C45" s="49"/>
      <c r="D45" s="50"/>
      <c r="E45" s="51"/>
      <c r="F45" s="52"/>
      <c r="G45" s="47"/>
      <c r="H45" s="47"/>
      <c r="I45" s="50"/>
      <c r="J45" s="53"/>
      <c r="K45" s="50"/>
      <c r="L45" s="47"/>
      <c r="M45" s="51"/>
      <c r="N45" s="51"/>
      <c r="O45" s="50"/>
      <c r="P45" s="50"/>
      <c r="Q45" s="52"/>
      <c r="R45" s="50"/>
      <c r="S45" s="50"/>
      <c r="T45" s="50"/>
      <c r="U45" s="50"/>
      <c r="V45" s="50"/>
      <c r="W45" s="50"/>
      <c r="X45" s="50"/>
      <c r="Y45" s="50"/>
      <c r="Z45" s="54"/>
      <c r="AA45" s="50"/>
      <c r="AB45" s="51"/>
      <c r="AC45" s="52"/>
      <c r="AD45" s="55">
        <f t="shared" si="0"/>
        <v>0</v>
      </c>
    </row>
    <row r="46" spans="1:30" x14ac:dyDescent="0.2">
      <c r="A46" s="48"/>
      <c r="B46" s="48"/>
      <c r="C46" s="49"/>
      <c r="D46" s="50"/>
      <c r="E46" s="51"/>
      <c r="F46" s="52"/>
      <c r="G46" s="47"/>
      <c r="H46" s="47"/>
      <c r="I46" s="50"/>
      <c r="J46" s="53"/>
      <c r="K46" s="50"/>
      <c r="L46" s="47"/>
      <c r="M46" s="51"/>
      <c r="N46" s="51"/>
      <c r="O46" s="50"/>
      <c r="P46" s="50"/>
      <c r="Q46" s="52"/>
      <c r="R46" s="50"/>
      <c r="S46" s="50"/>
      <c r="T46" s="50"/>
      <c r="U46" s="50"/>
      <c r="V46" s="50"/>
      <c r="W46" s="50"/>
      <c r="X46" s="50"/>
      <c r="Y46" s="50"/>
      <c r="Z46" s="54"/>
      <c r="AA46" s="50"/>
      <c r="AB46" s="51"/>
      <c r="AC46" s="52"/>
      <c r="AD46" s="55">
        <f t="shared" si="0"/>
        <v>0</v>
      </c>
    </row>
    <row r="47" spans="1:30" x14ac:dyDescent="0.2">
      <c r="A47" s="48"/>
      <c r="B47" s="48"/>
      <c r="C47" s="49"/>
      <c r="D47" s="50"/>
      <c r="E47" s="51"/>
      <c r="F47" s="52"/>
      <c r="G47" s="47"/>
      <c r="H47" s="47"/>
      <c r="I47" s="50"/>
      <c r="J47" s="53"/>
      <c r="K47" s="50"/>
      <c r="L47" s="47"/>
      <c r="M47" s="51"/>
      <c r="N47" s="51"/>
      <c r="O47" s="50"/>
      <c r="P47" s="50"/>
      <c r="Q47" s="52"/>
      <c r="R47" s="50"/>
      <c r="S47" s="50"/>
      <c r="T47" s="50"/>
      <c r="U47" s="50"/>
      <c r="V47" s="50"/>
      <c r="W47" s="50"/>
      <c r="X47" s="50"/>
      <c r="Y47" s="50"/>
      <c r="Z47" s="54"/>
      <c r="AA47" s="50"/>
      <c r="AB47" s="51"/>
      <c r="AC47" s="52"/>
      <c r="AD47" s="55">
        <f t="shared" si="0"/>
        <v>0</v>
      </c>
    </row>
    <row r="48" spans="1:30" x14ac:dyDescent="0.2">
      <c r="A48" s="48"/>
      <c r="B48" s="48"/>
      <c r="C48" s="49"/>
      <c r="D48" s="50"/>
      <c r="E48" s="51"/>
      <c r="F48" s="52"/>
      <c r="G48" s="47"/>
      <c r="H48" s="47"/>
      <c r="I48" s="50"/>
      <c r="J48" s="53"/>
      <c r="K48" s="50"/>
      <c r="L48" s="47"/>
      <c r="M48" s="51"/>
      <c r="N48" s="51"/>
      <c r="O48" s="50"/>
      <c r="P48" s="50"/>
      <c r="Q48" s="52"/>
      <c r="R48" s="50"/>
      <c r="S48" s="50"/>
      <c r="T48" s="50"/>
      <c r="U48" s="50"/>
      <c r="V48" s="50"/>
      <c r="W48" s="50"/>
      <c r="X48" s="50"/>
      <c r="Y48" s="50"/>
      <c r="Z48" s="54"/>
      <c r="AA48" s="50"/>
      <c r="AB48" s="51"/>
      <c r="AC48" s="52"/>
      <c r="AD48" s="55">
        <f t="shared" si="0"/>
        <v>0</v>
      </c>
    </row>
    <row r="49" spans="1:30" x14ac:dyDescent="0.2">
      <c r="A49" s="48"/>
      <c r="B49" s="48"/>
      <c r="C49" s="49"/>
      <c r="D49" s="50"/>
      <c r="E49" s="51"/>
      <c r="F49" s="52"/>
      <c r="G49" s="47"/>
      <c r="H49" s="47"/>
      <c r="I49" s="50"/>
      <c r="J49" s="53"/>
      <c r="K49" s="50"/>
      <c r="L49" s="47"/>
      <c r="M49" s="51"/>
      <c r="N49" s="51"/>
      <c r="O49" s="50"/>
      <c r="P49" s="50"/>
      <c r="Q49" s="52"/>
      <c r="R49" s="50"/>
      <c r="S49" s="50"/>
      <c r="T49" s="50"/>
      <c r="U49" s="50"/>
      <c r="V49" s="50"/>
      <c r="W49" s="50"/>
      <c r="X49" s="50"/>
      <c r="Y49" s="50"/>
      <c r="Z49" s="54"/>
      <c r="AA49" s="50"/>
      <c r="AB49" s="51"/>
      <c r="AC49" s="52"/>
      <c r="AD49" s="55">
        <f t="shared" si="0"/>
        <v>0</v>
      </c>
    </row>
    <row r="50" spans="1:30" x14ac:dyDescent="0.2">
      <c r="A50" s="48"/>
      <c r="B50" s="48"/>
      <c r="C50" s="49"/>
      <c r="D50" s="50"/>
      <c r="E50" s="51"/>
      <c r="F50" s="52"/>
      <c r="G50" s="47"/>
      <c r="H50" s="47"/>
      <c r="I50" s="50"/>
      <c r="J50" s="53"/>
      <c r="K50" s="50"/>
      <c r="L50" s="47"/>
      <c r="M50" s="51"/>
      <c r="N50" s="51"/>
      <c r="O50" s="50"/>
      <c r="P50" s="50"/>
      <c r="Q50" s="52"/>
      <c r="R50" s="50"/>
      <c r="S50" s="50"/>
      <c r="T50" s="50"/>
      <c r="U50" s="50"/>
      <c r="V50" s="50"/>
      <c r="W50" s="50"/>
      <c r="X50" s="50"/>
      <c r="Y50" s="50"/>
      <c r="Z50" s="54"/>
      <c r="AA50" s="50"/>
      <c r="AB50" s="51"/>
      <c r="AC50" s="52"/>
      <c r="AD50" s="55">
        <f t="shared" si="0"/>
        <v>0</v>
      </c>
    </row>
    <row r="51" spans="1:30" x14ac:dyDescent="0.2">
      <c r="A51" s="48"/>
      <c r="B51" s="48"/>
      <c r="C51" s="49"/>
      <c r="D51" s="50"/>
      <c r="E51" s="51"/>
      <c r="F51" s="52"/>
      <c r="G51" s="47"/>
      <c r="H51" s="47"/>
      <c r="I51" s="50"/>
      <c r="J51" s="53"/>
      <c r="K51" s="50"/>
      <c r="L51" s="47"/>
      <c r="M51" s="51"/>
      <c r="N51" s="51"/>
      <c r="O51" s="50"/>
      <c r="P51" s="50"/>
      <c r="Q51" s="52"/>
      <c r="R51" s="50"/>
      <c r="S51" s="50"/>
      <c r="T51" s="50"/>
      <c r="U51" s="50"/>
      <c r="V51" s="50"/>
      <c r="W51" s="50"/>
      <c r="X51" s="50"/>
      <c r="Y51" s="50"/>
      <c r="Z51" s="54"/>
      <c r="AA51" s="50"/>
      <c r="AB51" s="51"/>
      <c r="AC51" s="52"/>
      <c r="AD51" s="55">
        <f t="shared" si="0"/>
        <v>0</v>
      </c>
    </row>
    <row r="52" spans="1:30" x14ac:dyDescent="0.2">
      <c r="A52" s="48"/>
      <c r="B52" s="48"/>
      <c r="C52" s="49"/>
      <c r="D52" s="50"/>
      <c r="E52" s="51"/>
      <c r="F52" s="52"/>
      <c r="G52" s="47"/>
      <c r="H52" s="47"/>
      <c r="I52" s="50"/>
      <c r="J52" s="53"/>
      <c r="K52" s="50"/>
      <c r="L52" s="47"/>
      <c r="M52" s="51"/>
      <c r="N52" s="51"/>
      <c r="O52" s="50"/>
      <c r="P52" s="50"/>
      <c r="Q52" s="52"/>
      <c r="R52" s="50"/>
      <c r="S52" s="50"/>
      <c r="T52" s="50"/>
      <c r="U52" s="50"/>
      <c r="V52" s="50"/>
      <c r="W52" s="50"/>
      <c r="X52" s="50"/>
      <c r="Y52" s="50"/>
      <c r="Z52" s="54"/>
      <c r="AA52" s="50"/>
      <c r="AB52" s="51"/>
      <c r="AC52" s="52"/>
      <c r="AD52" s="55">
        <f t="shared" si="0"/>
        <v>0</v>
      </c>
    </row>
    <row r="53" spans="1:30" x14ac:dyDescent="0.2">
      <c r="A53" s="48"/>
      <c r="B53" s="48"/>
      <c r="C53" s="49"/>
      <c r="D53" s="50"/>
      <c r="E53" s="51"/>
      <c r="F53" s="52"/>
      <c r="G53" s="47"/>
      <c r="H53" s="47"/>
      <c r="I53" s="50"/>
      <c r="J53" s="53"/>
      <c r="K53" s="50"/>
      <c r="L53" s="47"/>
      <c r="M53" s="51"/>
      <c r="N53" s="51"/>
      <c r="O53" s="50"/>
      <c r="P53" s="50"/>
      <c r="Q53" s="52"/>
      <c r="R53" s="50"/>
      <c r="S53" s="50"/>
      <c r="T53" s="50"/>
      <c r="U53" s="50"/>
      <c r="V53" s="50"/>
      <c r="W53" s="50"/>
      <c r="X53" s="50"/>
      <c r="Y53" s="50"/>
      <c r="Z53" s="54"/>
      <c r="AA53" s="50"/>
      <c r="AB53" s="51"/>
      <c r="AC53" s="52"/>
      <c r="AD53" s="55">
        <f t="shared" si="0"/>
        <v>0</v>
      </c>
    </row>
    <row r="54" spans="1:30" x14ac:dyDescent="0.2">
      <c r="A54" s="48"/>
      <c r="B54" s="48"/>
      <c r="C54" s="49"/>
      <c r="D54" s="50"/>
      <c r="E54" s="51"/>
      <c r="F54" s="52"/>
      <c r="G54" s="47"/>
      <c r="H54" s="47"/>
      <c r="I54" s="50"/>
      <c r="J54" s="53"/>
      <c r="K54" s="50"/>
      <c r="L54" s="47"/>
      <c r="M54" s="51"/>
      <c r="N54" s="51"/>
      <c r="O54" s="50"/>
      <c r="P54" s="50"/>
      <c r="Q54" s="52"/>
      <c r="R54" s="50"/>
      <c r="S54" s="50"/>
      <c r="T54" s="50"/>
      <c r="U54" s="50"/>
      <c r="V54" s="50"/>
      <c r="W54" s="50"/>
      <c r="X54" s="50"/>
      <c r="Y54" s="50"/>
      <c r="Z54" s="54"/>
      <c r="AA54" s="50"/>
      <c r="AB54" s="51"/>
      <c r="AC54" s="52"/>
      <c r="AD54" s="55">
        <f t="shared" si="0"/>
        <v>0</v>
      </c>
    </row>
    <row r="55" spans="1:30" x14ac:dyDescent="0.2">
      <c r="A55" s="48"/>
      <c r="B55" s="48"/>
      <c r="C55" s="49"/>
      <c r="D55" s="50"/>
      <c r="E55" s="51"/>
      <c r="F55" s="52"/>
      <c r="G55" s="47"/>
      <c r="H55" s="47"/>
      <c r="I55" s="50"/>
      <c r="J55" s="53"/>
      <c r="K55" s="50"/>
      <c r="L55" s="47"/>
      <c r="M55" s="51"/>
      <c r="N55" s="51"/>
      <c r="O55" s="50"/>
      <c r="P55" s="50"/>
      <c r="Q55" s="52"/>
      <c r="R55" s="50"/>
      <c r="S55" s="50"/>
      <c r="T55" s="50"/>
      <c r="U55" s="50"/>
      <c r="V55" s="50"/>
      <c r="W55" s="50"/>
      <c r="X55" s="50"/>
      <c r="Y55" s="50"/>
      <c r="Z55" s="54"/>
      <c r="AA55" s="50"/>
      <c r="AB55" s="51"/>
      <c r="AC55" s="52"/>
      <c r="AD55" s="55">
        <f t="shared" si="0"/>
        <v>0</v>
      </c>
    </row>
    <row r="56" spans="1:30" x14ac:dyDescent="0.2">
      <c r="A56" s="48"/>
      <c r="B56" s="48"/>
      <c r="C56" s="49"/>
      <c r="D56" s="50"/>
      <c r="E56" s="51"/>
      <c r="F56" s="52"/>
      <c r="G56" s="47"/>
      <c r="H56" s="47"/>
      <c r="I56" s="50"/>
      <c r="J56" s="53"/>
      <c r="K56" s="50"/>
      <c r="L56" s="47"/>
      <c r="M56" s="51"/>
      <c r="N56" s="51"/>
      <c r="O56" s="50"/>
      <c r="P56" s="50"/>
      <c r="Q56" s="52"/>
      <c r="R56" s="50"/>
      <c r="S56" s="50"/>
      <c r="T56" s="50"/>
      <c r="U56" s="50"/>
      <c r="V56" s="50"/>
      <c r="W56" s="50"/>
      <c r="X56" s="50"/>
      <c r="Y56" s="50"/>
      <c r="Z56" s="54"/>
      <c r="AA56" s="50"/>
      <c r="AB56" s="51"/>
      <c r="AC56" s="52"/>
      <c r="AD56" s="55">
        <f t="shared" si="0"/>
        <v>0</v>
      </c>
    </row>
    <row r="57" spans="1:30" x14ac:dyDescent="0.2">
      <c r="A57" s="48"/>
      <c r="B57" s="48"/>
      <c r="C57" s="49"/>
      <c r="D57" s="50"/>
      <c r="E57" s="51"/>
      <c r="F57" s="52"/>
      <c r="G57" s="47"/>
      <c r="H57" s="47"/>
      <c r="I57" s="50"/>
      <c r="J57" s="53"/>
      <c r="K57" s="50"/>
      <c r="L57" s="47"/>
      <c r="M57" s="51"/>
      <c r="N57" s="51"/>
      <c r="O57" s="50"/>
      <c r="P57" s="50"/>
      <c r="Q57" s="52"/>
      <c r="R57" s="50"/>
      <c r="S57" s="50"/>
      <c r="T57" s="50"/>
      <c r="U57" s="50"/>
      <c r="V57" s="50"/>
      <c r="W57" s="50"/>
      <c r="X57" s="50"/>
      <c r="Y57" s="50"/>
      <c r="Z57" s="54"/>
      <c r="AA57" s="50"/>
      <c r="AB57" s="51"/>
      <c r="AC57" s="52"/>
      <c r="AD57" s="55">
        <f t="shared" si="0"/>
        <v>0</v>
      </c>
    </row>
    <row r="58" spans="1:30" x14ac:dyDescent="0.2">
      <c r="A58" s="48"/>
      <c r="B58" s="48"/>
      <c r="C58" s="49"/>
      <c r="D58" s="50"/>
      <c r="E58" s="51"/>
      <c r="F58" s="52"/>
      <c r="G58" s="47"/>
      <c r="H58" s="47"/>
      <c r="I58" s="50"/>
      <c r="J58" s="53"/>
      <c r="K58" s="50"/>
      <c r="L58" s="47"/>
      <c r="M58" s="51"/>
      <c r="N58" s="51"/>
      <c r="O58" s="50"/>
      <c r="P58" s="50"/>
      <c r="Q58" s="52"/>
      <c r="R58" s="50"/>
      <c r="S58" s="50"/>
      <c r="T58" s="50"/>
      <c r="U58" s="50"/>
      <c r="V58" s="50"/>
      <c r="W58" s="50"/>
      <c r="X58" s="50"/>
      <c r="Y58" s="50"/>
      <c r="Z58" s="54"/>
      <c r="AA58" s="50"/>
      <c r="AB58" s="51"/>
      <c r="AC58" s="52"/>
      <c r="AD58" s="55">
        <f t="shared" si="0"/>
        <v>0</v>
      </c>
    </row>
    <row r="59" spans="1:30" x14ac:dyDescent="0.2">
      <c r="A59" s="48"/>
      <c r="B59" s="48"/>
      <c r="C59" s="49"/>
      <c r="D59" s="50"/>
      <c r="E59" s="51"/>
      <c r="F59" s="52"/>
      <c r="G59" s="47"/>
      <c r="H59" s="47"/>
      <c r="I59" s="50"/>
      <c r="J59" s="53"/>
      <c r="K59" s="50"/>
      <c r="L59" s="47"/>
      <c r="M59" s="51"/>
      <c r="N59" s="51"/>
      <c r="O59" s="50"/>
      <c r="P59" s="50"/>
      <c r="Q59" s="52"/>
      <c r="R59" s="50"/>
      <c r="S59" s="50"/>
      <c r="T59" s="50"/>
      <c r="U59" s="50"/>
      <c r="V59" s="50"/>
      <c r="W59" s="50"/>
      <c r="X59" s="50"/>
      <c r="Y59" s="50"/>
      <c r="Z59" s="54"/>
      <c r="AA59" s="50"/>
      <c r="AB59" s="51"/>
      <c r="AC59" s="52"/>
      <c r="AD59" s="55">
        <f t="shared" si="0"/>
        <v>0</v>
      </c>
    </row>
    <row r="60" spans="1:30" x14ac:dyDescent="0.2">
      <c r="A60" s="48"/>
      <c r="B60" s="48"/>
      <c r="C60" s="49"/>
      <c r="D60" s="50"/>
      <c r="E60" s="51"/>
      <c r="F60" s="52"/>
      <c r="G60" s="47"/>
      <c r="H60" s="47"/>
      <c r="I60" s="50"/>
      <c r="J60" s="53"/>
      <c r="K60" s="50"/>
      <c r="L60" s="47"/>
      <c r="M60" s="51"/>
      <c r="N60" s="51"/>
      <c r="O60" s="50"/>
      <c r="P60" s="50"/>
      <c r="Q60" s="52"/>
      <c r="R60" s="50"/>
      <c r="S60" s="50"/>
      <c r="T60" s="50"/>
      <c r="U60" s="50"/>
      <c r="V60" s="50"/>
      <c r="W60" s="50"/>
      <c r="X60" s="50"/>
      <c r="Y60" s="50"/>
      <c r="Z60" s="54"/>
      <c r="AA60" s="50"/>
      <c r="AB60" s="51"/>
      <c r="AC60" s="52"/>
      <c r="AD60" s="55">
        <f t="shared" si="0"/>
        <v>0</v>
      </c>
    </row>
    <row r="61" spans="1:30" x14ac:dyDescent="0.2">
      <c r="A61" s="48"/>
      <c r="B61" s="48"/>
      <c r="C61" s="49"/>
      <c r="D61" s="50"/>
      <c r="E61" s="51"/>
      <c r="F61" s="52"/>
      <c r="G61" s="47"/>
      <c r="H61" s="47"/>
      <c r="I61" s="50"/>
      <c r="J61" s="53"/>
      <c r="K61" s="50"/>
      <c r="L61" s="47"/>
      <c r="M61" s="51"/>
      <c r="N61" s="51"/>
      <c r="O61" s="50"/>
      <c r="P61" s="50"/>
      <c r="Q61" s="52"/>
      <c r="R61" s="50"/>
      <c r="S61" s="50"/>
      <c r="T61" s="50"/>
      <c r="U61" s="50"/>
      <c r="V61" s="50"/>
      <c r="W61" s="50"/>
      <c r="X61" s="50"/>
      <c r="Y61" s="50"/>
      <c r="Z61" s="54"/>
      <c r="AA61" s="50"/>
      <c r="AB61" s="51"/>
      <c r="AC61" s="52"/>
      <c r="AD61" s="55">
        <f t="shared" si="0"/>
        <v>0</v>
      </c>
    </row>
  </sheetData>
  <mergeCells count="6">
    <mergeCell ref="A1:AD2"/>
    <mergeCell ref="D3:F3"/>
    <mergeCell ref="AF3:AG4"/>
    <mergeCell ref="AD4:AD5"/>
    <mergeCell ref="U5:Y5"/>
    <mergeCell ref="AF5:AG5"/>
  </mergeCells>
  <conditionalFormatting sqref="AA7:AA61">
    <cfRule type="expression" dxfId="19" priority="3">
      <formula>AND(NOT(ISBLANK(Z7)),ISBLANK(AA7))</formula>
    </cfRule>
  </conditionalFormatting>
  <conditionalFormatting sqref="AD4:AD5">
    <cfRule type="cellIs" dxfId="18" priority="1" operator="greaterThan">
      <formula>0</formula>
    </cfRule>
  </conditionalFormatting>
  <conditionalFormatting sqref="AD7:AD61">
    <cfRule type="cellIs" dxfId="17" priority="4" operator="lessThan">
      <formula>0</formula>
    </cfRule>
  </conditionalFormatting>
  <conditionalFormatting sqref="AF5:AG5">
    <cfRule type="cellIs" dxfId="16" priority="2" operator="lessThan">
      <formula>0</formula>
    </cfRule>
  </conditionalFormatting>
  <dataValidations count="1">
    <dataValidation type="list" allowBlank="1" showInputMessage="1" showErrorMessage="1" sqref="AA7:AA61" xr:uid="{3759B47F-129B-4C82-B99F-F2164520D909}">
      <formula1>"Approved, Completed, Not Approved, Cancelled"</formula1>
    </dataValidation>
  </dataValidations>
  <pageMargins left="0.25" right="0.25" top="0.75" bottom="0.75" header="0.3" footer="0.3"/>
  <pageSetup paperSize="124" scale="18" orientation="landscape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EC30-1665-49A1-B4CD-2582CDB65C41}">
  <sheetPr>
    <pageSetUpPr fitToPage="1"/>
  </sheetPr>
  <dimension ref="A1:AG61"/>
  <sheetViews>
    <sheetView zoomScale="70" zoomScaleNormal="7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D2"/>
    </sheetView>
  </sheetViews>
  <sheetFormatPr defaultRowHeight="12.75" x14ac:dyDescent="0.2"/>
  <cols>
    <col min="1" max="1" width="17" style="7" customWidth="1"/>
    <col min="2" max="2" width="20.7109375" style="7" customWidth="1"/>
    <col min="3" max="3" width="15.5703125" style="7" customWidth="1"/>
    <col min="4" max="4" width="13.140625" style="22" customWidth="1"/>
    <col min="5" max="5" width="14" style="7" customWidth="1"/>
    <col min="6" max="7" width="33.28515625" style="7" bestFit="1" customWidth="1"/>
    <col min="8" max="8" width="12.28515625" style="7" customWidth="1"/>
    <col min="9" max="9" width="62" style="7" bestFit="1" customWidth="1"/>
    <col min="10" max="10" width="27.7109375" style="7" customWidth="1"/>
    <col min="11" max="11" width="26.28515625" style="7" customWidth="1"/>
    <col min="12" max="12" width="9.140625" style="7"/>
    <col min="13" max="13" width="28.7109375" style="23" customWidth="1"/>
    <col min="14" max="14" width="29.5703125" style="7" customWidth="1"/>
    <col min="15" max="15" width="20.85546875" style="7" customWidth="1"/>
    <col min="16" max="16" width="15.140625" style="7" customWidth="1"/>
    <col min="17" max="17" width="13.7109375" style="7" customWidth="1"/>
    <col min="18" max="18" width="34.42578125" style="7" customWidth="1"/>
    <col min="19" max="19" width="24.5703125" style="7" customWidth="1"/>
    <col min="20" max="20" width="17.85546875" style="7" customWidth="1"/>
    <col min="21" max="21" width="23.7109375" style="7" customWidth="1"/>
    <col min="22" max="22" width="27.5703125" style="7" customWidth="1"/>
    <col min="23" max="23" width="24.85546875" style="7" customWidth="1"/>
    <col min="24" max="24" width="24" style="7" customWidth="1"/>
    <col min="25" max="25" width="22.85546875" style="7" customWidth="1"/>
    <col min="26" max="26" width="15.42578125" style="24" customWidth="1"/>
    <col min="27" max="27" width="26.42578125" style="7" customWidth="1"/>
    <col min="28" max="28" width="29.5703125" style="23" customWidth="1"/>
    <col min="29" max="29" width="19.7109375" style="7" customWidth="1"/>
    <col min="30" max="30" width="18.7109375" style="7" customWidth="1"/>
    <col min="31" max="31" width="9.140625" style="7"/>
    <col min="32" max="32" width="14" style="7" customWidth="1"/>
    <col min="33" max="33" width="12.42578125" style="7" bestFit="1" customWidth="1"/>
    <col min="34" max="16384" width="9.140625" style="7"/>
  </cols>
  <sheetData>
    <row r="1" spans="1:33" ht="28.5" customHeight="1" x14ac:dyDescent="0.2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1"/>
      <c r="AF1" s="1"/>
      <c r="AG1" s="1"/>
    </row>
    <row r="2" spans="1:33" ht="13.5" thickBo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1"/>
      <c r="AF2" s="1"/>
      <c r="AG2" s="1"/>
    </row>
    <row r="3" spans="1:33" ht="20.25" customHeight="1" x14ac:dyDescent="0.2">
      <c r="A3" s="56"/>
      <c r="B3" s="56" t="s">
        <v>1</v>
      </c>
      <c r="C3" s="57">
        <f>'1st Year'!C3+1</f>
        <v>2027</v>
      </c>
      <c r="D3" s="76" t="s">
        <v>73</v>
      </c>
      <c r="E3" s="76"/>
      <c r="F3" s="76"/>
      <c r="G3" s="58" t="s">
        <v>74</v>
      </c>
      <c r="H3" s="13"/>
      <c r="I3" s="13"/>
      <c r="J3" s="13"/>
      <c r="K3" s="8"/>
      <c r="L3" s="9"/>
      <c r="M3" s="10"/>
      <c r="N3" s="11"/>
      <c r="O3" s="1"/>
      <c r="P3" s="12"/>
      <c r="Q3" s="5"/>
      <c r="R3" s="1"/>
      <c r="S3" s="1"/>
      <c r="T3" s="1"/>
      <c r="U3" s="1"/>
      <c r="V3" s="1"/>
      <c r="W3" s="1"/>
      <c r="X3" s="1"/>
      <c r="Y3" s="2"/>
      <c r="Z3" s="3"/>
      <c r="AA3" s="1"/>
      <c r="AB3" s="4"/>
      <c r="AC3" s="5"/>
      <c r="AD3" s="6"/>
      <c r="AE3" s="1"/>
      <c r="AF3" s="72" t="s">
        <v>4</v>
      </c>
      <c r="AG3" s="73"/>
    </row>
    <row r="4" spans="1:33" ht="15" customHeight="1" x14ac:dyDescent="0.2">
      <c r="A4" s="1"/>
      <c r="B4" s="14"/>
      <c r="C4" s="15"/>
      <c r="D4" s="16"/>
      <c r="E4" s="5"/>
      <c r="F4" s="1"/>
      <c r="G4" s="1"/>
      <c r="H4" s="1"/>
      <c r="I4" s="1"/>
      <c r="J4" s="1"/>
      <c r="K4" s="1"/>
      <c r="L4" s="17"/>
      <c r="M4" s="18"/>
      <c r="N4" s="11"/>
      <c r="O4" s="1"/>
      <c r="P4" s="12"/>
      <c r="Q4" s="5"/>
      <c r="R4" s="1"/>
      <c r="S4" s="1"/>
      <c r="T4" s="1"/>
      <c r="U4" s="1"/>
      <c r="V4" s="1"/>
      <c r="W4" s="1"/>
      <c r="X4" s="1"/>
      <c r="Y4" s="2"/>
      <c r="Z4" s="3"/>
      <c r="AA4" s="1"/>
      <c r="AB4" s="4"/>
      <c r="AC4" s="5"/>
      <c r="AD4" s="68" t="e">
        <f>SMALL(Table135[Remaining Funds Calculation],COUNTIF(Table135[Remaining Funds Calculation],0)+1)</f>
        <v>#NUM!</v>
      </c>
      <c r="AE4" s="1"/>
      <c r="AF4" s="74"/>
      <c r="AG4" s="75"/>
    </row>
    <row r="5" spans="1:33" ht="15" customHeight="1" thickBot="1" x14ac:dyDescent="0.25">
      <c r="A5" s="26" t="s">
        <v>5</v>
      </c>
      <c r="B5" s="37"/>
      <c r="C5" s="38"/>
      <c r="D5" s="38"/>
      <c r="F5" s="19"/>
      <c r="G5" s="19"/>
      <c r="H5" s="19"/>
      <c r="I5" s="19"/>
      <c r="J5" s="19"/>
      <c r="K5" s="25" t="s">
        <v>6</v>
      </c>
      <c r="L5" s="17"/>
      <c r="M5" s="18"/>
      <c r="N5" s="11"/>
      <c r="O5" s="1"/>
      <c r="P5" s="12"/>
      <c r="Q5" s="5"/>
      <c r="R5" s="1"/>
      <c r="S5" s="1"/>
      <c r="T5" s="1"/>
      <c r="U5" s="65" t="s">
        <v>7</v>
      </c>
      <c r="V5" s="66"/>
      <c r="W5" s="66"/>
      <c r="X5" s="66"/>
      <c r="Y5" s="67"/>
      <c r="Z5" s="3"/>
      <c r="AA5" s="1"/>
      <c r="AB5" s="4"/>
      <c r="AC5" s="5"/>
      <c r="AD5" s="69"/>
      <c r="AE5" s="1"/>
      <c r="AF5" s="70">
        <f>AG6-SUMIF(AA7:AA61,"&lt;&gt;Cancelled", Z7:Z61)</f>
        <v>0</v>
      </c>
      <c r="AG5" s="71"/>
    </row>
    <row r="6" spans="1:33" s="45" customFormat="1" ht="38.25" x14ac:dyDescent="0.25">
      <c r="A6" s="27" t="s">
        <v>8</v>
      </c>
      <c r="B6" s="27" t="s">
        <v>9</v>
      </c>
      <c r="C6" s="39" t="s">
        <v>10</v>
      </c>
      <c r="D6" s="40" t="s">
        <v>11</v>
      </c>
      <c r="E6" s="46" t="s">
        <v>12</v>
      </c>
      <c r="F6" s="41" t="s">
        <v>13</v>
      </c>
      <c r="G6" s="28" t="s">
        <v>14</v>
      </c>
      <c r="H6" s="28" t="s">
        <v>15</v>
      </c>
      <c r="I6" s="28" t="s">
        <v>16</v>
      </c>
      <c r="J6" s="28" t="s">
        <v>17</v>
      </c>
      <c r="K6" s="29" t="s">
        <v>18</v>
      </c>
      <c r="L6" s="30" t="s">
        <v>19</v>
      </c>
      <c r="M6" s="31" t="s">
        <v>20</v>
      </c>
      <c r="N6" s="31" t="s">
        <v>21</v>
      </c>
      <c r="O6" s="29" t="s">
        <v>22</v>
      </c>
      <c r="P6" s="32" t="s">
        <v>23</v>
      </c>
      <c r="Q6" s="33" t="s">
        <v>24</v>
      </c>
      <c r="R6" s="29" t="s">
        <v>25</v>
      </c>
      <c r="S6" s="29" t="s">
        <v>26</v>
      </c>
      <c r="T6" s="29" t="s">
        <v>27</v>
      </c>
      <c r="U6" s="29" t="s">
        <v>28</v>
      </c>
      <c r="V6" s="29" t="s">
        <v>29</v>
      </c>
      <c r="W6" s="29" t="s">
        <v>30</v>
      </c>
      <c r="X6" s="29" t="s">
        <v>31</v>
      </c>
      <c r="Y6" s="34" t="s">
        <v>32</v>
      </c>
      <c r="Z6" s="35" t="s">
        <v>33</v>
      </c>
      <c r="AA6" s="29" t="s">
        <v>34</v>
      </c>
      <c r="AB6" s="32" t="s">
        <v>35</v>
      </c>
      <c r="AC6" s="33" t="s">
        <v>36</v>
      </c>
      <c r="AD6" s="36" t="s">
        <v>37</v>
      </c>
      <c r="AE6" s="42"/>
      <c r="AF6" s="43" t="s">
        <v>38</v>
      </c>
      <c r="AG6" s="44">
        <f>SUM(AG7:AG13)</f>
        <v>0</v>
      </c>
    </row>
    <row r="7" spans="1:33" x14ac:dyDescent="0.2">
      <c r="A7" s="48"/>
      <c r="B7" s="48"/>
      <c r="C7" s="49"/>
      <c r="D7" s="50"/>
      <c r="E7" s="51"/>
      <c r="F7" s="52"/>
      <c r="G7" s="47"/>
      <c r="H7" s="47"/>
      <c r="I7" s="50"/>
      <c r="J7" s="53"/>
      <c r="K7" s="50"/>
      <c r="L7" s="47"/>
      <c r="M7" s="51"/>
      <c r="N7" s="51"/>
      <c r="O7" s="50"/>
      <c r="P7" s="50"/>
      <c r="Q7" s="52"/>
      <c r="R7" s="50"/>
      <c r="S7" s="50"/>
      <c r="T7" s="50"/>
      <c r="U7" s="50"/>
      <c r="V7" s="50"/>
      <c r="W7" s="50"/>
      <c r="X7" s="50"/>
      <c r="Y7" s="50"/>
      <c r="Z7" s="54"/>
      <c r="AA7" s="50"/>
      <c r="AB7" s="51"/>
      <c r="AC7" s="52"/>
      <c r="AD7" s="55">
        <f>IF(OR(AA7="Not Approved",AA7="Cancelled"), AG6, AG6-Z7)</f>
        <v>0</v>
      </c>
      <c r="AF7" s="59" t="s">
        <v>75</v>
      </c>
      <c r="AG7" s="60"/>
    </row>
    <row r="8" spans="1:33" x14ac:dyDescent="0.2">
      <c r="A8" s="48"/>
      <c r="B8" s="48"/>
      <c r="C8" s="49"/>
      <c r="D8" s="50"/>
      <c r="E8" s="51"/>
      <c r="F8" s="52"/>
      <c r="G8" s="47"/>
      <c r="H8" s="47"/>
      <c r="I8" s="50"/>
      <c r="J8" s="53"/>
      <c r="K8" s="50"/>
      <c r="L8" s="47"/>
      <c r="M8" s="51"/>
      <c r="N8" s="51"/>
      <c r="O8" s="50"/>
      <c r="P8" s="50"/>
      <c r="Q8" s="52"/>
      <c r="R8" s="50"/>
      <c r="S8" s="50"/>
      <c r="T8" s="50"/>
      <c r="U8" s="50"/>
      <c r="V8" s="50"/>
      <c r="W8" s="50"/>
      <c r="X8" s="50"/>
      <c r="Y8" s="50"/>
      <c r="Z8" s="54"/>
      <c r="AA8" s="50"/>
      <c r="AB8" s="51"/>
      <c r="AC8" s="52"/>
      <c r="AD8" s="55">
        <f>IF(ISBLANK(Z8), ,(IF(OR(AA8="Not Approved",AA8="Cancelled"), AD7, AD7-Z8)))</f>
        <v>0</v>
      </c>
      <c r="AF8" s="59"/>
      <c r="AG8" s="60"/>
    </row>
    <row r="9" spans="1:33" x14ac:dyDescent="0.2">
      <c r="A9" s="48"/>
      <c r="B9" s="48"/>
      <c r="C9" s="49"/>
      <c r="D9" s="50"/>
      <c r="E9" s="51"/>
      <c r="F9" s="52"/>
      <c r="G9" s="47"/>
      <c r="H9" s="47"/>
      <c r="I9" s="50"/>
      <c r="J9" s="53"/>
      <c r="K9" s="50"/>
      <c r="L9" s="47"/>
      <c r="M9" s="51"/>
      <c r="N9" s="51"/>
      <c r="O9" s="50"/>
      <c r="P9" s="50"/>
      <c r="Q9" s="52"/>
      <c r="R9" s="50"/>
      <c r="S9" s="50"/>
      <c r="T9" s="50"/>
      <c r="U9" s="50"/>
      <c r="V9" s="50"/>
      <c r="W9" s="50"/>
      <c r="X9" s="50"/>
      <c r="Y9" s="50"/>
      <c r="Z9" s="54"/>
      <c r="AA9" s="50"/>
      <c r="AB9" s="51"/>
      <c r="AC9" s="52"/>
      <c r="AD9" s="55">
        <f t="shared" ref="AD9:AD61" si="0">IF(ISBLANK(Z9), ,(IF(OR(AA9="Not Approved",AA9="Cancelled"), AD8, AD8-Z9)))</f>
        <v>0</v>
      </c>
      <c r="AF9" s="21"/>
      <c r="AG9" s="20"/>
    </row>
    <row r="10" spans="1:33" x14ac:dyDescent="0.2">
      <c r="A10" s="48"/>
      <c r="B10" s="48"/>
      <c r="C10" s="49"/>
      <c r="D10" s="50"/>
      <c r="E10" s="51"/>
      <c r="F10" s="52"/>
      <c r="G10" s="47"/>
      <c r="H10" s="47"/>
      <c r="I10" s="50"/>
      <c r="J10" s="53"/>
      <c r="K10" s="50"/>
      <c r="L10" s="47"/>
      <c r="M10" s="51"/>
      <c r="N10" s="51"/>
      <c r="O10" s="50"/>
      <c r="P10" s="50"/>
      <c r="Q10" s="52"/>
      <c r="R10" s="50"/>
      <c r="S10" s="50"/>
      <c r="T10" s="50"/>
      <c r="U10" s="50"/>
      <c r="V10" s="50"/>
      <c r="W10" s="50"/>
      <c r="X10" s="50"/>
      <c r="Y10" s="50"/>
      <c r="Z10" s="54"/>
      <c r="AA10" s="50"/>
      <c r="AB10" s="51"/>
      <c r="AC10" s="52"/>
      <c r="AD10" s="55">
        <f t="shared" si="0"/>
        <v>0</v>
      </c>
      <c r="AF10" s="21"/>
      <c r="AG10" s="20"/>
    </row>
    <row r="11" spans="1:33" x14ac:dyDescent="0.2">
      <c r="A11" s="48"/>
      <c r="B11" s="48"/>
      <c r="C11" s="49"/>
      <c r="D11" s="50"/>
      <c r="E11" s="51"/>
      <c r="F11" s="52"/>
      <c r="G11" s="47"/>
      <c r="H11" s="47"/>
      <c r="I11" s="50"/>
      <c r="J11" s="53"/>
      <c r="K11" s="50"/>
      <c r="L11" s="47"/>
      <c r="M11" s="51"/>
      <c r="N11" s="51"/>
      <c r="O11" s="50"/>
      <c r="P11" s="50"/>
      <c r="Q11" s="52"/>
      <c r="R11" s="50"/>
      <c r="S11" s="50"/>
      <c r="T11" s="50"/>
      <c r="U11" s="50"/>
      <c r="V11" s="50"/>
      <c r="W11" s="50"/>
      <c r="X11" s="50"/>
      <c r="Y11" s="50"/>
      <c r="Z11" s="54"/>
      <c r="AA11" s="50"/>
      <c r="AB11" s="51"/>
      <c r="AC11" s="52"/>
      <c r="AD11" s="55">
        <f t="shared" si="0"/>
        <v>0</v>
      </c>
      <c r="AF11" s="21"/>
      <c r="AG11" s="20"/>
    </row>
    <row r="12" spans="1:33" x14ac:dyDescent="0.2">
      <c r="A12" s="48"/>
      <c r="B12" s="48"/>
      <c r="C12" s="49"/>
      <c r="D12" s="50"/>
      <c r="E12" s="51"/>
      <c r="F12" s="52"/>
      <c r="G12" s="47"/>
      <c r="H12" s="47"/>
      <c r="I12" s="50"/>
      <c r="J12" s="53"/>
      <c r="K12" s="50"/>
      <c r="L12" s="47"/>
      <c r="M12" s="51"/>
      <c r="N12" s="51"/>
      <c r="O12" s="50"/>
      <c r="P12" s="50"/>
      <c r="Q12" s="52"/>
      <c r="R12" s="50"/>
      <c r="S12" s="50"/>
      <c r="T12" s="50"/>
      <c r="U12" s="50"/>
      <c r="V12" s="50"/>
      <c r="W12" s="50"/>
      <c r="X12" s="50"/>
      <c r="Y12" s="50"/>
      <c r="Z12" s="54"/>
      <c r="AA12" s="50"/>
      <c r="AB12" s="51"/>
      <c r="AC12" s="52"/>
      <c r="AD12" s="55">
        <f t="shared" si="0"/>
        <v>0</v>
      </c>
      <c r="AF12" s="21"/>
      <c r="AG12" s="20"/>
    </row>
    <row r="13" spans="1:33" x14ac:dyDescent="0.2">
      <c r="A13" s="48"/>
      <c r="B13" s="48"/>
      <c r="C13" s="49"/>
      <c r="D13" s="50"/>
      <c r="E13" s="51"/>
      <c r="F13" s="52"/>
      <c r="G13" s="47"/>
      <c r="H13" s="47"/>
      <c r="I13" s="50"/>
      <c r="J13" s="53"/>
      <c r="K13" s="50"/>
      <c r="L13" s="47"/>
      <c r="M13" s="51"/>
      <c r="N13" s="51"/>
      <c r="O13" s="50"/>
      <c r="P13" s="50"/>
      <c r="Q13" s="52"/>
      <c r="R13" s="50"/>
      <c r="S13" s="50"/>
      <c r="T13" s="50"/>
      <c r="U13" s="50"/>
      <c r="V13" s="50"/>
      <c r="W13" s="50"/>
      <c r="X13" s="50"/>
      <c r="Y13" s="50"/>
      <c r="Z13" s="54"/>
      <c r="AA13" s="50"/>
      <c r="AB13" s="51"/>
      <c r="AC13" s="52"/>
      <c r="AD13" s="55">
        <f t="shared" si="0"/>
        <v>0</v>
      </c>
      <c r="AF13" s="21"/>
      <c r="AG13" s="20"/>
    </row>
    <row r="14" spans="1:33" x14ac:dyDescent="0.2">
      <c r="A14" s="48"/>
      <c r="B14" s="48"/>
      <c r="C14" s="49"/>
      <c r="D14" s="50"/>
      <c r="E14" s="51"/>
      <c r="F14" s="52"/>
      <c r="G14" s="47"/>
      <c r="H14" s="47"/>
      <c r="I14" s="50"/>
      <c r="J14" s="53"/>
      <c r="K14" s="50"/>
      <c r="L14" s="47"/>
      <c r="M14" s="51"/>
      <c r="N14" s="51"/>
      <c r="O14" s="50"/>
      <c r="P14" s="50"/>
      <c r="Q14" s="52"/>
      <c r="R14" s="50"/>
      <c r="S14" s="50"/>
      <c r="T14" s="50"/>
      <c r="U14" s="50"/>
      <c r="V14" s="50"/>
      <c r="W14" s="50"/>
      <c r="X14" s="50"/>
      <c r="Y14" s="50"/>
      <c r="Z14" s="54"/>
      <c r="AA14" s="50"/>
      <c r="AB14" s="51"/>
      <c r="AC14" s="52"/>
      <c r="AD14" s="55">
        <f t="shared" si="0"/>
        <v>0</v>
      </c>
    </row>
    <row r="15" spans="1:33" x14ac:dyDescent="0.2">
      <c r="A15" s="48"/>
      <c r="B15" s="48"/>
      <c r="C15" s="49"/>
      <c r="D15" s="50"/>
      <c r="E15" s="51"/>
      <c r="F15" s="52"/>
      <c r="G15" s="47"/>
      <c r="H15" s="47"/>
      <c r="I15" s="50"/>
      <c r="J15" s="53"/>
      <c r="K15" s="50"/>
      <c r="L15" s="47"/>
      <c r="M15" s="51"/>
      <c r="N15" s="51"/>
      <c r="O15" s="50"/>
      <c r="P15" s="50"/>
      <c r="Q15" s="52"/>
      <c r="R15" s="50"/>
      <c r="S15" s="50"/>
      <c r="T15" s="50"/>
      <c r="U15" s="50"/>
      <c r="V15" s="50"/>
      <c r="W15" s="50"/>
      <c r="X15" s="50"/>
      <c r="Y15" s="50"/>
      <c r="Z15" s="54"/>
      <c r="AA15" s="50"/>
      <c r="AB15" s="51"/>
      <c r="AC15" s="52"/>
      <c r="AD15" s="55">
        <f t="shared" si="0"/>
        <v>0</v>
      </c>
    </row>
    <row r="16" spans="1:33" x14ac:dyDescent="0.2">
      <c r="A16" s="48"/>
      <c r="B16" s="48"/>
      <c r="C16" s="49"/>
      <c r="D16" s="50"/>
      <c r="E16" s="51"/>
      <c r="F16" s="52"/>
      <c r="G16" s="47"/>
      <c r="H16" s="47"/>
      <c r="I16" s="50"/>
      <c r="J16" s="53"/>
      <c r="K16" s="50"/>
      <c r="L16" s="47"/>
      <c r="M16" s="51"/>
      <c r="N16" s="51"/>
      <c r="O16" s="50"/>
      <c r="P16" s="50"/>
      <c r="Q16" s="52"/>
      <c r="R16" s="50"/>
      <c r="S16" s="50"/>
      <c r="T16" s="50"/>
      <c r="U16" s="50"/>
      <c r="V16" s="50"/>
      <c r="W16" s="50"/>
      <c r="X16" s="50"/>
      <c r="Y16" s="50"/>
      <c r="Z16" s="54"/>
      <c r="AA16" s="50"/>
      <c r="AB16" s="51"/>
      <c r="AC16" s="52"/>
      <c r="AD16" s="55">
        <f t="shared" si="0"/>
        <v>0</v>
      </c>
    </row>
    <row r="17" spans="1:30" x14ac:dyDescent="0.2">
      <c r="A17" s="48"/>
      <c r="B17" s="48"/>
      <c r="C17" s="49"/>
      <c r="D17" s="50"/>
      <c r="E17" s="51"/>
      <c r="F17" s="52"/>
      <c r="G17" s="47"/>
      <c r="H17" s="47"/>
      <c r="I17" s="50"/>
      <c r="J17" s="53"/>
      <c r="K17" s="50"/>
      <c r="L17" s="47"/>
      <c r="M17" s="51"/>
      <c r="N17" s="51"/>
      <c r="O17" s="50"/>
      <c r="P17" s="50"/>
      <c r="Q17" s="52"/>
      <c r="R17" s="50"/>
      <c r="S17" s="50"/>
      <c r="T17" s="50"/>
      <c r="U17" s="50"/>
      <c r="V17" s="50"/>
      <c r="W17" s="50"/>
      <c r="X17" s="50"/>
      <c r="Y17" s="50"/>
      <c r="Z17" s="54"/>
      <c r="AA17" s="50"/>
      <c r="AB17" s="51"/>
      <c r="AC17" s="52"/>
      <c r="AD17" s="55">
        <f t="shared" si="0"/>
        <v>0</v>
      </c>
    </row>
    <row r="18" spans="1:30" x14ac:dyDescent="0.2">
      <c r="A18" s="48"/>
      <c r="B18" s="48"/>
      <c r="C18" s="49"/>
      <c r="D18" s="50"/>
      <c r="E18" s="51"/>
      <c r="F18" s="52"/>
      <c r="G18" s="47"/>
      <c r="H18" s="47"/>
      <c r="I18" s="50"/>
      <c r="J18" s="53"/>
      <c r="K18" s="50"/>
      <c r="L18" s="47"/>
      <c r="M18" s="51"/>
      <c r="N18" s="51"/>
      <c r="O18" s="50"/>
      <c r="P18" s="50"/>
      <c r="Q18" s="52"/>
      <c r="R18" s="50"/>
      <c r="S18" s="50"/>
      <c r="T18" s="50"/>
      <c r="U18" s="50"/>
      <c r="V18" s="50"/>
      <c r="W18" s="50"/>
      <c r="X18" s="50"/>
      <c r="Y18" s="50"/>
      <c r="Z18" s="54"/>
      <c r="AA18" s="50"/>
      <c r="AB18" s="51"/>
      <c r="AC18" s="52"/>
      <c r="AD18" s="55">
        <f t="shared" si="0"/>
        <v>0</v>
      </c>
    </row>
    <row r="19" spans="1:30" x14ac:dyDescent="0.2">
      <c r="A19" s="48"/>
      <c r="B19" s="48"/>
      <c r="C19" s="49"/>
      <c r="D19" s="50"/>
      <c r="E19" s="51"/>
      <c r="F19" s="52"/>
      <c r="G19" s="47"/>
      <c r="H19" s="47"/>
      <c r="I19" s="50"/>
      <c r="J19" s="53"/>
      <c r="K19" s="50"/>
      <c r="L19" s="47"/>
      <c r="M19" s="51"/>
      <c r="N19" s="51"/>
      <c r="O19" s="50"/>
      <c r="P19" s="50"/>
      <c r="Q19" s="52"/>
      <c r="R19" s="50"/>
      <c r="S19" s="50"/>
      <c r="T19" s="50"/>
      <c r="U19" s="50"/>
      <c r="V19" s="50"/>
      <c r="W19" s="50"/>
      <c r="X19" s="50"/>
      <c r="Y19" s="50"/>
      <c r="Z19" s="54"/>
      <c r="AA19" s="50"/>
      <c r="AB19" s="51"/>
      <c r="AC19" s="52"/>
      <c r="AD19" s="55">
        <f t="shared" si="0"/>
        <v>0</v>
      </c>
    </row>
    <row r="20" spans="1:30" x14ac:dyDescent="0.2">
      <c r="A20" s="48"/>
      <c r="B20" s="48"/>
      <c r="C20" s="49"/>
      <c r="D20" s="50"/>
      <c r="E20" s="51"/>
      <c r="F20" s="52"/>
      <c r="G20" s="47"/>
      <c r="H20" s="47"/>
      <c r="I20" s="50"/>
      <c r="J20" s="53"/>
      <c r="K20" s="50"/>
      <c r="L20" s="47"/>
      <c r="M20" s="51"/>
      <c r="N20" s="51"/>
      <c r="O20" s="50"/>
      <c r="P20" s="50"/>
      <c r="Q20" s="52"/>
      <c r="R20" s="50"/>
      <c r="S20" s="50"/>
      <c r="T20" s="50"/>
      <c r="U20" s="50"/>
      <c r="V20" s="50"/>
      <c r="W20" s="50"/>
      <c r="X20" s="50"/>
      <c r="Y20" s="50"/>
      <c r="Z20" s="54"/>
      <c r="AA20" s="50"/>
      <c r="AB20" s="51"/>
      <c r="AC20" s="52"/>
      <c r="AD20" s="55">
        <f t="shared" si="0"/>
        <v>0</v>
      </c>
    </row>
    <row r="21" spans="1:30" x14ac:dyDescent="0.2">
      <c r="A21" s="48"/>
      <c r="B21" s="48"/>
      <c r="C21" s="49"/>
      <c r="D21" s="50"/>
      <c r="E21" s="51"/>
      <c r="F21" s="52"/>
      <c r="G21" s="47"/>
      <c r="H21" s="47"/>
      <c r="I21" s="50"/>
      <c r="J21" s="53"/>
      <c r="K21" s="50"/>
      <c r="L21" s="47"/>
      <c r="M21" s="51"/>
      <c r="N21" s="51"/>
      <c r="O21" s="50"/>
      <c r="P21" s="50"/>
      <c r="Q21" s="52"/>
      <c r="R21" s="50"/>
      <c r="S21" s="50"/>
      <c r="T21" s="50"/>
      <c r="U21" s="50"/>
      <c r="V21" s="50"/>
      <c r="W21" s="50"/>
      <c r="X21" s="50"/>
      <c r="Y21" s="50"/>
      <c r="Z21" s="54"/>
      <c r="AA21" s="50"/>
      <c r="AB21" s="51"/>
      <c r="AC21" s="52"/>
      <c r="AD21" s="55">
        <f t="shared" si="0"/>
        <v>0</v>
      </c>
    </row>
    <row r="22" spans="1:30" x14ac:dyDescent="0.2">
      <c r="A22" s="48"/>
      <c r="B22" s="48"/>
      <c r="C22" s="49"/>
      <c r="D22" s="50"/>
      <c r="E22" s="51"/>
      <c r="F22" s="52"/>
      <c r="G22" s="47"/>
      <c r="H22" s="47"/>
      <c r="I22" s="50"/>
      <c r="J22" s="53"/>
      <c r="K22" s="50"/>
      <c r="L22" s="47"/>
      <c r="M22" s="51"/>
      <c r="N22" s="51"/>
      <c r="O22" s="50"/>
      <c r="P22" s="50"/>
      <c r="Q22" s="52"/>
      <c r="R22" s="50"/>
      <c r="S22" s="50"/>
      <c r="T22" s="50"/>
      <c r="U22" s="50"/>
      <c r="V22" s="50"/>
      <c r="W22" s="50"/>
      <c r="X22" s="50"/>
      <c r="Y22" s="50"/>
      <c r="Z22" s="54"/>
      <c r="AA22" s="50"/>
      <c r="AB22" s="51"/>
      <c r="AC22" s="52"/>
      <c r="AD22" s="55">
        <f t="shared" si="0"/>
        <v>0</v>
      </c>
    </row>
    <row r="23" spans="1:30" x14ac:dyDescent="0.2">
      <c r="A23" s="48"/>
      <c r="B23" s="48"/>
      <c r="C23" s="49"/>
      <c r="D23" s="50"/>
      <c r="E23" s="51"/>
      <c r="F23" s="52"/>
      <c r="G23" s="47"/>
      <c r="H23" s="47"/>
      <c r="I23" s="50"/>
      <c r="J23" s="53"/>
      <c r="K23" s="50"/>
      <c r="L23" s="47"/>
      <c r="M23" s="51"/>
      <c r="N23" s="51"/>
      <c r="O23" s="50"/>
      <c r="P23" s="50"/>
      <c r="Q23" s="52"/>
      <c r="R23" s="50"/>
      <c r="S23" s="50"/>
      <c r="T23" s="50"/>
      <c r="U23" s="50"/>
      <c r="V23" s="50"/>
      <c r="W23" s="50"/>
      <c r="X23" s="50"/>
      <c r="Y23" s="50"/>
      <c r="Z23" s="54"/>
      <c r="AA23" s="50"/>
      <c r="AB23" s="51"/>
      <c r="AC23" s="52"/>
      <c r="AD23" s="55">
        <f t="shared" si="0"/>
        <v>0</v>
      </c>
    </row>
    <row r="24" spans="1:30" x14ac:dyDescent="0.2">
      <c r="A24" s="48"/>
      <c r="B24" s="48"/>
      <c r="C24" s="49"/>
      <c r="D24" s="50"/>
      <c r="E24" s="51"/>
      <c r="F24" s="52"/>
      <c r="G24" s="47"/>
      <c r="H24" s="47"/>
      <c r="I24" s="50"/>
      <c r="J24" s="53"/>
      <c r="K24" s="50"/>
      <c r="L24" s="47"/>
      <c r="M24" s="51"/>
      <c r="N24" s="51"/>
      <c r="O24" s="50"/>
      <c r="P24" s="50"/>
      <c r="Q24" s="52"/>
      <c r="R24" s="50"/>
      <c r="S24" s="50"/>
      <c r="T24" s="50"/>
      <c r="U24" s="50"/>
      <c r="V24" s="50"/>
      <c r="W24" s="50"/>
      <c r="X24" s="50"/>
      <c r="Y24" s="50"/>
      <c r="Z24" s="54"/>
      <c r="AA24" s="50"/>
      <c r="AB24" s="51"/>
      <c r="AC24" s="52"/>
      <c r="AD24" s="55">
        <f t="shared" si="0"/>
        <v>0</v>
      </c>
    </row>
    <row r="25" spans="1:30" x14ac:dyDescent="0.2">
      <c r="A25" s="48"/>
      <c r="B25" s="48"/>
      <c r="C25" s="49"/>
      <c r="D25" s="50"/>
      <c r="E25" s="51"/>
      <c r="F25" s="52"/>
      <c r="G25" s="47"/>
      <c r="H25" s="47"/>
      <c r="I25" s="50"/>
      <c r="J25" s="53"/>
      <c r="K25" s="50"/>
      <c r="L25" s="47"/>
      <c r="M25" s="51"/>
      <c r="N25" s="51"/>
      <c r="O25" s="50"/>
      <c r="P25" s="50"/>
      <c r="Q25" s="52"/>
      <c r="R25" s="50"/>
      <c r="S25" s="50"/>
      <c r="T25" s="50"/>
      <c r="U25" s="50"/>
      <c r="V25" s="50"/>
      <c r="W25" s="50"/>
      <c r="X25" s="50"/>
      <c r="Y25" s="50"/>
      <c r="Z25" s="54"/>
      <c r="AA25" s="50"/>
      <c r="AB25" s="51"/>
      <c r="AC25" s="52"/>
      <c r="AD25" s="55">
        <f t="shared" si="0"/>
        <v>0</v>
      </c>
    </row>
    <row r="26" spans="1:30" x14ac:dyDescent="0.2">
      <c r="A26" s="48"/>
      <c r="B26" s="48"/>
      <c r="C26" s="49"/>
      <c r="D26" s="50"/>
      <c r="E26" s="51"/>
      <c r="F26" s="52"/>
      <c r="G26" s="47"/>
      <c r="H26" s="47"/>
      <c r="I26" s="50"/>
      <c r="J26" s="53"/>
      <c r="K26" s="50"/>
      <c r="L26" s="47"/>
      <c r="M26" s="51"/>
      <c r="N26" s="51"/>
      <c r="O26" s="50"/>
      <c r="P26" s="50"/>
      <c r="Q26" s="52"/>
      <c r="R26" s="50"/>
      <c r="S26" s="50"/>
      <c r="T26" s="50"/>
      <c r="U26" s="50"/>
      <c r="V26" s="50"/>
      <c r="W26" s="50"/>
      <c r="X26" s="50"/>
      <c r="Y26" s="50"/>
      <c r="Z26" s="54"/>
      <c r="AA26" s="50"/>
      <c r="AB26" s="51"/>
      <c r="AC26" s="52"/>
      <c r="AD26" s="55">
        <f t="shared" si="0"/>
        <v>0</v>
      </c>
    </row>
    <row r="27" spans="1:30" x14ac:dyDescent="0.2">
      <c r="A27" s="48"/>
      <c r="B27" s="48"/>
      <c r="C27" s="49"/>
      <c r="D27" s="50"/>
      <c r="E27" s="51"/>
      <c r="F27" s="52"/>
      <c r="G27" s="47"/>
      <c r="H27" s="47"/>
      <c r="I27" s="50"/>
      <c r="J27" s="53"/>
      <c r="K27" s="50"/>
      <c r="L27" s="47"/>
      <c r="M27" s="51"/>
      <c r="N27" s="51"/>
      <c r="O27" s="50"/>
      <c r="P27" s="50"/>
      <c r="Q27" s="52"/>
      <c r="R27" s="50"/>
      <c r="S27" s="50"/>
      <c r="T27" s="50"/>
      <c r="U27" s="50"/>
      <c r="V27" s="50"/>
      <c r="W27" s="50"/>
      <c r="X27" s="50"/>
      <c r="Y27" s="50"/>
      <c r="Z27" s="54"/>
      <c r="AA27" s="50"/>
      <c r="AB27" s="51"/>
      <c r="AC27" s="52"/>
      <c r="AD27" s="55">
        <f t="shared" si="0"/>
        <v>0</v>
      </c>
    </row>
    <row r="28" spans="1:30" x14ac:dyDescent="0.2">
      <c r="A28" s="48"/>
      <c r="B28" s="48"/>
      <c r="C28" s="49"/>
      <c r="D28" s="50"/>
      <c r="E28" s="51"/>
      <c r="F28" s="52"/>
      <c r="G28" s="47"/>
      <c r="H28" s="47"/>
      <c r="I28" s="50"/>
      <c r="J28" s="53"/>
      <c r="K28" s="50"/>
      <c r="L28" s="47"/>
      <c r="M28" s="51"/>
      <c r="N28" s="51"/>
      <c r="O28" s="50"/>
      <c r="P28" s="50"/>
      <c r="Q28" s="52"/>
      <c r="R28" s="50"/>
      <c r="S28" s="50"/>
      <c r="T28" s="50"/>
      <c r="U28" s="50"/>
      <c r="V28" s="50"/>
      <c r="W28" s="50"/>
      <c r="X28" s="50"/>
      <c r="Y28" s="50"/>
      <c r="Z28" s="54"/>
      <c r="AA28" s="50"/>
      <c r="AB28" s="51"/>
      <c r="AC28" s="52"/>
      <c r="AD28" s="55">
        <f t="shared" si="0"/>
        <v>0</v>
      </c>
    </row>
    <row r="29" spans="1:30" x14ac:dyDescent="0.2">
      <c r="A29" s="48"/>
      <c r="B29" s="48"/>
      <c r="C29" s="49"/>
      <c r="D29" s="50"/>
      <c r="E29" s="51"/>
      <c r="F29" s="52"/>
      <c r="G29" s="47"/>
      <c r="H29" s="47"/>
      <c r="I29" s="50"/>
      <c r="J29" s="53"/>
      <c r="K29" s="50"/>
      <c r="L29" s="47"/>
      <c r="M29" s="51"/>
      <c r="N29" s="51"/>
      <c r="O29" s="50"/>
      <c r="P29" s="50"/>
      <c r="Q29" s="52"/>
      <c r="R29" s="50"/>
      <c r="S29" s="50"/>
      <c r="T29" s="50"/>
      <c r="U29" s="50"/>
      <c r="V29" s="50"/>
      <c r="W29" s="50"/>
      <c r="X29" s="50"/>
      <c r="Y29" s="50"/>
      <c r="Z29" s="54"/>
      <c r="AA29" s="50"/>
      <c r="AB29" s="51"/>
      <c r="AC29" s="52"/>
      <c r="AD29" s="55">
        <f t="shared" si="0"/>
        <v>0</v>
      </c>
    </row>
    <row r="30" spans="1:30" x14ac:dyDescent="0.2">
      <c r="A30" s="48"/>
      <c r="B30" s="48"/>
      <c r="C30" s="49"/>
      <c r="D30" s="50"/>
      <c r="E30" s="51"/>
      <c r="F30" s="52"/>
      <c r="G30" s="47"/>
      <c r="H30" s="47"/>
      <c r="I30" s="50"/>
      <c r="J30" s="53"/>
      <c r="K30" s="50"/>
      <c r="L30" s="47"/>
      <c r="M30" s="51"/>
      <c r="N30" s="51"/>
      <c r="O30" s="50"/>
      <c r="P30" s="50"/>
      <c r="Q30" s="52"/>
      <c r="R30" s="50"/>
      <c r="S30" s="50"/>
      <c r="T30" s="50"/>
      <c r="U30" s="50"/>
      <c r="V30" s="50"/>
      <c r="W30" s="50"/>
      <c r="X30" s="50"/>
      <c r="Y30" s="50"/>
      <c r="Z30" s="54"/>
      <c r="AA30" s="50"/>
      <c r="AB30" s="51"/>
      <c r="AC30" s="52"/>
      <c r="AD30" s="55">
        <f t="shared" si="0"/>
        <v>0</v>
      </c>
    </row>
    <row r="31" spans="1:30" x14ac:dyDescent="0.2">
      <c r="A31" s="48"/>
      <c r="B31" s="48"/>
      <c r="C31" s="49"/>
      <c r="D31" s="50"/>
      <c r="E31" s="51"/>
      <c r="F31" s="52"/>
      <c r="G31" s="47"/>
      <c r="H31" s="47"/>
      <c r="I31" s="50"/>
      <c r="J31" s="53"/>
      <c r="K31" s="50"/>
      <c r="L31" s="47"/>
      <c r="M31" s="51"/>
      <c r="N31" s="51"/>
      <c r="O31" s="50"/>
      <c r="P31" s="50"/>
      <c r="Q31" s="52"/>
      <c r="R31" s="50"/>
      <c r="S31" s="50"/>
      <c r="T31" s="50"/>
      <c r="U31" s="50"/>
      <c r="V31" s="50"/>
      <c r="W31" s="50"/>
      <c r="X31" s="50"/>
      <c r="Y31" s="50"/>
      <c r="Z31" s="54"/>
      <c r="AA31" s="50"/>
      <c r="AB31" s="51"/>
      <c r="AC31" s="52"/>
      <c r="AD31" s="55">
        <f t="shared" si="0"/>
        <v>0</v>
      </c>
    </row>
    <row r="32" spans="1:30" x14ac:dyDescent="0.2">
      <c r="A32" s="48"/>
      <c r="B32" s="48"/>
      <c r="C32" s="49"/>
      <c r="D32" s="50"/>
      <c r="E32" s="51"/>
      <c r="F32" s="52"/>
      <c r="G32" s="47"/>
      <c r="H32" s="47"/>
      <c r="I32" s="50"/>
      <c r="J32" s="53"/>
      <c r="K32" s="50"/>
      <c r="L32" s="47"/>
      <c r="M32" s="51"/>
      <c r="N32" s="51"/>
      <c r="O32" s="50"/>
      <c r="P32" s="50"/>
      <c r="Q32" s="52"/>
      <c r="R32" s="50"/>
      <c r="S32" s="50"/>
      <c r="T32" s="50"/>
      <c r="U32" s="50"/>
      <c r="V32" s="50"/>
      <c r="W32" s="50"/>
      <c r="X32" s="50"/>
      <c r="Y32" s="50"/>
      <c r="Z32" s="54"/>
      <c r="AA32" s="50"/>
      <c r="AB32" s="51"/>
      <c r="AC32" s="52"/>
      <c r="AD32" s="55">
        <f t="shared" si="0"/>
        <v>0</v>
      </c>
    </row>
    <row r="33" spans="1:30" x14ac:dyDescent="0.2">
      <c r="A33" s="48"/>
      <c r="B33" s="48"/>
      <c r="C33" s="49"/>
      <c r="D33" s="50"/>
      <c r="E33" s="51"/>
      <c r="F33" s="52"/>
      <c r="G33" s="47"/>
      <c r="H33" s="47"/>
      <c r="I33" s="50"/>
      <c r="J33" s="53"/>
      <c r="K33" s="50"/>
      <c r="L33" s="47"/>
      <c r="M33" s="51"/>
      <c r="N33" s="51"/>
      <c r="O33" s="50"/>
      <c r="P33" s="50"/>
      <c r="Q33" s="52"/>
      <c r="R33" s="50"/>
      <c r="S33" s="50"/>
      <c r="T33" s="50"/>
      <c r="U33" s="50"/>
      <c r="V33" s="50"/>
      <c r="W33" s="50"/>
      <c r="X33" s="50"/>
      <c r="Y33" s="50"/>
      <c r="Z33" s="54"/>
      <c r="AA33" s="50"/>
      <c r="AB33" s="51"/>
      <c r="AC33" s="52"/>
      <c r="AD33" s="55">
        <f t="shared" si="0"/>
        <v>0</v>
      </c>
    </row>
    <row r="34" spans="1:30" x14ac:dyDescent="0.2">
      <c r="A34" s="48"/>
      <c r="B34" s="48"/>
      <c r="C34" s="49"/>
      <c r="D34" s="50"/>
      <c r="E34" s="51"/>
      <c r="F34" s="52"/>
      <c r="G34" s="47"/>
      <c r="H34" s="47"/>
      <c r="I34" s="50"/>
      <c r="J34" s="53"/>
      <c r="K34" s="50"/>
      <c r="L34" s="47"/>
      <c r="M34" s="51"/>
      <c r="N34" s="51"/>
      <c r="O34" s="50"/>
      <c r="P34" s="50"/>
      <c r="Q34" s="52"/>
      <c r="R34" s="50"/>
      <c r="S34" s="50"/>
      <c r="T34" s="50"/>
      <c r="U34" s="50"/>
      <c r="V34" s="50"/>
      <c r="W34" s="50"/>
      <c r="X34" s="50"/>
      <c r="Y34" s="50"/>
      <c r="Z34" s="54"/>
      <c r="AA34" s="50"/>
      <c r="AB34" s="51"/>
      <c r="AC34" s="52"/>
      <c r="AD34" s="55">
        <f t="shared" si="0"/>
        <v>0</v>
      </c>
    </row>
    <row r="35" spans="1:30" x14ac:dyDescent="0.2">
      <c r="A35" s="48"/>
      <c r="B35" s="48"/>
      <c r="C35" s="49"/>
      <c r="D35" s="50"/>
      <c r="E35" s="51"/>
      <c r="F35" s="52"/>
      <c r="G35" s="47"/>
      <c r="H35" s="47"/>
      <c r="I35" s="50"/>
      <c r="J35" s="53"/>
      <c r="K35" s="50"/>
      <c r="L35" s="47"/>
      <c r="M35" s="51"/>
      <c r="N35" s="51"/>
      <c r="O35" s="50"/>
      <c r="P35" s="50"/>
      <c r="Q35" s="52"/>
      <c r="R35" s="50"/>
      <c r="S35" s="50"/>
      <c r="T35" s="50"/>
      <c r="U35" s="50"/>
      <c r="V35" s="50"/>
      <c r="W35" s="50"/>
      <c r="X35" s="50"/>
      <c r="Y35" s="50"/>
      <c r="Z35" s="54"/>
      <c r="AA35" s="50"/>
      <c r="AB35" s="51"/>
      <c r="AC35" s="52"/>
      <c r="AD35" s="55">
        <f t="shared" si="0"/>
        <v>0</v>
      </c>
    </row>
    <row r="36" spans="1:30" x14ac:dyDescent="0.2">
      <c r="A36" s="48"/>
      <c r="B36" s="48"/>
      <c r="C36" s="49"/>
      <c r="D36" s="50"/>
      <c r="E36" s="51"/>
      <c r="F36" s="52"/>
      <c r="G36" s="47"/>
      <c r="H36" s="47"/>
      <c r="I36" s="50"/>
      <c r="J36" s="53"/>
      <c r="K36" s="50"/>
      <c r="L36" s="47"/>
      <c r="M36" s="51"/>
      <c r="N36" s="51"/>
      <c r="O36" s="50"/>
      <c r="P36" s="50"/>
      <c r="Q36" s="52"/>
      <c r="R36" s="50"/>
      <c r="S36" s="50"/>
      <c r="T36" s="50"/>
      <c r="U36" s="50"/>
      <c r="V36" s="50"/>
      <c r="W36" s="50"/>
      <c r="X36" s="50"/>
      <c r="Y36" s="50"/>
      <c r="Z36" s="54"/>
      <c r="AA36" s="50"/>
      <c r="AB36" s="51"/>
      <c r="AC36" s="52"/>
      <c r="AD36" s="55">
        <f t="shared" si="0"/>
        <v>0</v>
      </c>
    </row>
    <row r="37" spans="1:30" x14ac:dyDescent="0.2">
      <c r="A37" s="48"/>
      <c r="B37" s="48"/>
      <c r="C37" s="49"/>
      <c r="D37" s="50"/>
      <c r="E37" s="51"/>
      <c r="F37" s="52"/>
      <c r="G37" s="47"/>
      <c r="H37" s="47"/>
      <c r="I37" s="50"/>
      <c r="J37" s="53"/>
      <c r="K37" s="50"/>
      <c r="L37" s="47"/>
      <c r="M37" s="51"/>
      <c r="N37" s="51"/>
      <c r="O37" s="50"/>
      <c r="P37" s="50"/>
      <c r="Q37" s="52"/>
      <c r="R37" s="50"/>
      <c r="S37" s="50"/>
      <c r="T37" s="50"/>
      <c r="U37" s="50"/>
      <c r="V37" s="50"/>
      <c r="W37" s="50"/>
      <c r="X37" s="50"/>
      <c r="Y37" s="50"/>
      <c r="Z37" s="54"/>
      <c r="AA37" s="50"/>
      <c r="AB37" s="51"/>
      <c r="AC37" s="52"/>
      <c r="AD37" s="55">
        <f t="shared" si="0"/>
        <v>0</v>
      </c>
    </row>
    <row r="38" spans="1:30" x14ac:dyDescent="0.2">
      <c r="A38" s="48"/>
      <c r="B38" s="48"/>
      <c r="C38" s="49"/>
      <c r="D38" s="50"/>
      <c r="E38" s="51"/>
      <c r="F38" s="52"/>
      <c r="G38" s="47"/>
      <c r="H38" s="47"/>
      <c r="I38" s="50"/>
      <c r="J38" s="53"/>
      <c r="K38" s="50"/>
      <c r="L38" s="47"/>
      <c r="M38" s="51"/>
      <c r="N38" s="51"/>
      <c r="O38" s="50"/>
      <c r="P38" s="50"/>
      <c r="Q38" s="52"/>
      <c r="R38" s="50"/>
      <c r="S38" s="50"/>
      <c r="T38" s="50"/>
      <c r="U38" s="50"/>
      <c r="V38" s="50"/>
      <c r="W38" s="50"/>
      <c r="X38" s="50"/>
      <c r="Y38" s="50"/>
      <c r="Z38" s="54"/>
      <c r="AA38" s="50"/>
      <c r="AB38" s="51"/>
      <c r="AC38" s="52"/>
      <c r="AD38" s="55">
        <f t="shared" si="0"/>
        <v>0</v>
      </c>
    </row>
    <row r="39" spans="1:30" x14ac:dyDescent="0.2">
      <c r="A39" s="48"/>
      <c r="B39" s="48"/>
      <c r="C39" s="49"/>
      <c r="D39" s="50"/>
      <c r="E39" s="51"/>
      <c r="F39" s="52"/>
      <c r="G39" s="47"/>
      <c r="H39" s="47"/>
      <c r="I39" s="50"/>
      <c r="J39" s="53"/>
      <c r="K39" s="50"/>
      <c r="L39" s="47"/>
      <c r="M39" s="51"/>
      <c r="N39" s="51"/>
      <c r="O39" s="50"/>
      <c r="P39" s="50"/>
      <c r="Q39" s="52"/>
      <c r="R39" s="50"/>
      <c r="S39" s="50"/>
      <c r="T39" s="50"/>
      <c r="U39" s="50"/>
      <c r="V39" s="50"/>
      <c r="W39" s="50"/>
      <c r="X39" s="50"/>
      <c r="Y39" s="50"/>
      <c r="Z39" s="54"/>
      <c r="AA39" s="50"/>
      <c r="AB39" s="51"/>
      <c r="AC39" s="52"/>
      <c r="AD39" s="55">
        <f t="shared" si="0"/>
        <v>0</v>
      </c>
    </row>
    <row r="40" spans="1:30" x14ac:dyDescent="0.2">
      <c r="A40" s="48"/>
      <c r="B40" s="48"/>
      <c r="C40" s="49"/>
      <c r="D40" s="50"/>
      <c r="E40" s="51"/>
      <c r="F40" s="52"/>
      <c r="G40" s="47"/>
      <c r="H40" s="47"/>
      <c r="I40" s="50"/>
      <c r="J40" s="53"/>
      <c r="K40" s="50"/>
      <c r="L40" s="47"/>
      <c r="M40" s="51"/>
      <c r="N40" s="51"/>
      <c r="O40" s="50"/>
      <c r="P40" s="50"/>
      <c r="Q40" s="52"/>
      <c r="R40" s="50"/>
      <c r="S40" s="50"/>
      <c r="T40" s="50"/>
      <c r="U40" s="50"/>
      <c r="V40" s="50"/>
      <c r="W40" s="50"/>
      <c r="X40" s="50"/>
      <c r="Y40" s="50"/>
      <c r="Z40" s="54"/>
      <c r="AA40" s="50"/>
      <c r="AB40" s="51"/>
      <c r="AC40" s="52"/>
      <c r="AD40" s="55">
        <f t="shared" si="0"/>
        <v>0</v>
      </c>
    </row>
    <row r="41" spans="1:30" x14ac:dyDescent="0.2">
      <c r="A41" s="48"/>
      <c r="B41" s="48"/>
      <c r="C41" s="49"/>
      <c r="D41" s="50"/>
      <c r="E41" s="51"/>
      <c r="F41" s="52"/>
      <c r="G41" s="47"/>
      <c r="H41" s="47"/>
      <c r="I41" s="50"/>
      <c r="J41" s="53"/>
      <c r="K41" s="50"/>
      <c r="L41" s="47"/>
      <c r="M41" s="51"/>
      <c r="N41" s="51"/>
      <c r="O41" s="50"/>
      <c r="P41" s="50"/>
      <c r="Q41" s="52"/>
      <c r="R41" s="50"/>
      <c r="S41" s="50"/>
      <c r="T41" s="50"/>
      <c r="U41" s="50"/>
      <c r="V41" s="50"/>
      <c r="W41" s="50"/>
      <c r="X41" s="50"/>
      <c r="Y41" s="50"/>
      <c r="Z41" s="54"/>
      <c r="AA41" s="50"/>
      <c r="AB41" s="51"/>
      <c r="AC41" s="52"/>
      <c r="AD41" s="55">
        <f t="shared" si="0"/>
        <v>0</v>
      </c>
    </row>
    <row r="42" spans="1:30" x14ac:dyDescent="0.2">
      <c r="A42" s="48"/>
      <c r="B42" s="48"/>
      <c r="C42" s="49"/>
      <c r="D42" s="50"/>
      <c r="E42" s="51"/>
      <c r="F42" s="52"/>
      <c r="G42" s="47"/>
      <c r="H42" s="47"/>
      <c r="I42" s="50"/>
      <c r="J42" s="53"/>
      <c r="K42" s="50"/>
      <c r="L42" s="47"/>
      <c r="M42" s="51"/>
      <c r="N42" s="51"/>
      <c r="O42" s="50"/>
      <c r="P42" s="50"/>
      <c r="Q42" s="52"/>
      <c r="R42" s="50"/>
      <c r="S42" s="50"/>
      <c r="T42" s="50"/>
      <c r="U42" s="50"/>
      <c r="V42" s="50"/>
      <c r="W42" s="50"/>
      <c r="X42" s="50"/>
      <c r="Y42" s="50"/>
      <c r="Z42" s="54"/>
      <c r="AA42" s="50"/>
      <c r="AB42" s="51"/>
      <c r="AC42" s="52"/>
      <c r="AD42" s="55">
        <f t="shared" si="0"/>
        <v>0</v>
      </c>
    </row>
    <row r="43" spans="1:30" x14ac:dyDescent="0.2">
      <c r="A43" s="48"/>
      <c r="B43" s="48"/>
      <c r="C43" s="49"/>
      <c r="D43" s="50"/>
      <c r="E43" s="51"/>
      <c r="F43" s="52"/>
      <c r="G43" s="47"/>
      <c r="H43" s="47"/>
      <c r="I43" s="50"/>
      <c r="J43" s="53"/>
      <c r="K43" s="50"/>
      <c r="L43" s="47"/>
      <c r="M43" s="51"/>
      <c r="N43" s="51"/>
      <c r="O43" s="50"/>
      <c r="P43" s="50"/>
      <c r="Q43" s="52"/>
      <c r="R43" s="50"/>
      <c r="S43" s="50"/>
      <c r="T43" s="50"/>
      <c r="U43" s="50"/>
      <c r="V43" s="50"/>
      <c r="W43" s="50"/>
      <c r="X43" s="50"/>
      <c r="Y43" s="50"/>
      <c r="Z43" s="54"/>
      <c r="AA43" s="50"/>
      <c r="AB43" s="51"/>
      <c r="AC43" s="52"/>
      <c r="AD43" s="55">
        <f t="shared" si="0"/>
        <v>0</v>
      </c>
    </row>
    <row r="44" spans="1:30" x14ac:dyDescent="0.2">
      <c r="A44" s="48"/>
      <c r="B44" s="48"/>
      <c r="C44" s="49"/>
      <c r="D44" s="50"/>
      <c r="E44" s="51"/>
      <c r="F44" s="52"/>
      <c r="G44" s="47"/>
      <c r="H44" s="47"/>
      <c r="I44" s="50"/>
      <c r="J44" s="53"/>
      <c r="K44" s="50"/>
      <c r="L44" s="47"/>
      <c r="M44" s="51"/>
      <c r="N44" s="51"/>
      <c r="O44" s="50"/>
      <c r="P44" s="50"/>
      <c r="Q44" s="52"/>
      <c r="R44" s="50"/>
      <c r="S44" s="50"/>
      <c r="T44" s="50"/>
      <c r="U44" s="50"/>
      <c r="V44" s="50"/>
      <c r="W44" s="50"/>
      <c r="X44" s="50"/>
      <c r="Y44" s="50"/>
      <c r="Z44" s="54"/>
      <c r="AA44" s="50"/>
      <c r="AB44" s="51"/>
      <c r="AC44" s="52"/>
      <c r="AD44" s="55">
        <f t="shared" si="0"/>
        <v>0</v>
      </c>
    </row>
    <row r="45" spans="1:30" x14ac:dyDescent="0.2">
      <c r="A45" s="48"/>
      <c r="B45" s="48"/>
      <c r="C45" s="49"/>
      <c r="D45" s="50"/>
      <c r="E45" s="51"/>
      <c r="F45" s="52"/>
      <c r="G45" s="47"/>
      <c r="H45" s="47"/>
      <c r="I45" s="50"/>
      <c r="J45" s="53"/>
      <c r="K45" s="50"/>
      <c r="L45" s="47"/>
      <c r="M45" s="51"/>
      <c r="N45" s="51"/>
      <c r="O45" s="50"/>
      <c r="P45" s="50"/>
      <c r="Q45" s="52"/>
      <c r="R45" s="50"/>
      <c r="S45" s="50"/>
      <c r="T45" s="50"/>
      <c r="U45" s="50"/>
      <c r="V45" s="50"/>
      <c r="W45" s="50"/>
      <c r="X45" s="50"/>
      <c r="Y45" s="50"/>
      <c r="Z45" s="54"/>
      <c r="AA45" s="50"/>
      <c r="AB45" s="51"/>
      <c r="AC45" s="52"/>
      <c r="AD45" s="55">
        <f t="shared" si="0"/>
        <v>0</v>
      </c>
    </row>
    <row r="46" spans="1:30" x14ac:dyDescent="0.2">
      <c r="A46" s="48"/>
      <c r="B46" s="48"/>
      <c r="C46" s="49"/>
      <c r="D46" s="50"/>
      <c r="E46" s="51"/>
      <c r="F46" s="52"/>
      <c r="G46" s="47"/>
      <c r="H46" s="47"/>
      <c r="I46" s="50"/>
      <c r="J46" s="53"/>
      <c r="K46" s="50"/>
      <c r="L46" s="47"/>
      <c r="M46" s="51"/>
      <c r="N46" s="51"/>
      <c r="O46" s="50"/>
      <c r="P46" s="50"/>
      <c r="Q46" s="52"/>
      <c r="R46" s="50"/>
      <c r="S46" s="50"/>
      <c r="T46" s="50"/>
      <c r="U46" s="50"/>
      <c r="V46" s="50"/>
      <c r="W46" s="50"/>
      <c r="X46" s="50"/>
      <c r="Y46" s="50"/>
      <c r="Z46" s="54"/>
      <c r="AA46" s="50"/>
      <c r="AB46" s="51"/>
      <c r="AC46" s="52"/>
      <c r="AD46" s="55">
        <f t="shared" si="0"/>
        <v>0</v>
      </c>
    </row>
    <row r="47" spans="1:30" x14ac:dyDescent="0.2">
      <c r="A47" s="48"/>
      <c r="B47" s="48"/>
      <c r="C47" s="49"/>
      <c r="D47" s="50"/>
      <c r="E47" s="51"/>
      <c r="F47" s="52"/>
      <c r="G47" s="47"/>
      <c r="H47" s="47"/>
      <c r="I47" s="50"/>
      <c r="J47" s="53"/>
      <c r="K47" s="50"/>
      <c r="L47" s="47"/>
      <c r="M47" s="51"/>
      <c r="N47" s="51"/>
      <c r="O47" s="50"/>
      <c r="P47" s="50"/>
      <c r="Q47" s="52"/>
      <c r="R47" s="50"/>
      <c r="S47" s="50"/>
      <c r="T47" s="50"/>
      <c r="U47" s="50"/>
      <c r="V47" s="50"/>
      <c r="W47" s="50"/>
      <c r="X47" s="50"/>
      <c r="Y47" s="50"/>
      <c r="Z47" s="54"/>
      <c r="AA47" s="50"/>
      <c r="AB47" s="51"/>
      <c r="AC47" s="52"/>
      <c r="AD47" s="55">
        <f t="shared" si="0"/>
        <v>0</v>
      </c>
    </row>
    <row r="48" spans="1:30" x14ac:dyDescent="0.2">
      <c r="A48" s="48"/>
      <c r="B48" s="48"/>
      <c r="C48" s="49"/>
      <c r="D48" s="50"/>
      <c r="E48" s="51"/>
      <c r="F48" s="52"/>
      <c r="G48" s="47"/>
      <c r="H48" s="47"/>
      <c r="I48" s="50"/>
      <c r="J48" s="53"/>
      <c r="K48" s="50"/>
      <c r="L48" s="47"/>
      <c r="M48" s="51"/>
      <c r="N48" s="51"/>
      <c r="O48" s="50"/>
      <c r="P48" s="50"/>
      <c r="Q48" s="52"/>
      <c r="R48" s="50"/>
      <c r="S48" s="50"/>
      <c r="T48" s="50"/>
      <c r="U48" s="50"/>
      <c r="V48" s="50"/>
      <c r="W48" s="50"/>
      <c r="X48" s="50"/>
      <c r="Y48" s="50"/>
      <c r="Z48" s="54"/>
      <c r="AA48" s="50"/>
      <c r="AB48" s="51"/>
      <c r="AC48" s="52"/>
      <c r="AD48" s="55">
        <f t="shared" si="0"/>
        <v>0</v>
      </c>
    </row>
    <row r="49" spans="1:30" x14ac:dyDescent="0.2">
      <c r="A49" s="48"/>
      <c r="B49" s="48"/>
      <c r="C49" s="49"/>
      <c r="D49" s="50"/>
      <c r="E49" s="51"/>
      <c r="F49" s="52"/>
      <c r="G49" s="47"/>
      <c r="H49" s="47"/>
      <c r="I49" s="50"/>
      <c r="J49" s="53"/>
      <c r="K49" s="50"/>
      <c r="L49" s="47"/>
      <c r="M49" s="51"/>
      <c r="N49" s="51"/>
      <c r="O49" s="50"/>
      <c r="P49" s="50"/>
      <c r="Q49" s="52"/>
      <c r="R49" s="50"/>
      <c r="S49" s="50"/>
      <c r="T49" s="50"/>
      <c r="U49" s="50"/>
      <c r="V49" s="50"/>
      <c r="W49" s="50"/>
      <c r="X49" s="50"/>
      <c r="Y49" s="50"/>
      <c r="Z49" s="54"/>
      <c r="AA49" s="50"/>
      <c r="AB49" s="51"/>
      <c r="AC49" s="52"/>
      <c r="AD49" s="55">
        <f t="shared" si="0"/>
        <v>0</v>
      </c>
    </row>
    <row r="50" spans="1:30" x14ac:dyDescent="0.2">
      <c r="A50" s="48"/>
      <c r="B50" s="48"/>
      <c r="C50" s="49"/>
      <c r="D50" s="50"/>
      <c r="E50" s="51"/>
      <c r="F50" s="52"/>
      <c r="G50" s="47"/>
      <c r="H50" s="47"/>
      <c r="I50" s="50"/>
      <c r="J50" s="53"/>
      <c r="K50" s="50"/>
      <c r="L50" s="47"/>
      <c r="M50" s="51"/>
      <c r="N50" s="51"/>
      <c r="O50" s="50"/>
      <c r="P50" s="50"/>
      <c r="Q50" s="52"/>
      <c r="R50" s="50"/>
      <c r="S50" s="50"/>
      <c r="T50" s="50"/>
      <c r="U50" s="50"/>
      <c r="V50" s="50"/>
      <c r="W50" s="50"/>
      <c r="X50" s="50"/>
      <c r="Y50" s="50"/>
      <c r="Z50" s="54"/>
      <c r="AA50" s="50"/>
      <c r="AB50" s="51"/>
      <c r="AC50" s="52"/>
      <c r="AD50" s="55">
        <f t="shared" si="0"/>
        <v>0</v>
      </c>
    </row>
    <row r="51" spans="1:30" x14ac:dyDescent="0.2">
      <c r="A51" s="48"/>
      <c r="B51" s="48"/>
      <c r="C51" s="49"/>
      <c r="D51" s="50"/>
      <c r="E51" s="51"/>
      <c r="F51" s="52"/>
      <c r="G51" s="47"/>
      <c r="H51" s="47"/>
      <c r="I51" s="50"/>
      <c r="J51" s="53"/>
      <c r="K51" s="50"/>
      <c r="L51" s="47"/>
      <c r="M51" s="51"/>
      <c r="N51" s="51"/>
      <c r="O51" s="50"/>
      <c r="P51" s="50"/>
      <c r="Q51" s="52"/>
      <c r="R51" s="50"/>
      <c r="S51" s="50"/>
      <c r="T51" s="50"/>
      <c r="U51" s="50"/>
      <c r="V51" s="50"/>
      <c r="W51" s="50"/>
      <c r="X51" s="50"/>
      <c r="Y51" s="50"/>
      <c r="Z51" s="54"/>
      <c r="AA51" s="50"/>
      <c r="AB51" s="51"/>
      <c r="AC51" s="52"/>
      <c r="AD51" s="55">
        <f t="shared" si="0"/>
        <v>0</v>
      </c>
    </row>
    <row r="52" spans="1:30" x14ac:dyDescent="0.2">
      <c r="A52" s="48"/>
      <c r="B52" s="48"/>
      <c r="C52" s="49"/>
      <c r="D52" s="50"/>
      <c r="E52" s="51"/>
      <c r="F52" s="52"/>
      <c r="G52" s="47"/>
      <c r="H52" s="47"/>
      <c r="I52" s="50"/>
      <c r="J52" s="53"/>
      <c r="K52" s="50"/>
      <c r="L52" s="47"/>
      <c r="M52" s="51"/>
      <c r="N52" s="51"/>
      <c r="O52" s="50"/>
      <c r="P52" s="50"/>
      <c r="Q52" s="52"/>
      <c r="R52" s="50"/>
      <c r="S52" s="50"/>
      <c r="T52" s="50"/>
      <c r="U52" s="50"/>
      <c r="V52" s="50"/>
      <c r="W52" s="50"/>
      <c r="X52" s="50"/>
      <c r="Y52" s="50"/>
      <c r="Z52" s="54"/>
      <c r="AA52" s="50"/>
      <c r="AB52" s="51"/>
      <c r="AC52" s="52"/>
      <c r="AD52" s="55">
        <f t="shared" si="0"/>
        <v>0</v>
      </c>
    </row>
    <row r="53" spans="1:30" x14ac:dyDescent="0.2">
      <c r="A53" s="48"/>
      <c r="B53" s="48"/>
      <c r="C53" s="49"/>
      <c r="D53" s="50"/>
      <c r="E53" s="51"/>
      <c r="F53" s="52"/>
      <c r="G53" s="47"/>
      <c r="H53" s="47"/>
      <c r="I53" s="50"/>
      <c r="J53" s="53"/>
      <c r="K53" s="50"/>
      <c r="L53" s="47"/>
      <c r="M53" s="51"/>
      <c r="N53" s="51"/>
      <c r="O53" s="50"/>
      <c r="P53" s="50"/>
      <c r="Q53" s="52"/>
      <c r="R53" s="50"/>
      <c r="S53" s="50"/>
      <c r="T53" s="50"/>
      <c r="U53" s="50"/>
      <c r="V53" s="50"/>
      <c r="W53" s="50"/>
      <c r="X53" s="50"/>
      <c r="Y53" s="50"/>
      <c r="Z53" s="54"/>
      <c r="AA53" s="50"/>
      <c r="AB53" s="51"/>
      <c r="AC53" s="52"/>
      <c r="AD53" s="55">
        <f t="shared" si="0"/>
        <v>0</v>
      </c>
    </row>
    <row r="54" spans="1:30" x14ac:dyDescent="0.2">
      <c r="A54" s="48"/>
      <c r="B54" s="48"/>
      <c r="C54" s="49"/>
      <c r="D54" s="50"/>
      <c r="E54" s="51"/>
      <c r="F54" s="52"/>
      <c r="G54" s="47"/>
      <c r="H54" s="47"/>
      <c r="I54" s="50"/>
      <c r="J54" s="53"/>
      <c r="K54" s="50"/>
      <c r="L54" s="47"/>
      <c r="M54" s="51"/>
      <c r="N54" s="51"/>
      <c r="O54" s="50"/>
      <c r="P54" s="50"/>
      <c r="Q54" s="52"/>
      <c r="R54" s="50"/>
      <c r="S54" s="50"/>
      <c r="T54" s="50"/>
      <c r="U54" s="50"/>
      <c r="V54" s="50"/>
      <c r="W54" s="50"/>
      <c r="X54" s="50"/>
      <c r="Y54" s="50"/>
      <c r="Z54" s="54"/>
      <c r="AA54" s="50"/>
      <c r="AB54" s="51"/>
      <c r="AC54" s="52"/>
      <c r="AD54" s="55">
        <f t="shared" si="0"/>
        <v>0</v>
      </c>
    </row>
    <row r="55" spans="1:30" x14ac:dyDescent="0.2">
      <c r="A55" s="48"/>
      <c r="B55" s="48"/>
      <c r="C55" s="49"/>
      <c r="D55" s="50"/>
      <c r="E55" s="51"/>
      <c r="F55" s="52"/>
      <c r="G55" s="47"/>
      <c r="H55" s="47"/>
      <c r="I55" s="50"/>
      <c r="J55" s="53"/>
      <c r="K55" s="50"/>
      <c r="L55" s="47"/>
      <c r="M55" s="51"/>
      <c r="N55" s="51"/>
      <c r="O55" s="50"/>
      <c r="P55" s="50"/>
      <c r="Q55" s="52"/>
      <c r="R55" s="50"/>
      <c r="S55" s="50"/>
      <c r="T55" s="50"/>
      <c r="U55" s="50"/>
      <c r="V55" s="50"/>
      <c r="W55" s="50"/>
      <c r="X55" s="50"/>
      <c r="Y55" s="50"/>
      <c r="Z55" s="54"/>
      <c r="AA55" s="50"/>
      <c r="AB55" s="51"/>
      <c r="AC55" s="52"/>
      <c r="AD55" s="55">
        <f t="shared" si="0"/>
        <v>0</v>
      </c>
    </row>
    <row r="56" spans="1:30" x14ac:dyDescent="0.2">
      <c r="A56" s="48"/>
      <c r="B56" s="48"/>
      <c r="C56" s="49"/>
      <c r="D56" s="50"/>
      <c r="E56" s="51"/>
      <c r="F56" s="52"/>
      <c r="G56" s="47"/>
      <c r="H56" s="47"/>
      <c r="I56" s="50"/>
      <c r="J56" s="53"/>
      <c r="K56" s="50"/>
      <c r="L56" s="47"/>
      <c r="M56" s="51"/>
      <c r="N56" s="51"/>
      <c r="O56" s="50"/>
      <c r="P56" s="50"/>
      <c r="Q56" s="52"/>
      <c r="R56" s="50"/>
      <c r="S56" s="50"/>
      <c r="T56" s="50"/>
      <c r="U56" s="50"/>
      <c r="V56" s="50"/>
      <c r="W56" s="50"/>
      <c r="X56" s="50"/>
      <c r="Y56" s="50"/>
      <c r="Z56" s="54"/>
      <c r="AA56" s="50"/>
      <c r="AB56" s="51"/>
      <c r="AC56" s="52"/>
      <c r="AD56" s="55">
        <f t="shared" si="0"/>
        <v>0</v>
      </c>
    </row>
    <row r="57" spans="1:30" x14ac:dyDescent="0.2">
      <c r="A57" s="48"/>
      <c r="B57" s="48"/>
      <c r="C57" s="49"/>
      <c r="D57" s="50"/>
      <c r="E57" s="51"/>
      <c r="F57" s="52"/>
      <c r="G57" s="47"/>
      <c r="H57" s="47"/>
      <c r="I57" s="50"/>
      <c r="J57" s="53"/>
      <c r="K57" s="50"/>
      <c r="L57" s="47"/>
      <c r="M57" s="51"/>
      <c r="N57" s="51"/>
      <c r="O57" s="50"/>
      <c r="P57" s="50"/>
      <c r="Q57" s="52"/>
      <c r="R57" s="50"/>
      <c r="S57" s="50"/>
      <c r="T57" s="50"/>
      <c r="U57" s="50"/>
      <c r="V57" s="50"/>
      <c r="W57" s="50"/>
      <c r="X57" s="50"/>
      <c r="Y57" s="50"/>
      <c r="Z57" s="54"/>
      <c r="AA57" s="50"/>
      <c r="AB57" s="51"/>
      <c r="AC57" s="52"/>
      <c r="AD57" s="55">
        <f t="shared" si="0"/>
        <v>0</v>
      </c>
    </row>
    <row r="58" spans="1:30" x14ac:dyDescent="0.2">
      <c r="A58" s="48"/>
      <c r="B58" s="48"/>
      <c r="C58" s="49"/>
      <c r="D58" s="50"/>
      <c r="E58" s="51"/>
      <c r="F58" s="52"/>
      <c r="G58" s="47"/>
      <c r="H58" s="47"/>
      <c r="I58" s="50"/>
      <c r="J58" s="53"/>
      <c r="K58" s="50"/>
      <c r="L58" s="47"/>
      <c r="M58" s="51"/>
      <c r="N58" s="51"/>
      <c r="O58" s="50"/>
      <c r="P58" s="50"/>
      <c r="Q58" s="52"/>
      <c r="R58" s="50"/>
      <c r="S58" s="50"/>
      <c r="T58" s="50"/>
      <c r="U58" s="50"/>
      <c r="V58" s="50"/>
      <c r="W58" s="50"/>
      <c r="X58" s="50"/>
      <c r="Y58" s="50"/>
      <c r="Z58" s="54"/>
      <c r="AA58" s="50"/>
      <c r="AB58" s="51"/>
      <c r="AC58" s="52"/>
      <c r="AD58" s="55">
        <f t="shared" si="0"/>
        <v>0</v>
      </c>
    </row>
    <row r="59" spans="1:30" x14ac:dyDescent="0.2">
      <c r="A59" s="48"/>
      <c r="B59" s="48"/>
      <c r="C59" s="49"/>
      <c r="D59" s="50"/>
      <c r="E59" s="51"/>
      <c r="F59" s="52"/>
      <c r="G59" s="47"/>
      <c r="H59" s="47"/>
      <c r="I59" s="50"/>
      <c r="J59" s="53"/>
      <c r="K59" s="50"/>
      <c r="L59" s="47"/>
      <c r="M59" s="51"/>
      <c r="N59" s="51"/>
      <c r="O59" s="50"/>
      <c r="P59" s="50"/>
      <c r="Q59" s="52"/>
      <c r="R59" s="50"/>
      <c r="S59" s="50"/>
      <c r="T59" s="50"/>
      <c r="U59" s="50"/>
      <c r="V59" s="50"/>
      <c r="W59" s="50"/>
      <c r="X59" s="50"/>
      <c r="Y59" s="50"/>
      <c r="Z59" s="54"/>
      <c r="AA59" s="50"/>
      <c r="AB59" s="51"/>
      <c r="AC59" s="52"/>
      <c r="AD59" s="55">
        <f t="shared" si="0"/>
        <v>0</v>
      </c>
    </row>
    <row r="60" spans="1:30" x14ac:dyDescent="0.2">
      <c r="A60" s="48"/>
      <c r="B60" s="48"/>
      <c r="C60" s="49"/>
      <c r="D60" s="50"/>
      <c r="E60" s="51"/>
      <c r="F60" s="52"/>
      <c r="G60" s="47"/>
      <c r="H60" s="47"/>
      <c r="I60" s="50"/>
      <c r="J60" s="53"/>
      <c r="K60" s="50"/>
      <c r="L60" s="47"/>
      <c r="M60" s="51"/>
      <c r="N60" s="51"/>
      <c r="O60" s="50"/>
      <c r="P60" s="50"/>
      <c r="Q60" s="52"/>
      <c r="R60" s="50"/>
      <c r="S60" s="50"/>
      <c r="T60" s="50"/>
      <c r="U60" s="50"/>
      <c r="V60" s="50"/>
      <c r="W60" s="50"/>
      <c r="X60" s="50"/>
      <c r="Y60" s="50"/>
      <c r="Z60" s="54"/>
      <c r="AA60" s="50"/>
      <c r="AB60" s="51"/>
      <c r="AC60" s="52"/>
      <c r="AD60" s="55">
        <f t="shared" si="0"/>
        <v>0</v>
      </c>
    </row>
    <row r="61" spans="1:30" x14ac:dyDescent="0.2">
      <c r="A61" s="48"/>
      <c r="B61" s="48"/>
      <c r="C61" s="49"/>
      <c r="D61" s="50"/>
      <c r="E61" s="51"/>
      <c r="F61" s="52"/>
      <c r="G61" s="47"/>
      <c r="H61" s="47"/>
      <c r="I61" s="50"/>
      <c r="J61" s="53"/>
      <c r="K61" s="50"/>
      <c r="L61" s="47"/>
      <c r="M61" s="51"/>
      <c r="N61" s="51"/>
      <c r="O61" s="50"/>
      <c r="P61" s="50"/>
      <c r="Q61" s="52"/>
      <c r="R61" s="50"/>
      <c r="S61" s="50"/>
      <c r="T61" s="50"/>
      <c r="U61" s="50"/>
      <c r="V61" s="50"/>
      <c r="W61" s="50"/>
      <c r="X61" s="50"/>
      <c r="Y61" s="50"/>
      <c r="Z61" s="54"/>
      <c r="AA61" s="50"/>
      <c r="AB61" s="51"/>
      <c r="AC61" s="52"/>
      <c r="AD61" s="55">
        <f t="shared" si="0"/>
        <v>0</v>
      </c>
    </row>
  </sheetData>
  <mergeCells count="6">
    <mergeCell ref="A1:AD2"/>
    <mergeCell ref="D3:F3"/>
    <mergeCell ref="AF3:AG4"/>
    <mergeCell ref="AD4:AD5"/>
    <mergeCell ref="U5:Y5"/>
    <mergeCell ref="AF5:AG5"/>
  </mergeCells>
  <conditionalFormatting sqref="AA7:AA61">
    <cfRule type="expression" dxfId="15" priority="3">
      <formula>AND(NOT(ISBLANK(Z7)),ISBLANK(AA7))</formula>
    </cfRule>
  </conditionalFormatting>
  <conditionalFormatting sqref="AD4:AD5">
    <cfRule type="cellIs" dxfId="14" priority="1" operator="greaterThan">
      <formula>0</formula>
    </cfRule>
  </conditionalFormatting>
  <conditionalFormatting sqref="AD7:AD61">
    <cfRule type="cellIs" dxfId="13" priority="4" operator="lessThan">
      <formula>0</formula>
    </cfRule>
  </conditionalFormatting>
  <conditionalFormatting sqref="AF5:AG5">
    <cfRule type="cellIs" dxfId="12" priority="2" operator="lessThan">
      <formula>0</formula>
    </cfRule>
  </conditionalFormatting>
  <dataValidations count="1">
    <dataValidation type="list" allowBlank="1" showInputMessage="1" showErrorMessage="1" sqref="AA7:AA61" xr:uid="{2B1C8DB8-1C96-4A7E-8AF7-0A905CCF363B}">
      <formula1>"Approved, Completed, Not Approved, Cancelled"</formula1>
    </dataValidation>
  </dataValidations>
  <pageMargins left="0.25" right="0.25" top="0.75" bottom="0.75" header="0.3" footer="0.3"/>
  <pageSetup paperSize="124" scale="18" orientation="landscape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D83E-5D5D-4DF6-83CB-2D0546BFDA33}">
  <sheetPr>
    <pageSetUpPr fitToPage="1"/>
  </sheetPr>
  <dimension ref="A1:AG61"/>
  <sheetViews>
    <sheetView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D2"/>
    </sheetView>
  </sheetViews>
  <sheetFormatPr defaultRowHeight="12.75" x14ac:dyDescent="0.2"/>
  <cols>
    <col min="1" max="1" width="17" style="7" customWidth="1"/>
    <col min="2" max="2" width="20.7109375" style="7" customWidth="1"/>
    <col min="3" max="3" width="15.5703125" style="7" customWidth="1"/>
    <col min="4" max="4" width="13.140625" style="22" customWidth="1"/>
    <col min="5" max="5" width="14" style="7" customWidth="1"/>
    <col min="6" max="7" width="33.28515625" style="7" bestFit="1" customWidth="1"/>
    <col min="8" max="8" width="12.28515625" style="7" customWidth="1"/>
    <col min="9" max="9" width="62" style="7" bestFit="1" customWidth="1"/>
    <col min="10" max="10" width="27.7109375" style="7" customWidth="1"/>
    <col min="11" max="11" width="26.28515625" style="7" customWidth="1"/>
    <col min="12" max="12" width="9.140625" style="7"/>
    <col min="13" max="13" width="28.7109375" style="23" customWidth="1"/>
    <col min="14" max="14" width="29.5703125" style="7" customWidth="1"/>
    <col min="15" max="15" width="20.85546875" style="7" customWidth="1"/>
    <col min="16" max="16" width="15.140625" style="7" customWidth="1"/>
    <col min="17" max="17" width="13.7109375" style="7" customWidth="1"/>
    <col min="18" max="18" width="34.42578125" style="7" customWidth="1"/>
    <col min="19" max="19" width="24.5703125" style="7" customWidth="1"/>
    <col min="20" max="20" width="17.85546875" style="7" customWidth="1"/>
    <col min="21" max="21" width="23.7109375" style="7" customWidth="1"/>
    <col min="22" max="22" width="27.5703125" style="7" customWidth="1"/>
    <col min="23" max="23" width="24.85546875" style="7" customWidth="1"/>
    <col min="24" max="24" width="24" style="7" customWidth="1"/>
    <col min="25" max="25" width="22.85546875" style="7" customWidth="1"/>
    <col min="26" max="26" width="15.42578125" style="24" customWidth="1"/>
    <col min="27" max="27" width="26.42578125" style="7" customWidth="1"/>
    <col min="28" max="28" width="29.5703125" style="23" customWidth="1"/>
    <col min="29" max="29" width="19.7109375" style="7" customWidth="1"/>
    <col min="30" max="30" width="18.7109375" style="7" customWidth="1"/>
    <col min="31" max="31" width="9.140625" style="7"/>
    <col min="32" max="32" width="14" style="7" customWidth="1"/>
    <col min="33" max="33" width="12.42578125" style="7" bestFit="1" customWidth="1"/>
    <col min="34" max="16384" width="9.140625" style="7"/>
  </cols>
  <sheetData>
    <row r="1" spans="1:33" ht="28.5" customHeight="1" x14ac:dyDescent="0.2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1"/>
      <c r="AF1" s="1"/>
      <c r="AG1" s="1"/>
    </row>
    <row r="2" spans="1:33" ht="13.5" thickBo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1"/>
      <c r="AF2" s="1"/>
      <c r="AG2" s="1"/>
    </row>
    <row r="3" spans="1:33" ht="20.25" customHeight="1" x14ac:dyDescent="0.2">
      <c r="A3" s="56"/>
      <c r="B3" s="56" t="s">
        <v>1</v>
      </c>
      <c r="C3" s="57">
        <f>'2nd Year'!C3+1</f>
        <v>2028</v>
      </c>
      <c r="D3" s="76" t="s">
        <v>73</v>
      </c>
      <c r="E3" s="76"/>
      <c r="F3" s="76"/>
      <c r="G3" s="58" t="s">
        <v>74</v>
      </c>
      <c r="H3" s="13"/>
      <c r="I3" s="13"/>
      <c r="J3" s="13"/>
      <c r="K3" s="8"/>
      <c r="L3" s="9"/>
      <c r="M3" s="10"/>
      <c r="N3" s="11"/>
      <c r="O3" s="1"/>
      <c r="P3" s="12"/>
      <c r="Q3" s="5"/>
      <c r="R3" s="1"/>
      <c r="S3" s="1"/>
      <c r="T3" s="1"/>
      <c r="U3" s="1"/>
      <c r="V3" s="1"/>
      <c r="W3" s="1"/>
      <c r="X3" s="1"/>
      <c r="Y3" s="2"/>
      <c r="Z3" s="3"/>
      <c r="AA3" s="1"/>
      <c r="AB3" s="4"/>
      <c r="AC3" s="5"/>
      <c r="AD3" s="6"/>
      <c r="AE3" s="1"/>
      <c r="AF3" s="72" t="s">
        <v>4</v>
      </c>
      <c r="AG3" s="73"/>
    </row>
    <row r="4" spans="1:33" ht="15" customHeight="1" x14ac:dyDescent="0.2">
      <c r="A4" s="1"/>
      <c r="B4" s="14"/>
      <c r="C4" s="15"/>
      <c r="D4" s="16"/>
      <c r="E4" s="5"/>
      <c r="F4" s="1"/>
      <c r="G4" s="1"/>
      <c r="H4" s="1"/>
      <c r="I4" s="1"/>
      <c r="J4" s="1"/>
      <c r="K4" s="1"/>
      <c r="L4" s="17"/>
      <c r="M4" s="18"/>
      <c r="N4" s="11"/>
      <c r="O4" s="1"/>
      <c r="P4" s="12"/>
      <c r="Q4" s="5"/>
      <c r="R4" s="1"/>
      <c r="S4" s="1"/>
      <c r="T4" s="1"/>
      <c r="U4" s="1"/>
      <c r="V4" s="1"/>
      <c r="W4" s="1"/>
      <c r="X4" s="1"/>
      <c r="Y4" s="2"/>
      <c r="Z4" s="3"/>
      <c r="AA4" s="1"/>
      <c r="AB4" s="4"/>
      <c r="AC4" s="5"/>
      <c r="AD4" s="68" t="e">
        <f>SMALL(Table1356[Remaining Funds Calculation],COUNTIF(Table1356[Remaining Funds Calculation],0)+1)</f>
        <v>#NUM!</v>
      </c>
      <c r="AE4" s="1"/>
      <c r="AF4" s="74"/>
      <c r="AG4" s="75"/>
    </row>
    <row r="5" spans="1:33" ht="15" customHeight="1" thickBot="1" x14ac:dyDescent="0.25">
      <c r="A5" s="26" t="s">
        <v>5</v>
      </c>
      <c r="B5" s="37"/>
      <c r="C5" s="38"/>
      <c r="D5" s="38"/>
      <c r="F5" s="19"/>
      <c r="G5" s="19"/>
      <c r="H5" s="19"/>
      <c r="I5" s="19"/>
      <c r="J5" s="19"/>
      <c r="K5" s="25" t="s">
        <v>6</v>
      </c>
      <c r="L5" s="17"/>
      <c r="M5" s="18"/>
      <c r="N5" s="11"/>
      <c r="O5" s="1"/>
      <c r="P5" s="12"/>
      <c r="Q5" s="5"/>
      <c r="R5" s="1"/>
      <c r="S5" s="1"/>
      <c r="T5" s="1"/>
      <c r="U5" s="65" t="s">
        <v>7</v>
      </c>
      <c r="V5" s="66"/>
      <c r="W5" s="66"/>
      <c r="X5" s="66"/>
      <c r="Y5" s="67"/>
      <c r="Z5" s="3"/>
      <c r="AA5" s="1"/>
      <c r="AB5" s="4"/>
      <c r="AC5" s="5"/>
      <c r="AD5" s="69"/>
      <c r="AE5" s="1"/>
      <c r="AF5" s="70">
        <f>AG6-SUMIF(AA7:AA61,"&lt;&gt;Cancelled", Z7:Z61)</f>
        <v>0</v>
      </c>
      <c r="AG5" s="71"/>
    </row>
    <row r="6" spans="1:33" s="45" customFormat="1" ht="38.25" x14ac:dyDescent="0.25">
      <c r="A6" s="27" t="s">
        <v>8</v>
      </c>
      <c r="B6" s="27" t="s">
        <v>9</v>
      </c>
      <c r="C6" s="39" t="s">
        <v>10</v>
      </c>
      <c r="D6" s="40" t="s">
        <v>11</v>
      </c>
      <c r="E6" s="46" t="s">
        <v>12</v>
      </c>
      <c r="F6" s="41" t="s">
        <v>13</v>
      </c>
      <c r="G6" s="28" t="s">
        <v>14</v>
      </c>
      <c r="H6" s="28" t="s">
        <v>15</v>
      </c>
      <c r="I6" s="28" t="s">
        <v>16</v>
      </c>
      <c r="J6" s="28" t="s">
        <v>17</v>
      </c>
      <c r="K6" s="29" t="s">
        <v>18</v>
      </c>
      <c r="L6" s="30" t="s">
        <v>19</v>
      </c>
      <c r="M6" s="31" t="s">
        <v>20</v>
      </c>
      <c r="N6" s="31" t="s">
        <v>21</v>
      </c>
      <c r="O6" s="29" t="s">
        <v>22</v>
      </c>
      <c r="P6" s="32" t="s">
        <v>23</v>
      </c>
      <c r="Q6" s="33" t="s">
        <v>24</v>
      </c>
      <c r="R6" s="29" t="s">
        <v>25</v>
      </c>
      <c r="S6" s="29" t="s">
        <v>26</v>
      </c>
      <c r="T6" s="29" t="s">
        <v>27</v>
      </c>
      <c r="U6" s="29" t="s">
        <v>28</v>
      </c>
      <c r="V6" s="29" t="s">
        <v>29</v>
      </c>
      <c r="W6" s="29" t="s">
        <v>30</v>
      </c>
      <c r="X6" s="29" t="s">
        <v>31</v>
      </c>
      <c r="Y6" s="34" t="s">
        <v>32</v>
      </c>
      <c r="Z6" s="35" t="s">
        <v>33</v>
      </c>
      <c r="AA6" s="29" t="s">
        <v>34</v>
      </c>
      <c r="AB6" s="32" t="s">
        <v>35</v>
      </c>
      <c r="AC6" s="33" t="s">
        <v>36</v>
      </c>
      <c r="AD6" s="36" t="s">
        <v>37</v>
      </c>
      <c r="AE6" s="42"/>
      <c r="AF6" s="43" t="s">
        <v>38</v>
      </c>
      <c r="AG6" s="44">
        <f>SUM(AG7:AG13)</f>
        <v>0</v>
      </c>
    </row>
    <row r="7" spans="1:33" x14ac:dyDescent="0.2">
      <c r="A7" s="48"/>
      <c r="B7" s="48"/>
      <c r="C7" s="49"/>
      <c r="D7" s="50"/>
      <c r="E7" s="51"/>
      <c r="F7" s="52"/>
      <c r="G7" s="47"/>
      <c r="H7" s="47"/>
      <c r="I7" s="50"/>
      <c r="J7" s="53"/>
      <c r="K7" s="50"/>
      <c r="L7" s="47"/>
      <c r="M7" s="51"/>
      <c r="N7" s="51"/>
      <c r="O7" s="50"/>
      <c r="P7" s="50"/>
      <c r="Q7" s="52"/>
      <c r="R7" s="50"/>
      <c r="S7" s="50"/>
      <c r="T7" s="50"/>
      <c r="U7" s="50"/>
      <c r="V7" s="50"/>
      <c r="W7" s="50"/>
      <c r="X7" s="50"/>
      <c r="Y7" s="50"/>
      <c r="Z7" s="54"/>
      <c r="AA7" s="50"/>
      <c r="AB7" s="51"/>
      <c r="AC7" s="52"/>
      <c r="AD7" s="55">
        <f>IF(OR(AA7="Not Approved",AA7="Cancelled"), AG6, AG6-Z7)</f>
        <v>0</v>
      </c>
      <c r="AF7" s="59" t="s">
        <v>75</v>
      </c>
      <c r="AG7" s="60"/>
    </row>
    <row r="8" spans="1:33" x14ac:dyDescent="0.2">
      <c r="A8" s="48"/>
      <c r="B8" s="48"/>
      <c r="C8" s="49"/>
      <c r="D8" s="50"/>
      <c r="E8" s="51"/>
      <c r="F8" s="52"/>
      <c r="G8" s="47"/>
      <c r="H8" s="47"/>
      <c r="I8" s="50"/>
      <c r="J8" s="53"/>
      <c r="K8" s="50"/>
      <c r="L8" s="47"/>
      <c r="M8" s="51"/>
      <c r="N8" s="51"/>
      <c r="O8" s="50"/>
      <c r="P8" s="50"/>
      <c r="Q8" s="52"/>
      <c r="R8" s="50"/>
      <c r="S8" s="50"/>
      <c r="T8" s="50"/>
      <c r="U8" s="50"/>
      <c r="V8" s="50"/>
      <c r="W8" s="50"/>
      <c r="X8" s="50"/>
      <c r="Y8" s="50"/>
      <c r="Z8" s="54"/>
      <c r="AA8" s="50"/>
      <c r="AB8" s="51"/>
      <c r="AC8" s="52"/>
      <c r="AD8" s="55">
        <f>IF(ISBLANK(Z8), ,(IF(OR(AA8="Not Approved",AA8="Cancelled"), AD7, AD7-Z8)))</f>
        <v>0</v>
      </c>
      <c r="AF8" s="59"/>
      <c r="AG8" s="60"/>
    </row>
    <row r="9" spans="1:33" x14ac:dyDescent="0.2">
      <c r="A9" s="48"/>
      <c r="B9" s="48"/>
      <c r="C9" s="49"/>
      <c r="D9" s="50"/>
      <c r="E9" s="51"/>
      <c r="F9" s="52"/>
      <c r="G9" s="47"/>
      <c r="H9" s="47"/>
      <c r="I9" s="50"/>
      <c r="J9" s="53"/>
      <c r="K9" s="50"/>
      <c r="L9" s="47"/>
      <c r="M9" s="51"/>
      <c r="N9" s="51"/>
      <c r="O9" s="50"/>
      <c r="P9" s="50"/>
      <c r="Q9" s="52"/>
      <c r="R9" s="50"/>
      <c r="S9" s="50"/>
      <c r="T9" s="50"/>
      <c r="U9" s="50"/>
      <c r="V9" s="50"/>
      <c r="W9" s="50"/>
      <c r="X9" s="50"/>
      <c r="Y9" s="50"/>
      <c r="Z9" s="54"/>
      <c r="AA9" s="50"/>
      <c r="AB9" s="51"/>
      <c r="AC9" s="52"/>
      <c r="AD9" s="55">
        <f t="shared" ref="AD9:AD61" si="0">IF(ISBLANK(Z9), ,(IF(OR(AA9="Not Approved",AA9="Cancelled"), AD8, AD8-Z9)))</f>
        <v>0</v>
      </c>
      <c r="AF9" s="21"/>
      <c r="AG9" s="20"/>
    </row>
    <row r="10" spans="1:33" x14ac:dyDescent="0.2">
      <c r="A10" s="48"/>
      <c r="B10" s="48"/>
      <c r="C10" s="49"/>
      <c r="D10" s="50"/>
      <c r="E10" s="51"/>
      <c r="F10" s="52"/>
      <c r="G10" s="47"/>
      <c r="H10" s="47"/>
      <c r="I10" s="50"/>
      <c r="J10" s="53"/>
      <c r="K10" s="50"/>
      <c r="L10" s="47"/>
      <c r="M10" s="51"/>
      <c r="N10" s="51"/>
      <c r="O10" s="50"/>
      <c r="P10" s="50"/>
      <c r="Q10" s="52"/>
      <c r="R10" s="50"/>
      <c r="S10" s="50"/>
      <c r="T10" s="50"/>
      <c r="U10" s="50"/>
      <c r="V10" s="50"/>
      <c r="W10" s="50"/>
      <c r="X10" s="50"/>
      <c r="Y10" s="50"/>
      <c r="Z10" s="54"/>
      <c r="AA10" s="50"/>
      <c r="AB10" s="51"/>
      <c r="AC10" s="52"/>
      <c r="AD10" s="55">
        <f t="shared" si="0"/>
        <v>0</v>
      </c>
      <c r="AF10" s="21"/>
      <c r="AG10" s="20"/>
    </row>
    <row r="11" spans="1:33" x14ac:dyDescent="0.2">
      <c r="A11" s="48"/>
      <c r="B11" s="48"/>
      <c r="C11" s="49"/>
      <c r="D11" s="50"/>
      <c r="E11" s="51"/>
      <c r="F11" s="52"/>
      <c r="G11" s="47"/>
      <c r="H11" s="47"/>
      <c r="I11" s="50"/>
      <c r="J11" s="53"/>
      <c r="K11" s="50"/>
      <c r="L11" s="47"/>
      <c r="M11" s="51"/>
      <c r="N11" s="51"/>
      <c r="O11" s="50"/>
      <c r="P11" s="50"/>
      <c r="Q11" s="52"/>
      <c r="R11" s="50"/>
      <c r="S11" s="50"/>
      <c r="T11" s="50"/>
      <c r="U11" s="50"/>
      <c r="V11" s="50"/>
      <c r="W11" s="50"/>
      <c r="X11" s="50"/>
      <c r="Y11" s="50"/>
      <c r="Z11" s="54"/>
      <c r="AA11" s="50"/>
      <c r="AB11" s="51"/>
      <c r="AC11" s="52"/>
      <c r="AD11" s="55">
        <f t="shared" si="0"/>
        <v>0</v>
      </c>
      <c r="AF11" s="21"/>
      <c r="AG11" s="20"/>
    </row>
    <row r="12" spans="1:33" x14ac:dyDescent="0.2">
      <c r="A12" s="48"/>
      <c r="B12" s="48"/>
      <c r="C12" s="49"/>
      <c r="D12" s="50"/>
      <c r="E12" s="51"/>
      <c r="F12" s="52"/>
      <c r="G12" s="47"/>
      <c r="H12" s="47"/>
      <c r="I12" s="50"/>
      <c r="J12" s="53"/>
      <c r="K12" s="50"/>
      <c r="L12" s="47"/>
      <c r="M12" s="51"/>
      <c r="N12" s="51"/>
      <c r="O12" s="50"/>
      <c r="P12" s="50"/>
      <c r="Q12" s="52"/>
      <c r="R12" s="50"/>
      <c r="S12" s="50"/>
      <c r="T12" s="50"/>
      <c r="U12" s="50"/>
      <c r="V12" s="50"/>
      <c r="W12" s="50"/>
      <c r="X12" s="50"/>
      <c r="Y12" s="50"/>
      <c r="Z12" s="54"/>
      <c r="AA12" s="50"/>
      <c r="AB12" s="51"/>
      <c r="AC12" s="52"/>
      <c r="AD12" s="55">
        <f t="shared" si="0"/>
        <v>0</v>
      </c>
      <c r="AF12" s="21"/>
      <c r="AG12" s="20"/>
    </row>
    <row r="13" spans="1:33" x14ac:dyDescent="0.2">
      <c r="A13" s="48"/>
      <c r="B13" s="48"/>
      <c r="C13" s="49"/>
      <c r="D13" s="50"/>
      <c r="E13" s="51"/>
      <c r="F13" s="52"/>
      <c r="G13" s="47"/>
      <c r="H13" s="47"/>
      <c r="I13" s="50"/>
      <c r="J13" s="53"/>
      <c r="K13" s="50"/>
      <c r="L13" s="47"/>
      <c r="M13" s="51"/>
      <c r="N13" s="51"/>
      <c r="O13" s="50"/>
      <c r="P13" s="50"/>
      <c r="Q13" s="52"/>
      <c r="R13" s="50"/>
      <c r="S13" s="50"/>
      <c r="T13" s="50"/>
      <c r="U13" s="50"/>
      <c r="V13" s="50"/>
      <c r="W13" s="50"/>
      <c r="X13" s="50"/>
      <c r="Y13" s="50"/>
      <c r="Z13" s="54"/>
      <c r="AA13" s="50"/>
      <c r="AB13" s="51"/>
      <c r="AC13" s="52"/>
      <c r="AD13" s="55">
        <f t="shared" si="0"/>
        <v>0</v>
      </c>
      <c r="AF13" s="21"/>
      <c r="AG13" s="20"/>
    </row>
    <row r="14" spans="1:33" x14ac:dyDescent="0.2">
      <c r="A14" s="48"/>
      <c r="B14" s="48"/>
      <c r="C14" s="49"/>
      <c r="D14" s="50"/>
      <c r="E14" s="51"/>
      <c r="F14" s="52"/>
      <c r="G14" s="47"/>
      <c r="H14" s="47"/>
      <c r="I14" s="50"/>
      <c r="J14" s="53"/>
      <c r="K14" s="50"/>
      <c r="L14" s="47"/>
      <c r="M14" s="51"/>
      <c r="N14" s="51"/>
      <c r="O14" s="50"/>
      <c r="P14" s="50"/>
      <c r="Q14" s="52"/>
      <c r="R14" s="50"/>
      <c r="S14" s="50"/>
      <c r="T14" s="50"/>
      <c r="U14" s="50"/>
      <c r="V14" s="50"/>
      <c r="W14" s="50"/>
      <c r="X14" s="50"/>
      <c r="Y14" s="50"/>
      <c r="Z14" s="54"/>
      <c r="AA14" s="50"/>
      <c r="AB14" s="51"/>
      <c r="AC14" s="52"/>
      <c r="AD14" s="55">
        <f t="shared" si="0"/>
        <v>0</v>
      </c>
    </row>
    <row r="15" spans="1:33" x14ac:dyDescent="0.2">
      <c r="A15" s="48"/>
      <c r="B15" s="48"/>
      <c r="C15" s="49"/>
      <c r="D15" s="50"/>
      <c r="E15" s="51"/>
      <c r="F15" s="52"/>
      <c r="G15" s="47"/>
      <c r="H15" s="47"/>
      <c r="I15" s="50"/>
      <c r="J15" s="53"/>
      <c r="K15" s="50"/>
      <c r="L15" s="47"/>
      <c r="M15" s="51"/>
      <c r="N15" s="51"/>
      <c r="O15" s="50"/>
      <c r="P15" s="50"/>
      <c r="Q15" s="52"/>
      <c r="R15" s="50"/>
      <c r="S15" s="50"/>
      <c r="T15" s="50"/>
      <c r="U15" s="50"/>
      <c r="V15" s="50"/>
      <c r="W15" s="50"/>
      <c r="X15" s="50"/>
      <c r="Y15" s="50"/>
      <c r="Z15" s="54"/>
      <c r="AA15" s="50"/>
      <c r="AB15" s="51"/>
      <c r="AC15" s="52"/>
      <c r="AD15" s="55">
        <f t="shared" si="0"/>
        <v>0</v>
      </c>
    </row>
    <row r="16" spans="1:33" x14ac:dyDescent="0.2">
      <c r="A16" s="48"/>
      <c r="B16" s="48"/>
      <c r="C16" s="49"/>
      <c r="D16" s="50"/>
      <c r="E16" s="51"/>
      <c r="F16" s="52"/>
      <c r="G16" s="47"/>
      <c r="H16" s="47"/>
      <c r="I16" s="50"/>
      <c r="J16" s="53"/>
      <c r="K16" s="50"/>
      <c r="L16" s="47"/>
      <c r="M16" s="51"/>
      <c r="N16" s="51"/>
      <c r="O16" s="50"/>
      <c r="P16" s="50"/>
      <c r="Q16" s="52"/>
      <c r="R16" s="50"/>
      <c r="S16" s="50"/>
      <c r="T16" s="50"/>
      <c r="U16" s="50"/>
      <c r="V16" s="50"/>
      <c r="W16" s="50"/>
      <c r="X16" s="50"/>
      <c r="Y16" s="50"/>
      <c r="Z16" s="54"/>
      <c r="AA16" s="50"/>
      <c r="AB16" s="51"/>
      <c r="AC16" s="52"/>
      <c r="AD16" s="55">
        <f t="shared" si="0"/>
        <v>0</v>
      </c>
    </row>
    <row r="17" spans="1:30" x14ac:dyDescent="0.2">
      <c r="A17" s="48"/>
      <c r="B17" s="48"/>
      <c r="C17" s="49"/>
      <c r="D17" s="50"/>
      <c r="E17" s="51"/>
      <c r="F17" s="52"/>
      <c r="G17" s="47"/>
      <c r="H17" s="47"/>
      <c r="I17" s="50"/>
      <c r="J17" s="53"/>
      <c r="K17" s="50"/>
      <c r="L17" s="47"/>
      <c r="M17" s="51"/>
      <c r="N17" s="51"/>
      <c r="O17" s="50"/>
      <c r="P17" s="50"/>
      <c r="Q17" s="52"/>
      <c r="R17" s="50"/>
      <c r="S17" s="50"/>
      <c r="T17" s="50"/>
      <c r="U17" s="50"/>
      <c r="V17" s="50"/>
      <c r="W17" s="50"/>
      <c r="X17" s="50"/>
      <c r="Y17" s="50"/>
      <c r="Z17" s="54"/>
      <c r="AA17" s="50"/>
      <c r="AB17" s="51"/>
      <c r="AC17" s="52"/>
      <c r="AD17" s="55">
        <f t="shared" si="0"/>
        <v>0</v>
      </c>
    </row>
    <row r="18" spans="1:30" x14ac:dyDescent="0.2">
      <c r="A18" s="48"/>
      <c r="B18" s="48"/>
      <c r="C18" s="49"/>
      <c r="D18" s="50"/>
      <c r="E18" s="51"/>
      <c r="F18" s="52"/>
      <c r="G18" s="47"/>
      <c r="H18" s="47"/>
      <c r="I18" s="50"/>
      <c r="J18" s="53"/>
      <c r="K18" s="50"/>
      <c r="L18" s="47"/>
      <c r="M18" s="51"/>
      <c r="N18" s="51"/>
      <c r="O18" s="50"/>
      <c r="P18" s="50"/>
      <c r="Q18" s="52"/>
      <c r="R18" s="50"/>
      <c r="S18" s="50"/>
      <c r="T18" s="50"/>
      <c r="U18" s="50"/>
      <c r="V18" s="50"/>
      <c r="W18" s="50"/>
      <c r="X18" s="50"/>
      <c r="Y18" s="50"/>
      <c r="Z18" s="54"/>
      <c r="AA18" s="50"/>
      <c r="AB18" s="51"/>
      <c r="AC18" s="52"/>
      <c r="AD18" s="55">
        <f t="shared" si="0"/>
        <v>0</v>
      </c>
    </row>
    <row r="19" spans="1:30" x14ac:dyDescent="0.2">
      <c r="A19" s="48"/>
      <c r="B19" s="48"/>
      <c r="C19" s="49"/>
      <c r="D19" s="50"/>
      <c r="E19" s="51"/>
      <c r="F19" s="52"/>
      <c r="G19" s="47"/>
      <c r="H19" s="47"/>
      <c r="I19" s="50"/>
      <c r="J19" s="53"/>
      <c r="K19" s="50"/>
      <c r="L19" s="47"/>
      <c r="M19" s="51"/>
      <c r="N19" s="51"/>
      <c r="O19" s="50"/>
      <c r="P19" s="50"/>
      <c r="Q19" s="52"/>
      <c r="R19" s="50"/>
      <c r="S19" s="50"/>
      <c r="T19" s="50"/>
      <c r="U19" s="50"/>
      <c r="V19" s="50"/>
      <c r="W19" s="50"/>
      <c r="X19" s="50"/>
      <c r="Y19" s="50"/>
      <c r="Z19" s="54"/>
      <c r="AA19" s="50"/>
      <c r="AB19" s="51"/>
      <c r="AC19" s="52"/>
      <c r="AD19" s="55">
        <f t="shared" si="0"/>
        <v>0</v>
      </c>
    </row>
    <row r="20" spans="1:30" x14ac:dyDescent="0.2">
      <c r="A20" s="48"/>
      <c r="B20" s="48"/>
      <c r="C20" s="49"/>
      <c r="D20" s="50"/>
      <c r="E20" s="51"/>
      <c r="F20" s="52"/>
      <c r="G20" s="47"/>
      <c r="H20" s="47"/>
      <c r="I20" s="50"/>
      <c r="J20" s="53"/>
      <c r="K20" s="50"/>
      <c r="L20" s="47"/>
      <c r="M20" s="51"/>
      <c r="N20" s="51"/>
      <c r="O20" s="50"/>
      <c r="P20" s="50"/>
      <c r="Q20" s="52"/>
      <c r="R20" s="50"/>
      <c r="S20" s="50"/>
      <c r="T20" s="50"/>
      <c r="U20" s="50"/>
      <c r="V20" s="50"/>
      <c r="W20" s="50"/>
      <c r="X20" s="50"/>
      <c r="Y20" s="50"/>
      <c r="Z20" s="54"/>
      <c r="AA20" s="50"/>
      <c r="AB20" s="51"/>
      <c r="AC20" s="52"/>
      <c r="AD20" s="55">
        <f t="shared" si="0"/>
        <v>0</v>
      </c>
    </row>
    <row r="21" spans="1:30" x14ac:dyDescent="0.2">
      <c r="A21" s="48"/>
      <c r="B21" s="48"/>
      <c r="C21" s="49"/>
      <c r="D21" s="50"/>
      <c r="E21" s="51"/>
      <c r="F21" s="52"/>
      <c r="G21" s="47"/>
      <c r="H21" s="47"/>
      <c r="I21" s="50"/>
      <c r="J21" s="53"/>
      <c r="K21" s="50"/>
      <c r="L21" s="47"/>
      <c r="M21" s="51"/>
      <c r="N21" s="51"/>
      <c r="O21" s="50"/>
      <c r="P21" s="50"/>
      <c r="Q21" s="52"/>
      <c r="R21" s="50"/>
      <c r="S21" s="50"/>
      <c r="T21" s="50"/>
      <c r="U21" s="50"/>
      <c r="V21" s="50"/>
      <c r="W21" s="50"/>
      <c r="X21" s="50"/>
      <c r="Y21" s="50"/>
      <c r="Z21" s="54"/>
      <c r="AA21" s="50"/>
      <c r="AB21" s="51"/>
      <c r="AC21" s="52"/>
      <c r="AD21" s="55">
        <f t="shared" si="0"/>
        <v>0</v>
      </c>
    </row>
    <row r="22" spans="1:30" x14ac:dyDescent="0.2">
      <c r="A22" s="48"/>
      <c r="B22" s="48"/>
      <c r="C22" s="49"/>
      <c r="D22" s="50"/>
      <c r="E22" s="51"/>
      <c r="F22" s="52"/>
      <c r="G22" s="47"/>
      <c r="H22" s="47"/>
      <c r="I22" s="50"/>
      <c r="J22" s="53"/>
      <c r="K22" s="50"/>
      <c r="L22" s="47"/>
      <c r="M22" s="51"/>
      <c r="N22" s="51"/>
      <c r="O22" s="50"/>
      <c r="P22" s="50"/>
      <c r="Q22" s="52"/>
      <c r="R22" s="50"/>
      <c r="S22" s="50"/>
      <c r="T22" s="50"/>
      <c r="U22" s="50"/>
      <c r="V22" s="50"/>
      <c r="W22" s="50"/>
      <c r="X22" s="50"/>
      <c r="Y22" s="50"/>
      <c r="Z22" s="54"/>
      <c r="AA22" s="50"/>
      <c r="AB22" s="51"/>
      <c r="AC22" s="52"/>
      <c r="AD22" s="55">
        <f t="shared" si="0"/>
        <v>0</v>
      </c>
    </row>
    <row r="23" spans="1:30" x14ac:dyDescent="0.2">
      <c r="A23" s="48"/>
      <c r="B23" s="48"/>
      <c r="C23" s="49"/>
      <c r="D23" s="50"/>
      <c r="E23" s="51"/>
      <c r="F23" s="52"/>
      <c r="G23" s="47"/>
      <c r="H23" s="47"/>
      <c r="I23" s="50"/>
      <c r="J23" s="53"/>
      <c r="K23" s="50"/>
      <c r="L23" s="47"/>
      <c r="M23" s="51"/>
      <c r="N23" s="51"/>
      <c r="O23" s="50"/>
      <c r="P23" s="50"/>
      <c r="Q23" s="52"/>
      <c r="R23" s="50"/>
      <c r="S23" s="50"/>
      <c r="T23" s="50"/>
      <c r="U23" s="50"/>
      <c r="V23" s="50"/>
      <c r="W23" s="50"/>
      <c r="X23" s="50"/>
      <c r="Y23" s="50"/>
      <c r="Z23" s="54"/>
      <c r="AA23" s="50"/>
      <c r="AB23" s="51"/>
      <c r="AC23" s="52"/>
      <c r="AD23" s="55">
        <f t="shared" si="0"/>
        <v>0</v>
      </c>
    </row>
    <row r="24" spans="1:30" x14ac:dyDescent="0.2">
      <c r="A24" s="48"/>
      <c r="B24" s="48"/>
      <c r="C24" s="49"/>
      <c r="D24" s="50"/>
      <c r="E24" s="51"/>
      <c r="F24" s="52"/>
      <c r="G24" s="47"/>
      <c r="H24" s="47"/>
      <c r="I24" s="50"/>
      <c r="J24" s="53"/>
      <c r="K24" s="50"/>
      <c r="L24" s="47"/>
      <c r="M24" s="51"/>
      <c r="N24" s="51"/>
      <c r="O24" s="50"/>
      <c r="P24" s="50"/>
      <c r="Q24" s="52"/>
      <c r="R24" s="50"/>
      <c r="S24" s="50"/>
      <c r="T24" s="50"/>
      <c r="U24" s="50"/>
      <c r="V24" s="50"/>
      <c r="W24" s="50"/>
      <c r="X24" s="50"/>
      <c r="Y24" s="50"/>
      <c r="Z24" s="54"/>
      <c r="AA24" s="50"/>
      <c r="AB24" s="51"/>
      <c r="AC24" s="52"/>
      <c r="AD24" s="55">
        <f t="shared" si="0"/>
        <v>0</v>
      </c>
    </row>
    <row r="25" spans="1:30" x14ac:dyDescent="0.2">
      <c r="A25" s="48"/>
      <c r="B25" s="48"/>
      <c r="C25" s="49"/>
      <c r="D25" s="50"/>
      <c r="E25" s="51"/>
      <c r="F25" s="52"/>
      <c r="G25" s="47"/>
      <c r="H25" s="47"/>
      <c r="I25" s="50"/>
      <c r="J25" s="53"/>
      <c r="K25" s="50"/>
      <c r="L25" s="47"/>
      <c r="M25" s="51"/>
      <c r="N25" s="51"/>
      <c r="O25" s="50"/>
      <c r="P25" s="50"/>
      <c r="Q25" s="52"/>
      <c r="R25" s="50"/>
      <c r="S25" s="50"/>
      <c r="T25" s="50"/>
      <c r="U25" s="50"/>
      <c r="V25" s="50"/>
      <c r="W25" s="50"/>
      <c r="X25" s="50"/>
      <c r="Y25" s="50"/>
      <c r="Z25" s="54"/>
      <c r="AA25" s="50"/>
      <c r="AB25" s="51"/>
      <c r="AC25" s="52"/>
      <c r="AD25" s="55">
        <f t="shared" si="0"/>
        <v>0</v>
      </c>
    </row>
    <row r="26" spans="1:30" x14ac:dyDescent="0.2">
      <c r="A26" s="48"/>
      <c r="B26" s="48"/>
      <c r="C26" s="49"/>
      <c r="D26" s="50"/>
      <c r="E26" s="51"/>
      <c r="F26" s="52"/>
      <c r="G26" s="47"/>
      <c r="H26" s="47"/>
      <c r="I26" s="50"/>
      <c r="J26" s="53"/>
      <c r="K26" s="50"/>
      <c r="L26" s="47"/>
      <c r="M26" s="51"/>
      <c r="N26" s="51"/>
      <c r="O26" s="50"/>
      <c r="P26" s="50"/>
      <c r="Q26" s="52"/>
      <c r="R26" s="50"/>
      <c r="S26" s="50"/>
      <c r="T26" s="50"/>
      <c r="U26" s="50"/>
      <c r="V26" s="50"/>
      <c r="W26" s="50"/>
      <c r="X26" s="50"/>
      <c r="Y26" s="50"/>
      <c r="Z26" s="54"/>
      <c r="AA26" s="50"/>
      <c r="AB26" s="51"/>
      <c r="AC26" s="52"/>
      <c r="AD26" s="55">
        <f t="shared" si="0"/>
        <v>0</v>
      </c>
    </row>
    <row r="27" spans="1:30" x14ac:dyDescent="0.2">
      <c r="A27" s="48"/>
      <c r="B27" s="48"/>
      <c r="C27" s="49"/>
      <c r="D27" s="50"/>
      <c r="E27" s="51"/>
      <c r="F27" s="52"/>
      <c r="G27" s="47"/>
      <c r="H27" s="47"/>
      <c r="I27" s="50"/>
      <c r="J27" s="53"/>
      <c r="K27" s="50"/>
      <c r="L27" s="47"/>
      <c r="M27" s="51"/>
      <c r="N27" s="51"/>
      <c r="O27" s="50"/>
      <c r="P27" s="50"/>
      <c r="Q27" s="52"/>
      <c r="R27" s="50"/>
      <c r="S27" s="50"/>
      <c r="T27" s="50"/>
      <c r="U27" s="50"/>
      <c r="V27" s="50"/>
      <c r="W27" s="50"/>
      <c r="X27" s="50"/>
      <c r="Y27" s="50"/>
      <c r="Z27" s="54"/>
      <c r="AA27" s="50"/>
      <c r="AB27" s="51"/>
      <c r="AC27" s="52"/>
      <c r="AD27" s="55">
        <f t="shared" si="0"/>
        <v>0</v>
      </c>
    </row>
    <row r="28" spans="1:30" x14ac:dyDescent="0.2">
      <c r="A28" s="48"/>
      <c r="B28" s="48"/>
      <c r="C28" s="49"/>
      <c r="D28" s="50"/>
      <c r="E28" s="51"/>
      <c r="F28" s="52"/>
      <c r="G28" s="47"/>
      <c r="H28" s="47"/>
      <c r="I28" s="50"/>
      <c r="J28" s="53"/>
      <c r="K28" s="50"/>
      <c r="L28" s="47"/>
      <c r="M28" s="51"/>
      <c r="N28" s="51"/>
      <c r="O28" s="50"/>
      <c r="P28" s="50"/>
      <c r="Q28" s="52"/>
      <c r="R28" s="50"/>
      <c r="S28" s="50"/>
      <c r="T28" s="50"/>
      <c r="U28" s="50"/>
      <c r="V28" s="50"/>
      <c r="W28" s="50"/>
      <c r="X28" s="50"/>
      <c r="Y28" s="50"/>
      <c r="Z28" s="54"/>
      <c r="AA28" s="50"/>
      <c r="AB28" s="51"/>
      <c r="AC28" s="52"/>
      <c r="AD28" s="55">
        <f t="shared" si="0"/>
        <v>0</v>
      </c>
    </row>
    <row r="29" spans="1:30" x14ac:dyDescent="0.2">
      <c r="A29" s="48"/>
      <c r="B29" s="48"/>
      <c r="C29" s="49"/>
      <c r="D29" s="50"/>
      <c r="E29" s="51"/>
      <c r="F29" s="52"/>
      <c r="G29" s="47"/>
      <c r="H29" s="47"/>
      <c r="I29" s="50"/>
      <c r="J29" s="53"/>
      <c r="K29" s="50"/>
      <c r="L29" s="47"/>
      <c r="M29" s="51"/>
      <c r="N29" s="51"/>
      <c r="O29" s="50"/>
      <c r="P29" s="50"/>
      <c r="Q29" s="52"/>
      <c r="R29" s="50"/>
      <c r="S29" s="50"/>
      <c r="T29" s="50"/>
      <c r="U29" s="50"/>
      <c r="V29" s="50"/>
      <c r="W29" s="50"/>
      <c r="X29" s="50"/>
      <c r="Y29" s="50"/>
      <c r="Z29" s="54"/>
      <c r="AA29" s="50"/>
      <c r="AB29" s="51"/>
      <c r="AC29" s="52"/>
      <c r="AD29" s="55">
        <f t="shared" si="0"/>
        <v>0</v>
      </c>
    </row>
    <row r="30" spans="1:30" x14ac:dyDescent="0.2">
      <c r="A30" s="48"/>
      <c r="B30" s="48"/>
      <c r="C30" s="49"/>
      <c r="D30" s="50"/>
      <c r="E30" s="51"/>
      <c r="F30" s="52"/>
      <c r="G30" s="47"/>
      <c r="H30" s="47"/>
      <c r="I30" s="50"/>
      <c r="J30" s="53"/>
      <c r="K30" s="50"/>
      <c r="L30" s="47"/>
      <c r="M30" s="51"/>
      <c r="N30" s="51"/>
      <c r="O30" s="50"/>
      <c r="P30" s="50"/>
      <c r="Q30" s="52"/>
      <c r="R30" s="50"/>
      <c r="S30" s="50"/>
      <c r="T30" s="50"/>
      <c r="U30" s="50"/>
      <c r="V30" s="50"/>
      <c r="W30" s="50"/>
      <c r="X30" s="50"/>
      <c r="Y30" s="50"/>
      <c r="Z30" s="54"/>
      <c r="AA30" s="50"/>
      <c r="AB30" s="51"/>
      <c r="AC30" s="52"/>
      <c r="AD30" s="55">
        <f t="shared" si="0"/>
        <v>0</v>
      </c>
    </row>
    <row r="31" spans="1:30" x14ac:dyDescent="0.2">
      <c r="A31" s="48"/>
      <c r="B31" s="48"/>
      <c r="C31" s="49"/>
      <c r="D31" s="50"/>
      <c r="E31" s="51"/>
      <c r="F31" s="52"/>
      <c r="G31" s="47"/>
      <c r="H31" s="47"/>
      <c r="I31" s="50"/>
      <c r="J31" s="53"/>
      <c r="K31" s="50"/>
      <c r="L31" s="47"/>
      <c r="M31" s="51"/>
      <c r="N31" s="51"/>
      <c r="O31" s="50"/>
      <c r="P31" s="50"/>
      <c r="Q31" s="52"/>
      <c r="R31" s="50"/>
      <c r="S31" s="50"/>
      <c r="T31" s="50"/>
      <c r="U31" s="50"/>
      <c r="V31" s="50"/>
      <c r="W31" s="50"/>
      <c r="X31" s="50"/>
      <c r="Y31" s="50"/>
      <c r="Z31" s="54"/>
      <c r="AA31" s="50"/>
      <c r="AB31" s="51"/>
      <c r="AC31" s="52"/>
      <c r="AD31" s="55">
        <f t="shared" si="0"/>
        <v>0</v>
      </c>
    </row>
    <row r="32" spans="1:30" x14ac:dyDescent="0.2">
      <c r="A32" s="48"/>
      <c r="B32" s="48"/>
      <c r="C32" s="49"/>
      <c r="D32" s="50"/>
      <c r="E32" s="51"/>
      <c r="F32" s="52"/>
      <c r="G32" s="47"/>
      <c r="H32" s="47"/>
      <c r="I32" s="50"/>
      <c r="J32" s="53"/>
      <c r="K32" s="50"/>
      <c r="L32" s="47"/>
      <c r="M32" s="51"/>
      <c r="N32" s="51"/>
      <c r="O32" s="50"/>
      <c r="P32" s="50"/>
      <c r="Q32" s="52"/>
      <c r="R32" s="50"/>
      <c r="S32" s="50"/>
      <c r="T32" s="50"/>
      <c r="U32" s="50"/>
      <c r="V32" s="50"/>
      <c r="W32" s="50"/>
      <c r="X32" s="50"/>
      <c r="Y32" s="50"/>
      <c r="Z32" s="54"/>
      <c r="AA32" s="50"/>
      <c r="AB32" s="51"/>
      <c r="AC32" s="52"/>
      <c r="AD32" s="55">
        <f t="shared" si="0"/>
        <v>0</v>
      </c>
    </row>
    <row r="33" spans="1:30" x14ac:dyDescent="0.2">
      <c r="A33" s="48"/>
      <c r="B33" s="48"/>
      <c r="C33" s="49"/>
      <c r="D33" s="50"/>
      <c r="E33" s="51"/>
      <c r="F33" s="52"/>
      <c r="G33" s="47"/>
      <c r="H33" s="47"/>
      <c r="I33" s="50"/>
      <c r="J33" s="53"/>
      <c r="K33" s="50"/>
      <c r="L33" s="47"/>
      <c r="M33" s="51"/>
      <c r="N33" s="51"/>
      <c r="O33" s="50"/>
      <c r="P33" s="50"/>
      <c r="Q33" s="52"/>
      <c r="R33" s="50"/>
      <c r="S33" s="50"/>
      <c r="T33" s="50"/>
      <c r="U33" s="50"/>
      <c r="V33" s="50"/>
      <c r="W33" s="50"/>
      <c r="X33" s="50"/>
      <c r="Y33" s="50"/>
      <c r="Z33" s="54"/>
      <c r="AA33" s="50"/>
      <c r="AB33" s="51"/>
      <c r="AC33" s="52"/>
      <c r="AD33" s="55">
        <f t="shared" si="0"/>
        <v>0</v>
      </c>
    </row>
    <row r="34" spans="1:30" x14ac:dyDescent="0.2">
      <c r="A34" s="48"/>
      <c r="B34" s="48"/>
      <c r="C34" s="49"/>
      <c r="D34" s="50"/>
      <c r="E34" s="51"/>
      <c r="F34" s="52"/>
      <c r="G34" s="47"/>
      <c r="H34" s="47"/>
      <c r="I34" s="50"/>
      <c r="J34" s="53"/>
      <c r="K34" s="50"/>
      <c r="L34" s="47"/>
      <c r="M34" s="51"/>
      <c r="N34" s="51"/>
      <c r="O34" s="50"/>
      <c r="P34" s="50"/>
      <c r="Q34" s="52"/>
      <c r="R34" s="50"/>
      <c r="S34" s="50"/>
      <c r="T34" s="50"/>
      <c r="U34" s="50"/>
      <c r="V34" s="50"/>
      <c r="W34" s="50"/>
      <c r="X34" s="50"/>
      <c r="Y34" s="50"/>
      <c r="Z34" s="54"/>
      <c r="AA34" s="50"/>
      <c r="AB34" s="51"/>
      <c r="AC34" s="52"/>
      <c r="AD34" s="55">
        <f t="shared" si="0"/>
        <v>0</v>
      </c>
    </row>
    <row r="35" spans="1:30" x14ac:dyDescent="0.2">
      <c r="A35" s="48"/>
      <c r="B35" s="48"/>
      <c r="C35" s="49"/>
      <c r="D35" s="50"/>
      <c r="E35" s="51"/>
      <c r="F35" s="52"/>
      <c r="G35" s="47"/>
      <c r="H35" s="47"/>
      <c r="I35" s="50"/>
      <c r="J35" s="53"/>
      <c r="K35" s="50"/>
      <c r="L35" s="47"/>
      <c r="M35" s="51"/>
      <c r="N35" s="51"/>
      <c r="O35" s="50"/>
      <c r="P35" s="50"/>
      <c r="Q35" s="52"/>
      <c r="R35" s="50"/>
      <c r="S35" s="50"/>
      <c r="T35" s="50"/>
      <c r="U35" s="50"/>
      <c r="V35" s="50"/>
      <c r="W35" s="50"/>
      <c r="X35" s="50"/>
      <c r="Y35" s="50"/>
      <c r="Z35" s="54"/>
      <c r="AA35" s="50"/>
      <c r="AB35" s="51"/>
      <c r="AC35" s="52"/>
      <c r="AD35" s="55">
        <f t="shared" si="0"/>
        <v>0</v>
      </c>
    </row>
    <row r="36" spans="1:30" x14ac:dyDescent="0.2">
      <c r="A36" s="48"/>
      <c r="B36" s="48"/>
      <c r="C36" s="49"/>
      <c r="D36" s="50"/>
      <c r="E36" s="51"/>
      <c r="F36" s="52"/>
      <c r="G36" s="47"/>
      <c r="H36" s="47"/>
      <c r="I36" s="50"/>
      <c r="J36" s="53"/>
      <c r="K36" s="50"/>
      <c r="L36" s="47"/>
      <c r="M36" s="51"/>
      <c r="N36" s="51"/>
      <c r="O36" s="50"/>
      <c r="P36" s="50"/>
      <c r="Q36" s="52"/>
      <c r="R36" s="50"/>
      <c r="S36" s="50"/>
      <c r="T36" s="50"/>
      <c r="U36" s="50"/>
      <c r="V36" s="50"/>
      <c r="W36" s="50"/>
      <c r="X36" s="50"/>
      <c r="Y36" s="50"/>
      <c r="Z36" s="54"/>
      <c r="AA36" s="50"/>
      <c r="AB36" s="51"/>
      <c r="AC36" s="52"/>
      <c r="AD36" s="55">
        <f t="shared" si="0"/>
        <v>0</v>
      </c>
    </row>
    <row r="37" spans="1:30" x14ac:dyDescent="0.2">
      <c r="A37" s="48"/>
      <c r="B37" s="48"/>
      <c r="C37" s="49"/>
      <c r="D37" s="50"/>
      <c r="E37" s="51"/>
      <c r="F37" s="52"/>
      <c r="G37" s="47"/>
      <c r="H37" s="47"/>
      <c r="I37" s="50"/>
      <c r="J37" s="53"/>
      <c r="K37" s="50"/>
      <c r="L37" s="47"/>
      <c r="M37" s="51"/>
      <c r="N37" s="51"/>
      <c r="O37" s="50"/>
      <c r="P37" s="50"/>
      <c r="Q37" s="52"/>
      <c r="R37" s="50"/>
      <c r="S37" s="50"/>
      <c r="T37" s="50"/>
      <c r="U37" s="50"/>
      <c r="V37" s="50"/>
      <c r="W37" s="50"/>
      <c r="X37" s="50"/>
      <c r="Y37" s="50"/>
      <c r="Z37" s="54"/>
      <c r="AA37" s="50"/>
      <c r="AB37" s="51"/>
      <c r="AC37" s="52"/>
      <c r="AD37" s="55">
        <f t="shared" si="0"/>
        <v>0</v>
      </c>
    </row>
    <row r="38" spans="1:30" x14ac:dyDescent="0.2">
      <c r="A38" s="48"/>
      <c r="B38" s="48"/>
      <c r="C38" s="49"/>
      <c r="D38" s="50"/>
      <c r="E38" s="51"/>
      <c r="F38" s="52"/>
      <c r="G38" s="47"/>
      <c r="H38" s="47"/>
      <c r="I38" s="50"/>
      <c r="J38" s="53"/>
      <c r="K38" s="50"/>
      <c r="L38" s="47"/>
      <c r="M38" s="51"/>
      <c r="N38" s="51"/>
      <c r="O38" s="50"/>
      <c r="P38" s="50"/>
      <c r="Q38" s="52"/>
      <c r="R38" s="50"/>
      <c r="S38" s="50"/>
      <c r="T38" s="50"/>
      <c r="U38" s="50"/>
      <c r="V38" s="50"/>
      <c r="W38" s="50"/>
      <c r="X38" s="50"/>
      <c r="Y38" s="50"/>
      <c r="Z38" s="54"/>
      <c r="AA38" s="50"/>
      <c r="AB38" s="51"/>
      <c r="AC38" s="52"/>
      <c r="AD38" s="55">
        <f t="shared" si="0"/>
        <v>0</v>
      </c>
    </row>
    <row r="39" spans="1:30" x14ac:dyDescent="0.2">
      <c r="A39" s="48"/>
      <c r="B39" s="48"/>
      <c r="C39" s="49"/>
      <c r="D39" s="50"/>
      <c r="E39" s="51"/>
      <c r="F39" s="52"/>
      <c r="G39" s="47"/>
      <c r="H39" s="47"/>
      <c r="I39" s="50"/>
      <c r="J39" s="53"/>
      <c r="K39" s="50"/>
      <c r="L39" s="47"/>
      <c r="M39" s="51"/>
      <c r="N39" s="51"/>
      <c r="O39" s="50"/>
      <c r="P39" s="50"/>
      <c r="Q39" s="52"/>
      <c r="R39" s="50"/>
      <c r="S39" s="50"/>
      <c r="T39" s="50"/>
      <c r="U39" s="50"/>
      <c r="V39" s="50"/>
      <c r="W39" s="50"/>
      <c r="X39" s="50"/>
      <c r="Y39" s="50"/>
      <c r="Z39" s="54"/>
      <c r="AA39" s="50"/>
      <c r="AB39" s="51"/>
      <c r="AC39" s="52"/>
      <c r="AD39" s="55">
        <f t="shared" si="0"/>
        <v>0</v>
      </c>
    </row>
    <row r="40" spans="1:30" x14ac:dyDescent="0.2">
      <c r="A40" s="48"/>
      <c r="B40" s="48"/>
      <c r="C40" s="49"/>
      <c r="D40" s="50"/>
      <c r="E40" s="51"/>
      <c r="F40" s="52"/>
      <c r="G40" s="47"/>
      <c r="H40" s="47"/>
      <c r="I40" s="50"/>
      <c r="J40" s="53"/>
      <c r="K40" s="50"/>
      <c r="L40" s="47"/>
      <c r="M40" s="51"/>
      <c r="N40" s="51"/>
      <c r="O40" s="50"/>
      <c r="P40" s="50"/>
      <c r="Q40" s="52"/>
      <c r="R40" s="50"/>
      <c r="S40" s="50"/>
      <c r="T40" s="50"/>
      <c r="U40" s="50"/>
      <c r="V40" s="50"/>
      <c r="W40" s="50"/>
      <c r="X40" s="50"/>
      <c r="Y40" s="50"/>
      <c r="Z40" s="54"/>
      <c r="AA40" s="50"/>
      <c r="AB40" s="51"/>
      <c r="AC40" s="52"/>
      <c r="AD40" s="55">
        <f t="shared" si="0"/>
        <v>0</v>
      </c>
    </row>
    <row r="41" spans="1:30" x14ac:dyDescent="0.2">
      <c r="A41" s="48"/>
      <c r="B41" s="48"/>
      <c r="C41" s="49"/>
      <c r="D41" s="50"/>
      <c r="E41" s="51"/>
      <c r="F41" s="52"/>
      <c r="G41" s="47"/>
      <c r="H41" s="47"/>
      <c r="I41" s="50"/>
      <c r="J41" s="53"/>
      <c r="K41" s="50"/>
      <c r="L41" s="47"/>
      <c r="M41" s="51"/>
      <c r="N41" s="51"/>
      <c r="O41" s="50"/>
      <c r="P41" s="50"/>
      <c r="Q41" s="52"/>
      <c r="R41" s="50"/>
      <c r="S41" s="50"/>
      <c r="T41" s="50"/>
      <c r="U41" s="50"/>
      <c r="V41" s="50"/>
      <c r="W41" s="50"/>
      <c r="X41" s="50"/>
      <c r="Y41" s="50"/>
      <c r="Z41" s="54"/>
      <c r="AA41" s="50"/>
      <c r="AB41" s="51"/>
      <c r="AC41" s="52"/>
      <c r="AD41" s="55">
        <f t="shared" si="0"/>
        <v>0</v>
      </c>
    </row>
    <row r="42" spans="1:30" x14ac:dyDescent="0.2">
      <c r="A42" s="48"/>
      <c r="B42" s="48"/>
      <c r="C42" s="49"/>
      <c r="D42" s="50"/>
      <c r="E42" s="51"/>
      <c r="F42" s="52"/>
      <c r="G42" s="47"/>
      <c r="H42" s="47"/>
      <c r="I42" s="50"/>
      <c r="J42" s="53"/>
      <c r="K42" s="50"/>
      <c r="L42" s="47"/>
      <c r="M42" s="51"/>
      <c r="N42" s="51"/>
      <c r="O42" s="50"/>
      <c r="P42" s="50"/>
      <c r="Q42" s="52"/>
      <c r="R42" s="50"/>
      <c r="S42" s="50"/>
      <c r="T42" s="50"/>
      <c r="U42" s="50"/>
      <c r="V42" s="50"/>
      <c r="W42" s="50"/>
      <c r="X42" s="50"/>
      <c r="Y42" s="50"/>
      <c r="Z42" s="54"/>
      <c r="AA42" s="50"/>
      <c r="AB42" s="51"/>
      <c r="AC42" s="52"/>
      <c r="AD42" s="55">
        <f t="shared" si="0"/>
        <v>0</v>
      </c>
    </row>
    <row r="43" spans="1:30" x14ac:dyDescent="0.2">
      <c r="A43" s="48"/>
      <c r="B43" s="48"/>
      <c r="C43" s="49"/>
      <c r="D43" s="50"/>
      <c r="E43" s="51"/>
      <c r="F43" s="52"/>
      <c r="G43" s="47"/>
      <c r="H43" s="47"/>
      <c r="I43" s="50"/>
      <c r="J43" s="53"/>
      <c r="K43" s="50"/>
      <c r="L43" s="47"/>
      <c r="M43" s="51"/>
      <c r="N43" s="51"/>
      <c r="O43" s="50"/>
      <c r="P43" s="50"/>
      <c r="Q43" s="52"/>
      <c r="R43" s="50"/>
      <c r="S43" s="50"/>
      <c r="T43" s="50"/>
      <c r="U43" s="50"/>
      <c r="V43" s="50"/>
      <c r="W43" s="50"/>
      <c r="X43" s="50"/>
      <c r="Y43" s="50"/>
      <c r="Z43" s="54"/>
      <c r="AA43" s="50"/>
      <c r="AB43" s="51"/>
      <c r="AC43" s="52"/>
      <c r="AD43" s="55">
        <f t="shared" si="0"/>
        <v>0</v>
      </c>
    </row>
    <row r="44" spans="1:30" x14ac:dyDescent="0.2">
      <c r="A44" s="48"/>
      <c r="B44" s="48"/>
      <c r="C44" s="49"/>
      <c r="D44" s="50"/>
      <c r="E44" s="51"/>
      <c r="F44" s="52"/>
      <c r="G44" s="47"/>
      <c r="H44" s="47"/>
      <c r="I44" s="50"/>
      <c r="J44" s="53"/>
      <c r="K44" s="50"/>
      <c r="L44" s="47"/>
      <c r="M44" s="51"/>
      <c r="N44" s="51"/>
      <c r="O44" s="50"/>
      <c r="P44" s="50"/>
      <c r="Q44" s="52"/>
      <c r="R44" s="50"/>
      <c r="S44" s="50"/>
      <c r="T44" s="50"/>
      <c r="U44" s="50"/>
      <c r="V44" s="50"/>
      <c r="W44" s="50"/>
      <c r="X44" s="50"/>
      <c r="Y44" s="50"/>
      <c r="Z44" s="54"/>
      <c r="AA44" s="50"/>
      <c r="AB44" s="51"/>
      <c r="AC44" s="52"/>
      <c r="AD44" s="55">
        <f t="shared" si="0"/>
        <v>0</v>
      </c>
    </row>
    <row r="45" spans="1:30" x14ac:dyDescent="0.2">
      <c r="A45" s="48"/>
      <c r="B45" s="48"/>
      <c r="C45" s="49"/>
      <c r="D45" s="50"/>
      <c r="E45" s="51"/>
      <c r="F45" s="52"/>
      <c r="G45" s="47"/>
      <c r="H45" s="47"/>
      <c r="I45" s="50"/>
      <c r="J45" s="53"/>
      <c r="K45" s="50"/>
      <c r="L45" s="47"/>
      <c r="M45" s="51"/>
      <c r="N45" s="51"/>
      <c r="O45" s="50"/>
      <c r="P45" s="50"/>
      <c r="Q45" s="52"/>
      <c r="R45" s="50"/>
      <c r="S45" s="50"/>
      <c r="T45" s="50"/>
      <c r="U45" s="50"/>
      <c r="V45" s="50"/>
      <c r="W45" s="50"/>
      <c r="X45" s="50"/>
      <c r="Y45" s="50"/>
      <c r="Z45" s="54"/>
      <c r="AA45" s="50"/>
      <c r="AB45" s="51"/>
      <c r="AC45" s="52"/>
      <c r="AD45" s="55">
        <f t="shared" si="0"/>
        <v>0</v>
      </c>
    </row>
    <row r="46" spans="1:30" x14ac:dyDescent="0.2">
      <c r="A46" s="48"/>
      <c r="B46" s="48"/>
      <c r="C46" s="49"/>
      <c r="D46" s="50"/>
      <c r="E46" s="51"/>
      <c r="F46" s="52"/>
      <c r="G46" s="47"/>
      <c r="H46" s="47"/>
      <c r="I46" s="50"/>
      <c r="J46" s="53"/>
      <c r="K46" s="50"/>
      <c r="L46" s="47"/>
      <c r="M46" s="51"/>
      <c r="N46" s="51"/>
      <c r="O46" s="50"/>
      <c r="P46" s="50"/>
      <c r="Q46" s="52"/>
      <c r="R46" s="50"/>
      <c r="S46" s="50"/>
      <c r="T46" s="50"/>
      <c r="U46" s="50"/>
      <c r="V46" s="50"/>
      <c r="W46" s="50"/>
      <c r="X46" s="50"/>
      <c r="Y46" s="50"/>
      <c r="Z46" s="54"/>
      <c r="AA46" s="50"/>
      <c r="AB46" s="51"/>
      <c r="AC46" s="52"/>
      <c r="AD46" s="55">
        <f t="shared" si="0"/>
        <v>0</v>
      </c>
    </row>
    <row r="47" spans="1:30" x14ac:dyDescent="0.2">
      <c r="A47" s="48"/>
      <c r="B47" s="48"/>
      <c r="C47" s="49"/>
      <c r="D47" s="50"/>
      <c r="E47" s="51"/>
      <c r="F47" s="52"/>
      <c r="G47" s="47"/>
      <c r="H47" s="47"/>
      <c r="I47" s="50"/>
      <c r="J47" s="53"/>
      <c r="K47" s="50"/>
      <c r="L47" s="47"/>
      <c r="M47" s="51"/>
      <c r="N47" s="51"/>
      <c r="O47" s="50"/>
      <c r="P47" s="50"/>
      <c r="Q47" s="52"/>
      <c r="R47" s="50"/>
      <c r="S47" s="50"/>
      <c r="T47" s="50"/>
      <c r="U47" s="50"/>
      <c r="V47" s="50"/>
      <c r="W47" s="50"/>
      <c r="X47" s="50"/>
      <c r="Y47" s="50"/>
      <c r="Z47" s="54"/>
      <c r="AA47" s="50"/>
      <c r="AB47" s="51"/>
      <c r="AC47" s="52"/>
      <c r="AD47" s="55">
        <f t="shared" si="0"/>
        <v>0</v>
      </c>
    </row>
    <row r="48" spans="1:30" x14ac:dyDescent="0.2">
      <c r="A48" s="48"/>
      <c r="B48" s="48"/>
      <c r="C48" s="49"/>
      <c r="D48" s="50"/>
      <c r="E48" s="51"/>
      <c r="F48" s="52"/>
      <c r="G48" s="47"/>
      <c r="H48" s="47"/>
      <c r="I48" s="50"/>
      <c r="J48" s="53"/>
      <c r="K48" s="50"/>
      <c r="L48" s="47"/>
      <c r="M48" s="51"/>
      <c r="N48" s="51"/>
      <c r="O48" s="50"/>
      <c r="P48" s="50"/>
      <c r="Q48" s="52"/>
      <c r="R48" s="50"/>
      <c r="S48" s="50"/>
      <c r="T48" s="50"/>
      <c r="U48" s="50"/>
      <c r="V48" s="50"/>
      <c r="W48" s="50"/>
      <c r="X48" s="50"/>
      <c r="Y48" s="50"/>
      <c r="Z48" s="54"/>
      <c r="AA48" s="50"/>
      <c r="AB48" s="51"/>
      <c r="AC48" s="52"/>
      <c r="AD48" s="55">
        <f t="shared" si="0"/>
        <v>0</v>
      </c>
    </row>
    <row r="49" spans="1:30" x14ac:dyDescent="0.2">
      <c r="A49" s="48"/>
      <c r="B49" s="48"/>
      <c r="C49" s="49"/>
      <c r="D49" s="50"/>
      <c r="E49" s="51"/>
      <c r="F49" s="52"/>
      <c r="G49" s="47"/>
      <c r="H49" s="47"/>
      <c r="I49" s="50"/>
      <c r="J49" s="53"/>
      <c r="K49" s="50"/>
      <c r="L49" s="47"/>
      <c r="M49" s="51"/>
      <c r="N49" s="51"/>
      <c r="O49" s="50"/>
      <c r="P49" s="50"/>
      <c r="Q49" s="52"/>
      <c r="R49" s="50"/>
      <c r="S49" s="50"/>
      <c r="T49" s="50"/>
      <c r="U49" s="50"/>
      <c r="V49" s="50"/>
      <c r="W49" s="50"/>
      <c r="X49" s="50"/>
      <c r="Y49" s="50"/>
      <c r="Z49" s="54"/>
      <c r="AA49" s="50"/>
      <c r="AB49" s="51"/>
      <c r="AC49" s="52"/>
      <c r="AD49" s="55">
        <f t="shared" si="0"/>
        <v>0</v>
      </c>
    </row>
    <row r="50" spans="1:30" x14ac:dyDescent="0.2">
      <c r="A50" s="48"/>
      <c r="B50" s="48"/>
      <c r="C50" s="49"/>
      <c r="D50" s="50"/>
      <c r="E50" s="51"/>
      <c r="F50" s="52"/>
      <c r="G50" s="47"/>
      <c r="H50" s="47"/>
      <c r="I50" s="50"/>
      <c r="J50" s="53"/>
      <c r="K50" s="50"/>
      <c r="L50" s="47"/>
      <c r="M50" s="51"/>
      <c r="N50" s="51"/>
      <c r="O50" s="50"/>
      <c r="P50" s="50"/>
      <c r="Q50" s="52"/>
      <c r="R50" s="50"/>
      <c r="S50" s="50"/>
      <c r="T50" s="50"/>
      <c r="U50" s="50"/>
      <c r="V50" s="50"/>
      <c r="W50" s="50"/>
      <c r="X50" s="50"/>
      <c r="Y50" s="50"/>
      <c r="Z50" s="54"/>
      <c r="AA50" s="50"/>
      <c r="AB50" s="51"/>
      <c r="AC50" s="52"/>
      <c r="AD50" s="55">
        <f t="shared" si="0"/>
        <v>0</v>
      </c>
    </row>
    <row r="51" spans="1:30" x14ac:dyDescent="0.2">
      <c r="A51" s="48"/>
      <c r="B51" s="48"/>
      <c r="C51" s="49"/>
      <c r="D51" s="50"/>
      <c r="E51" s="51"/>
      <c r="F51" s="52"/>
      <c r="G51" s="47"/>
      <c r="H51" s="47"/>
      <c r="I51" s="50"/>
      <c r="J51" s="53"/>
      <c r="K51" s="50"/>
      <c r="L51" s="47"/>
      <c r="M51" s="51"/>
      <c r="N51" s="51"/>
      <c r="O51" s="50"/>
      <c r="P51" s="50"/>
      <c r="Q51" s="52"/>
      <c r="R51" s="50"/>
      <c r="S51" s="50"/>
      <c r="T51" s="50"/>
      <c r="U51" s="50"/>
      <c r="V51" s="50"/>
      <c r="W51" s="50"/>
      <c r="X51" s="50"/>
      <c r="Y51" s="50"/>
      <c r="Z51" s="54"/>
      <c r="AA51" s="50"/>
      <c r="AB51" s="51"/>
      <c r="AC51" s="52"/>
      <c r="AD51" s="55">
        <f t="shared" si="0"/>
        <v>0</v>
      </c>
    </row>
    <row r="52" spans="1:30" x14ac:dyDescent="0.2">
      <c r="A52" s="48"/>
      <c r="B52" s="48"/>
      <c r="C52" s="49"/>
      <c r="D52" s="50"/>
      <c r="E52" s="51"/>
      <c r="F52" s="52"/>
      <c r="G52" s="47"/>
      <c r="H52" s="47"/>
      <c r="I52" s="50"/>
      <c r="J52" s="53"/>
      <c r="K52" s="50"/>
      <c r="L52" s="47"/>
      <c r="M52" s="51"/>
      <c r="N52" s="51"/>
      <c r="O52" s="50"/>
      <c r="P52" s="50"/>
      <c r="Q52" s="52"/>
      <c r="R52" s="50"/>
      <c r="S52" s="50"/>
      <c r="T52" s="50"/>
      <c r="U52" s="50"/>
      <c r="V52" s="50"/>
      <c r="W52" s="50"/>
      <c r="X52" s="50"/>
      <c r="Y52" s="50"/>
      <c r="Z52" s="54"/>
      <c r="AA52" s="50"/>
      <c r="AB52" s="51"/>
      <c r="AC52" s="52"/>
      <c r="AD52" s="55">
        <f t="shared" si="0"/>
        <v>0</v>
      </c>
    </row>
    <row r="53" spans="1:30" x14ac:dyDescent="0.2">
      <c r="A53" s="48"/>
      <c r="B53" s="48"/>
      <c r="C53" s="49"/>
      <c r="D53" s="50"/>
      <c r="E53" s="51"/>
      <c r="F53" s="52"/>
      <c r="G53" s="47"/>
      <c r="H53" s="47"/>
      <c r="I53" s="50"/>
      <c r="J53" s="53"/>
      <c r="K53" s="50"/>
      <c r="L53" s="47"/>
      <c r="M53" s="51"/>
      <c r="N53" s="51"/>
      <c r="O53" s="50"/>
      <c r="P53" s="50"/>
      <c r="Q53" s="52"/>
      <c r="R53" s="50"/>
      <c r="S53" s="50"/>
      <c r="T53" s="50"/>
      <c r="U53" s="50"/>
      <c r="V53" s="50"/>
      <c r="W53" s="50"/>
      <c r="X53" s="50"/>
      <c r="Y53" s="50"/>
      <c r="Z53" s="54"/>
      <c r="AA53" s="50"/>
      <c r="AB53" s="51"/>
      <c r="AC53" s="52"/>
      <c r="AD53" s="55">
        <f t="shared" si="0"/>
        <v>0</v>
      </c>
    </row>
    <row r="54" spans="1:30" x14ac:dyDescent="0.2">
      <c r="A54" s="48"/>
      <c r="B54" s="48"/>
      <c r="C54" s="49"/>
      <c r="D54" s="50"/>
      <c r="E54" s="51"/>
      <c r="F54" s="52"/>
      <c r="G54" s="47"/>
      <c r="H54" s="47"/>
      <c r="I54" s="50"/>
      <c r="J54" s="53"/>
      <c r="K54" s="50"/>
      <c r="L54" s="47"/>
      <c r="M54" s="51"/>
      <c r="N54" s="51"/>
      <c r="O54" s="50"/>
      <c r="P54" s="50"/>
      <c r="Q54" s="52"/>
      <c r="R54" s="50"/>
      <c r="S54" s="50"/>
      <c r="T54" s="50"/>
      <c r="U54" s="50"/>
      <c r="V54" s="50"/>
      <c r="W54" s="50"/>
      <c r="X54" s="50"/>
      <c r="Y54" s="50"/>
      <c r="Z54" s="54"/>
      <c r="AA54" s="50"/>
      <c r="AB54" s="51"/>
      <c r="AC54" s="52"/>
      <c r="AD54" s="55">
        <f t="shared" si="0"/>
        <v>0</v>
      </c>
    </row>
    <row r="55" spans="1:30" x14ac:dyDescent="0.2">
      <c r="A55" s="48"/>
      <c r="B55" s="48"/>
      <c r="C55" s="49"/>
      <c r="D55" s="50"/>
      <c r="E55" s="51"/>
      <c r="F55" s="52"/>
      <c r="G55" s="47"/>
      <c r="H55" s="47"/>
      <c r="I55" s="50"/>
      <c r="J55" s="53"/>
      <c r="K55" s="50"/>
      <c r="L55" s="47"/>
      <c r="M55" s="51"/>
      <c r="N55" s="51"/>
      <c r="O55" s="50"/>
      <c r="P55" s="50"/>
      <c r="Q55" s="52"/>
      <c r="R55" s="50"/>
      <c r="S55" s="50"/>
      <c r="T55" s="50"/>
      <c r="U55" s="50"/>
      <c r="V55" s="50"/>
      <c r="W55" s="50"/>
      <c r="X55" s="50"/>
      <c r="Y55" s="50"/>
      <c r="Z55" s="54"/>
      <c r="AA55" s="50"/>
      <c r="AB55" s="51"/>
      <c r="AC55" s="52"/>
      <c r="AD55" s="55">
        <f t="shared" si="0"/>
        <v>0</v>
      </c>
    </row>
    <row r="56" spans="1:30" x14ac:dyDescent="0.2">
      <c r="A56" s="48"/>
      <c r="B56" s="48"/>
      <c r="C56" s="49"/>
      <c r="D56" s="50"/>
      <c r="E56" s="51"/>
      <c r="F56" s="52"/>
      <c r="G56" s="47"/>
      <c r="H56" s="47"/>
      <c r="I56" s="50"/>
      <c r="J56" s="53"/>
      <c r="K56" s="50"/>
      <c r="L56" s="47"/>
      <c r="M56" s="51"/>
      <c r="N56" s="51"/>
      <c r="O56" s="50"/>
      <c r="P56" s="50"/>
      <c r="Q56" s="52"/>
      <c r="R56" s="50"/>
      <c r="S56" s="50"/>
      <c r="T56" s="50"/>
      <c r="U56" s="50"/>
      <c r="V56" s="50"/>
      <c r="W56" s="50"/>
      <c r="X56" s="50"/>
      <c r="Y56" s="50"/>
      <c r="Z56" s="54"/>
      <c r="AA56" s="50"/>
      <c r="AB56" s="51"/>
      <c r="AC56" s="52"/>
      <c r="AD56" s="55">
        <f t="shared" si="0"/>
        <v>0</v>
      </c>
    </row>
    <row r="57" spans="1:30" x14ac:dyDescent="0.2">
      <c r="A57" s="48"/>
      <c r="B57" s="48"/>
      <c r="C57" s="49"/>
      <c r="D57" s="50"/>
      <c r="E57" s="51"/>
      <c r="F57" s="52"/>
      <c r="G57" s="47"/>
      <c r="H57" s="47"/>
      <c r="I57" s="50"/>
      <c r="J57" s="53"/>
      <c r="K57" s="50"/>
      <c r="L57" s="47"/>
      <c r="M57" s="51"/>
      <c r="N57" s="51"/>
      <c r="O57" s="50"/>
      <c r="P57" s="50"/>
      <c r="Q57" s="52"/>
      <c r="R57" s="50"/>
      <c r="S57" s="50"/>
      <c r="T57" s="50"/>
      <c r="U57" s="50"/>
      <c r="V57" s="50"/>
      <c r="W57" s="50"/>
      <c r="X57" s="50"/>
      <c r="Y57" s="50"/>
      <c r="Z57" s="54"/>
      <c r="AA57" s="50"/>
      <c r="AB57" s="51"/>
      <c r="AC57" s="52"/>
      <c r="AD57" s="55">
        <f t="shared" si="0"/>
        <v>0</v>
      </c>
    </row>
    <row r="58" spans="1:30" x14ac:dyDescent="0.2">
      <c r="A58" s="48"/>
      <c r="B58" s="48"/>
      <c r="C58" s="49"/>
      <c r="D58" s="50"/>
      <c r="E58" s="51"/>
      <c r="F58" s="52"/>
      <c r="G58" s="47"/>
      <c r="H58" s="47"/>
      <c r="I58" s="50"/>
      <c r="J58" s="53"/>
      <c r="K58" s="50"/>
      <c r="L58" s="47"/>
      <c r="M58" s="51"/>
      <c r="N58" s="51"/>
      <c r="O58" s="50"/>
      <c r="P58" s="50"/>
      <c r="Q58" s="52"/>
      <c r="R58" s="50"/>
      <c r="S58" s="50"/>
      <c r="T58" s="50"/>
      <c r="U58" s="50"/>
      <c r="V58" s="50"/>
      <c r="W58" s="50"/>
      <c r="X58" s="50"/>
      <c r="Y58" s="50"/>
      <c r="Z58" s="54"/>
      <c r="AA58" s="50"/>
      <c r="AB58" s="51"/>
      <c r="AC58" s="52"/>
      <c r="AD58" s="55">
        <f t="shared" si="0"/>
        <v>0</v>
      </c>
    </row>
    <row r="59" spans="1:30" x14ac:dyDescent="0.2">
      <c r="A59" s="48"/>
      <c r="B59" s="48"/>
      <c r="C59" s="49"/>
      <c r="D59" s="50"/>
      <c r="E59" s="51"/>
      <c r="F59" s="52"/>
      <c r="G59" s="47"/>
      <c r="H59" s="47"/>
      <c r="I59" s="50"/>
      <c r="J59" s="53"/>
      <c r="K59" s="50"/>
      <c r="L59" s="47"/>
      <c r="M59" s="51"/>
      <c r="N59" s="51"/>
      <c r="O59" s="50"/>
      <c r="P59" s="50"/>
      <c r="Q59" s="52"/>
      <c r="R59" s="50"/>
      <c r="S59" s="50"/>
      <c r="T59" s="50"/>
      <c r="U59" s="50"/>
      <c r="V59" s="50"/>
      <c r="W59" s="50"/>
      <c r="X59" s="50"/>
      <c r="Y59" s="50"/>
      <c r="Z59" s="54"/>
      <c r="AA59" s="50"/>
      <c r="AB59" s="51"/>
      <c r="AC59" s="52"/>
      <c r="AD59" s="55">
        <f t="shared" si="0"/>
        <v>0</v>
      </c>
    </row>
    <row r="60" spans="1:30" x14ac:dyDescent="0.2">
      <c r="A60" s="48"/>
      <c r="B60" s="48"/>
      <c r="C60" s="49"/>
      <c r="D60" s="50"/>
      <c r="E60" s="51"/>
      <c r="F60" s="52"/>
      <c r="G60" s="47"/>
      <c r="H60" s="47"/>
      <c r="I60" s="50"/>
      <c r="J60" s="53"/>
      <c r="K60" s="50"/>
      <c r="L60" s="47"/>
      <c r="M60" s="51"/>
      <c r="N60" s="51"/>
      <c r="O60" s="50"/>
      <c r="P60" s="50"/>
      <c r="Q60" s="52"/>
      <c r="R60" s="50"/>
      <c r="S60" s="50"/>
      <c r="T60" s="50"/>
      <c r="U60" s="50"/>
      <c r="V60" s="50"/>
      <c r="W60" s="50"/>
      <c r="X60" s="50"/>
      <c r="Y60" s="50"/>
      <c r="Z60" s="54"/>
      <c r="AA60" s="50"/>
      <c r="AB60" s="51"/>
      <c r="AC60" s="52"/>
      <c r="AD60" s="55">
        <f t="shared" si="0"/>
        <v>0</v>
      </c>
    </row>
    <row r="61" spans="1:30" x14ac:dyDescent="0.2">
      <c r="A61" s="48"/>
      <c r="B61" s="48"/>
      <c r="C61" s="49"/>
      <c r="D61" s="50"/>
      <c r="E61" s="51"/>
      <c r="F61" s="52"/>
      <c r="G61" s="47"/>
      <c r="H61" s="47"/>
      <c r="I61" s="50"/>
      <c r="J61" s="53"/>
      <c r="K61" s="50"/>
      <c r="L61" s="47"/>
      <c r="M61" s="51"/>
      <c r="N61" s="51"/>
      <c r="O61" s="50"/>
      <c r="P61" s="50"/>
      <c r="Q61" s="52"/>
      <c r="R61" s="50"/>
      <c r="S61" s="50"/>
      <c r="T61" s="50"/>
      <c r="U61" s="50"/>
      <c r="V61" s="50"/>
      <c r="W61" s="50"/>
      <c r="X61" s="50"/>
      <c r="Y61" s="50"/>
      <c r="Z61" s="54"/>
      <c r="AA61" s="50"/>
      <c r="AB61" s="51"/>
      <c r="AC61" s="52"/>
      <c r="AD61" s="55">
        <f t="shared" si="0"/>
        <v>0</v>
      </c>
    </row>
  </sheetData>
  <mergeCells count="6">
    <mergeCell ref="A1:AD2"/>
    <mergeCell ref="D3:F3"/>
    <mergeCell ref="AF3:AG4"/>
    <mergeCell ref="AD4:AD5"/>
    <mergeCell ref="U5:Y5"/>
    <mergeCell ref="AF5:AG5"/>
  </mergeCells>
  <conditionalFormatting sqref="AA7:AA61">
    <cfRule type="expression" dxfId="11" priority="3">
      <formula>AND(NOT(ISBLANK(Z7)),ISBLANK(AA7))</formula>
    </cfRule>
  </conditionalFormatting>
  <conditionalFormatting sqref="AD4:AD5">
    <cfRule type="cellIs" dxfId="10" priority="1" operator="greaterThan">
      <formula>0</formula>
    </cfRule>
  </conditionalFormatting>
  <conditionalFormatting sqref="AD7:AD61">
    <cfRule type="cellIs" dxfId="9" priority="4" operator="lessThan">
      <formula>0</formula>
    </cfRule>
  </conditionalFormatting>
  <conditionalFormatting sqref="AF5:AG5">
    <cfRule type="cellIs" dxfId="8" priority="2" operator="lessThan">
      <formula>0</formula>
    </cfRule>
  </conditionalFormatting>
  <dataValidations count="1">
    <dataValidation type="list" allowBlank="1" showInputMessage="1" showErrorMessage="1" sqref="AA7:AA61" xr:uid="{3A835449-3EA4-4A91-8FA6-0CDA6362F39A}">
      <formula1>"Approved, Completed, Not Approved, Cancelled"</formula1>
    </dataValidation>
  </dataValidations>
  <pageMargins left="0.25" right="0.25" top="0.75" bottom="0.75" header="0.3" footer="0.3"/>
  <pageSetup paperSize="124" scale="18" orientation="landscape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E385-562F-404A-860C-9C9CD4D1337B}">
  <sheetPr>
    <pageSetUpPr fitToPage="1"/>
  </sheetPr>
  <dimension ref="A1:AG61"/>
  <sheetViews>
    <sheetView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D2"/>
    </sheetView>
  </sheetViews>
  <sheetFormatPr defaultRowHeight="12.75" x14ac:dyDescent="0.2"/>
  <cols>
    <col min="1" max="1" width="17" style="7" customWidth="1"/>
    <col min="2" max="2" width="20.7109375" style="7" customWidth="1"/>
    <col min="3" max="3" width="15.5703125" style="7" customWidth="1"/>
    <col min="4" max="4" width="13.140625" style="22" customWidth="1"/>
    <col min="5" max="5" width="14" style="7" customWidth="1"/>
    <col min="6" max="7" width="33.28515625" style="7" bestFit="1" customWidth="1"/>
    <col min="8" max="8" width="12.28515625" style="7" customWidth="1"/>
    <col min="9" max="9" width="62" style="7" bestFit="1" customWidth="1"/>
    <col min="10" max="10" width="27.7109375" style="7" customWidth="1"/>
    <col min="11" max="11" width="26.28515625" style="7" customWidth="1"/>
    <col min="12" max="12" width="9.140625" style="7"/>
    <col min="13" max="13" width="28.7109375" style="23" customWidth="1"/>
    <col min="14" max="14" width="29.5703125" style="7" customWidth="1"/>
    <col min="15" max="15" width="20.85546875" style="7" customWidth="1"/>
    <col min="16" max="16" width="15.140625" style="7" customWidth="1"/>
    <col min="17" max="17" width="13.7109375" style="7" customWidth="1"/>
    <col min="18" max="18" width="34.42578125" style="7" customWidth="1"/>
    <col min="19" max="19" width="24.5703125" style="7" customWidth="1"/>
    <col min="20" max="20" width="17.85546875" style="7" customWidth="1"/>
    <col min="21" max="21" width="23.7109375" style="7" customWidth="1"/>
    <col min="22" max="22" width="27.5703125" style="7" customWidth="1"/>
    <col min="23" max="23" width="24.85546875" style="7" customWidth="1"/>
    <col min="24" max="24" width="24" style="7" customWidth="1"/>
    <col min="25" max="25" width="22.85546875" style="7" customWidth="1"/>
    <col min="26" max="26" width="15.42578125" style="24" customWidth="1"/>
    <col min="27" max="27" width="26.42578125" style="7" customWidth="1"/>
    <col min="28" max="28" width="29.5703125" style="23" customWidth="1"/>
    <col min="29" max="29" width="19.7109375" style="7" customWidth="1"/>
    <col min="30" max="30" width="18.7109375" style="7" customWidth="1"/>
    <col min="31" max="31" width="9.140625" style="7"/>
    <col min="32" max="32" width="14" style="7" customWidth="1"/>
    <col min="33" max="33" width="12.42578125" style="7" bestFit="1" customWidth="1"/>
    <col min="34" max="16384" width="9.140625" style="7"/>
  </cols>
  <sheetData>
    <row r="1" spans="1:33" ht="28.5" customHeight="1" x14ac:dyDescent="0.2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1"/>
      <c r="AF1" s="1"/>
      <c r="AG1" s="1"/>
    </row>
    <row r="2" spans="1:33" ht="13.5" thickBo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1"/>
      <c r="AF2" s="1"/>
      <c r="AG2" s="1"/>
    </row>
    <row r="3" spans="1:33" ht="20.25" customHeight="1" x14ac:dyDescent="0.2">
      <c r="A3" s="56"/>
      <c r="B3" s="56" t="s">
        <v>1</v>
      </c>
      <c r="C3" s="57">
        <f>'3rd Year'!C3+1</f>
        <v>2029</v>
      </c>
      <c r="D3" s="76" t="s">
        <v>73</v>
      </c>
      <c r="E3" s="76"/>
      <c r="F3" s="76"/>
      <c r="G3" s="58" t="s">
        <v>74</v>
      </c>
      <c r="H3" s="13"/>
      <c r="I3" s="13"/>
      <c r="J3" s="13"/>
      <c r="K3" s="8"/>
      <c r="L3" s="9"/>
      <c r="M3" s="10"/>
      <c r="N3" s="11"/>
      <c r="O3" s="1"/>
      <c r="P3" s="12"/>
      <c r="Q3" s="5"/>
      <c r="R3" s="1"/>
      <c r="S3" s="1"/>
      <c r="T3" s="1"/>
      <c r="U3" s="1"/>
      <c r="V3" s="1"/>
      <c r="W3" s="1"/>
      <c r="X3" s="1"/>
      <c r="Y3" s="2"/>
      <c r="Z3" s="3"/>
      <c r="AA3" s="1"/>
      <c r="AB3" s="4"/>
      <c r="AC3" s="5"/>
      <c r="AD3" s="6"/>
      <c r="AE3" s="1"/>
      <c r="AF3" s="72" t="s">
        <v>4</v>
      </c>
      <c r="AG3" s="73"/>
    </row>
    <row r="4" spans="1:33" ht="15" customHeight="1" x14ac:dyDescent="0.2">
      <c r="A4" s="1"/>
      <c r="B4" s="14"/>
      <c r="C4" s="15"/>
      <c r="D4" s="16"/>
      <c r="E4" s="5"/>
      <c r="F4" s="1"/>
      <c r="G4" s="1"/>
      <c r="H4" s="1"/>
      <c r="I4" s="1"/>
      <c r="J4" s="1"/>
      <c r="K4" s="1"/>
      <c r="L4" s="17"/>
      <c r="M4" s="18"/>
      <c r="N4" s="11"/>
      <c r="O4" s="1"/>
      <c r="P4" s="12"/>
      <c r="Q4" s="5"/>
      <c r="R4" s="1"/>
      <c r="S4" s="1"/>
      <c r="T4" s="1"/>
      <c r="U4" s="1"/>
      <c r="V4" s="1"/>
      <c r="W4" s="1"/>
      <c r="X4" s="1"/>
      <c r="Y4" s="2"/>
      <c r="Z4" s="3"/>
      <c r="AA4" s="1"/>
      <c r="AB4" s="4"/>
      <c r="AC4" s="5"/>
      <c r="AD4" s="68" t="e">
        <f>SMALL(Table13567[Remaining Funds Calculation],COUNTIF(Table13567[Remaining Funds Calculation],0)+1)</f>
        <v>#NUM!</v>
      </c>
      <c r="AE4" s="1"/>
      <c r="AF4" s="74"/>
      <c r="AG4" s="75"/>
    </row>
    <row r="5" spans="1:33" ht="15" customHeight="1" thickBot="1" x14ac:dyDescent="0.25">
      <c r="A5" s="26" t="s">
        <v>5</v>
      </c>
      <c r="B5" s="37"/>
      <c r="C5" s="38"/>
      <c r="D5" s="38"/>
      <c r="F5" s="19"/>
      <c r="G5" s="19"/>
      <c r="H5" s="19"/>
      <c r="I5" s="19"/>
      <c r="J5" s="19"/>
      <c r="K5" s="25" t="s">
        <v>6</v>
      </c>
      <c r="L5" s="17"/>
      <c r="M5" s="18"/>
      <c r="N5" s="11"/>
      <c r="O5" s="1"/>
      <c r="P5" s="12"/>
      <c r="Q5" s="5"/>
      <c r="R5" s="1"/>
      <c r="S5" s="1"/>
      <c r="T5" s="1"/>
      <c r="U5" s="65" t="s">
        <v>7</v>
      </c>
      <c r="V5" s="66"/>
      <c r="W5" s="66"/>
      <c r="X5" s="66"/>
      <c r="Y5" s="67"/>
      <c r="Z5" s="3"/>
      <c r="AA5" s="1"/>
      <c r="AB5" s="4"/>
      <c r="AC5" s="5"/>
      <c r="AD5" s="69"/>
      <c r="AE5" s="1"/>
      <c r="AF5" s="70">
        <f>AG6-SUMIF(AA7:AA61,"&lt;&gt;Cancelled", Z7:Z61)</f>
        <v>0</v>
      </c>
      <c r="AG5" s="71"/>
    </row>
    <row r="6" spans="1:33" s="45" customFormat="1" ht="38.25" x14ac:dyDescent="0.25">
      <c r="A6" s="27" t="s">
        <v>8</v>
      </c>
      <c r="B6" s="27" t="s">
        <v>9</v>
      </c>
      <c r="C6" s="39" t="s">
        <v>10</v>
      </c>
      <c r="D6" s="40" t="s">
        <v>11</v>
      </c>
      <c r="E6" s="46" t="s">
        <v>12</v>
      </c>
      <c r="F6" s="41" t="s">
        <v>13</v>
      </c>
      <c r="G6" s="28" t="s">
        <v>14</v>
      </c>
      <c r="H6" s="28" t="s">
        <v>15</v>
      </c>
      <c r="I6" s="28" t="s">
        <v>16</v>
      </c>
      <c r="J6" s="28" t="s">
        <v>17</v>
      </c>
      <c r="K6" s="29" t="s">
        <v>18</v>
      </c>
      <c r="L6" s="30" t="s">
        <v>19</v>
      </c>
      <c r="M6" s="31" t="s">
        <v>20</v>
      </c>
      <c r="N6" s="31" t="s">
        <v>21</v>
      </c>
      <c r="O6" s="29" t="s">
        <v>22</v>
      </c>
      <c r="P6" s="32" t="s">
        <v>23</v>
      </c>
      <c r="Q6" s="33" t="s">
        <v>24</v>
      </c>
      <c r="R6" s="29" t="s">
        <v>25</v>
      </c>
      <c r="S6" s="29" t="s">
        <v>26</v>
      </c>
      <c r="T6" s="29" t="s">
        <v>27</v>
      </c>
      <c r="U6" s="29" t="s">
        <v>28</v>
      </c>
      <c r="V6" s="29" t="s">
        <v>29</v>
      </c>
      <c r="W6" s="29" t="s">
        <v>30</v>
      </c>
      <c r="X6" s="29" t="s">
        <v>31</v>
      </c>
      <c r="Y6" s="34" t="s">
        <v>32</v>
      </c>
      <c r="Z6" s="35" t="s">
        <v>33</v>
      </c>
      <c r="AA6" s="29" t="s">
        <v>34</v>
      </c>
      <c r="AB6" s="32" t="s">
        <v>35</v>
      </c>
      <c r="AC6" s="33" t="s">
        <v>36</v>
      </c>
      <c r="AD6" s="36" t="s">
        <v>37</v>
      </c>
      <c r="AE6" s="42"/>
      <c r="AF6" s="43" t="s">
        <v>38</v>
      </c>
      <c r="AG6" s="44">
        <f>SUM(AG7:AG13)</f>
        <v>0</v>
      </c>
    </row>
    <row r="7" spans="1:33" x14ac:dyDescent="0.2">
      <c r="A7" s="48"/>
      <c r="B7" s="48"/>
      <c r="C7" s="49"/>
      <c r="D7" s="50"/>
      <c r="E7" s="51"/>
      <c r="F7" s="52"/>
      <c r="G7" s="47"/>
      <c r="H7" s="47"/>
      <c r="I7" s="50"/>
      <c r="J7" s="53"/>
      <c r="K7" s="50"/>
      <c r="L7" s="47"/>
      <c r="M7" s="51"/>
      <c r="N7" s="51"/>
      <c r="O7" s="50"/>
      <c r="P7" s="50"/>
      <c r="Q7" s="52"/>
      <c r="R7" s="50"/>
      <c r="S7" s="50"/>
      <c r="T7" s="50"/>
      <c r="U7" s="50"/>
      <c r="V7" s="50"/>
      <c r="W7" s="50"/>
      <c r="X7" s="50"/>
      <c r="Y7" s="50"/>
      <c r="Z7" s="54"/>
      <c r="AA7" s="50"/>
      <c r="AB7" s="51"/>
      <c r="AC7" s="52"/>
      <c r="AD7" s="55">
        <f>IF(OR(AA7="Not Approved",AA7="Cancelled"), AG6, AG6-Z7)</f>
        <v>0</v>
      </c>
      <c r="AF7" s="59" t="s">
        <v>75</v>
      </c>
      <c r="AG7" s="60"/>
    </row>
    <row r="8" spans="1:33" x14ac:dyDescent="0.2">
      <c r="A8" s="48"/>
      <c r="B8" s="48"/>
      <c r="C8" s="49"/>
      <c r="D8" s="50"/>
      <c r="E8" s="51"/>
      <c r="F8" s="52"/>
      <c r="G8" s="47"/>
      <c r="H8" s="47"/>
      <c r="I8" s="50"/>
      <c r="J8" s="53"/>
      <c r="K8" s="50"/>
      <c r="L8" s="47"/>
      <c r="M8" s="51"/>
      <c r="N8" s="51"/>
      <c r="O8" s="50"/>
      <c r="P8" s="50"/>
      <c r="Q8" s="52"/>
      <c r="R8" s="50"/>
      <c r="S8" s="50"/>
      <c r="T8" s="50"/>
      <c r="U8" s="50"/>
      <c r="V8" s="50"/>
      <c r="W8" s="50"/>
      <c r="X8" s="50"/>
      <c r="Y8" s="50"/>
      <c r="Z8" s="54"/>
      <c r="AA8" s="50"/>
      <c r="AB8" s="51"/>
      <c r="AC8" s="52"/>
      <c r="AD8" s="55">
        <f>IF(ISBLANK(Z8), ,(IF(OR(AA8="Not Approved",AA8="Cancelled"), AD7, AD7-Z8)))</f>
        <v>0</v>
      </c>
      <c r="AF8" s="59"/>
      <c r="AG8" s="60"/>
    </row>
    <row r="9" spans="1:33" x14ac:dyDescent="0.2">
      <c r="A9" s="48"/>
      <c r="B9" s="48"/>
      <c r="C9" s="49"/>
      <c r="D9" s="50"/>
      <c r="E9" s="51"/>
      <c r="F9" s="52"/>
      <c r="G9" s="47"/>
      <c r="H9" s="47"/>
      <c r="I9" s="50"/>
      <c r="J9" s="53"/>
      <c r="K9" s="50"/>
      <c r="L9" s="47"/>
      <c r="M9" s="51"/>
      <c r="N9" s="51"/>
      <c r="O9" s="50"/>
      <c r="P9" s="50"/>
      <c r="Q9" s="52"/>
      <c r="R9" s="50"/>
      <c r="S9" s="50"/>
      <c r="T9" s="50"/>
      <c r="U9" s="50"/>
      <c r="V9" s="50"/>
      <c r="W9" s="50"/>
      <c r="X9" s="50"/>
      <c r="Y9" s="50"/>
      <c r="Z9" s="54"/>
      <c r="AA9" s="50"/>
      <c r="AB9" s="51"/>
      <c r="AC9" s="52"/>
      <c r="AD9" s="55">
        <f t="shared" ref="AD9:AD61" si="0">IF(ISBLANK(Z9), ,(IF(OR(AA9="Not Approved",AA9="Cancelled"), AD8, AD8-Z9)))</f>
        <v>0</v>
      </c>
      <c r="AF9" s="21"/>
      <c r="AG9" s="20"/>
    </row>
    <row r="10" spans="1:33" x14ac:dyDescent="0.2">
      <c r="A10" s="48"/>
      <c r="B10" s="48"/>
      <c r="C10" s="49"/>
      <c r="D10" s="50"/>
      <c r="E10" s="51"/>
      <c r="F10" s="52"/>
      <c r="G10" s="47"/>
      <c r="H10" s="47"/>
      <c r="I10" s="50"/>
      <c r="J10" s="53"/>
      <c r="K10" s="50"/>
      <c r="L10" s="47"/>
      <c r="M10" s="51"/>
      <c r="N10" s="51"/>
      <c r="O10" s="50"/>
      <c r="P10" s="50"/>
      <c r="Q10" s="52"/>
      <c r="R10" s="50"/>
      <c r="S10" s="50"/>
      <c r="T10" s="50"/>
      <c r="U10" s="50"/>
      <c r="V10" s="50"/>
      <c r="W10" s="50"/>
      <c r="X10" s="50"/>
      <c r="Y10" s="50"/>
      <c r="Z10" s="54"/>
      <c r="AA10" s="50"/>
      <c r="AB10" s="51"/>
      <c r="AC10" s="52"/>
      <c r="AD10" s="55">
        <f t="shared" si="0"/>
        <v>0</v>
      </c>
      <c r="AF10" s="21"/>
      <c r="AG10" s="20"/>
    </row>
    <row r="11" spans="1:33" x14ac:dyDescent="0.2">
      <c r="A11" s="48"/>
      <c r="B11" s="48"/>
      <c r="C11" s="49"/>
      <c r="D11" s="50"/>
      <c r="E11" s="51"/>
      <c r="F11" s="52"/>
      <c r="G11" s="47"/>
      <c r="H11" s="47"/>
      <c r="I11" s="50"/>
      <c r="J11" s="53"/>
      <c r="K11" s="50"/>
      <c r="L11" s="47"/>
      <c r="M11" s="51"/>
      <c r="N11" s="51"/>
      <c r="O11" s="50"/>
      <c r="P11" s="50"/>
      <c r="Q11" s="52"/>
      <c r="R11" s="50"/>
      <c r="S11" s="50"/>
      <c r="T11" s="50"/>
      <c r="U11" s="50"/>
      <c r="V11" s="50"/>
      <c r="W11" s="50"/>
      <c r="X11" s="50"/>
      <c r="Y11" s="50"/>
      <c r="Z11" s="54"/>
      <c r="AA11" s="50"/>
      <c r="AB11" s="51"/>
      <c r="AC11" s="52"/>
      <c r="AD11" s="55">
        <f t="shared" si="0"/>
        <v>0</v>
      </c>
      <c r="AF11" s="21"/>
      <c r="AG11" s="20"/>
    </row>
    <row r="12" spans="1:33" x14ac:dyDescent="0.2">
      <c r="A12" s="48"/>
      <c r="B12" s="48"/>
      <c r="C12" s="49"/>
      <c r="D12" s="50"/>
      <c r="E12" s="51"/>
      <c r="F12" s="52"/>
      <c r="G12" s="47"/>
      <c r="H12" s="47"/>
      <c r="I12" s="50"/>
      <c r="J12" s="53"/>
      <c r="K12" s="50"/>
      <c r="L12" s="47"/>
      <c r="M12" s="51"/>
      <c r="N12" s="51"/>
      <c r="O12" s="50"/>
      <c r="P12" s="50"/>
      <c r="Q12" s="52"/>
      <c r="R12" s="50"/>
      <c r="S12" s="50"/>
      <c r="T12" s="50"/>
      <c r="U12" s="50"/>
      <c r="V12" s="50"/>
      <c r="W12" s="50"/>
      <c r="X12" s="50"/>
      <c r="Y12" s="50"/>
      <c r="Z12" s="54"/>
      <c r="AA12" s="50"/>
      <c r="AB12" s="51"/>
      <c r="AC12" s="52"/>
      <c r="AD12" s="55">
        <f t="shared" si="0"/>
        <v>0</v>
      </c>
      <c r="AF12" s="21"/>
      <c r="AG12" s="20"/>
    </row>
    <row r="13" spans="1:33" x14ac:dyDescent="0.2">
      <c r="A13" s="48"/>
      <c r="B13" s="48"/>
      <c r="C13" s="49"/>
      <c r="D13" s="50"/>
      <c r="E13" s="51"/>
      <c r="F13" s="52"/>
      <c r="G13" s="47"/>
      <c r="H13" s="47"/>
      <c r="I13" s="50"/>
      <c r="J13" s="53"/>
      <c r="K13" s="50"/>
      <c r="L13" s="47"/>
      <c r="M13" s="51"/>
      <c r="N13" s="51"/>
      <c r="O13" s="50"/>
      <c r="P13" s="50"/>
      <c r="Q13" s="52"/>
      <c r="R13" s="50"/>
      <c r="S13" s="50"/>
      <c r="T13" s="50"/>
      <c r="U13" s="50"/>
      <c r="V13" s="50"/>
      <c r="W13" s="50"/>
      <c r="X13" s="50"/>
      <c r="Y13" s="50"/>
      <c r="Z13" s="54"/>
      <c r="AA13" s="50"/>
      <c r="AB13" s="51"/>
      <c r="AC13" s="52"/>
      <c r="AD13" s="55">
        <f t="shared" si="0"/>
        <v>0</v>
      </c>
      <c r="AF13" s="21"/>
      <c r="AG13" s="20"/>
    </row>
    <row r="14" spans="1:33" x14ac:dyDescent="0.2">
      <c r="A14" s="48"/>
      <c r="B14" s="48"/>
      <c r="C14" s="49"/>
      <c r="D14" s="50"/>
      <c r="E14" s="51"/>
      <c r="F14" s="52"/>
      <c r="G14" s="47"/>
      <c r="H14" s="47"/>
      <c r="I14" s="50"/>
      <c r="J14" s="53"/>
      <c r="K14" s="50"/>
      <c r="L14" s="47"/>
      <c r="M14" s="51"/>
      <c r="N14" s="51"/>
      <c r="O14" s="50"/>
      <c r="P14" s="50"/>
      <c r="Q14" s="52"/>
      <c r="R14" s="50"/>
      <c r="S14" s="50"/>
      <c r="T14" s="50"/>
      <c r="U14" s="50"/>
      <c r="V14" s="50"/>
      <c r="W14" s="50"/>
      <c r="X14" s="50"/>
      <c r="Y14" s="50"/>
      <c r="Z14" s="54"/>
      <c r="AA14" s="50"/>
      <c r="AB14" s="51"/>
      <c r="AC14" s="52"/>
      <c r="AD14" s="55">
        <f t="shared" si="0"/>
        <v>0</v>
      </c>
    </row>
    <row r="15" spans="1:33" x14ac:dyDescent="0.2">
      <c r="A15" s="48"/>
      <c r="B15" s="48"/>
      <c r="C15" s="49"/>
      <c r="D15" s="50"/>
      <c r="E15" s="51"/>
      <c r="F15" s="52"/>
      <c r="G15" s="47"/>
      <c r="H15" s="47"/>
      <c r="I15" s="50"/>
      <c r="J15" s="53"/>
      <c r="K15" s="50"/>
      <c r="L15" s="47"/>
      <c r="M15" s="51"/>
      <c r="N15" s="51"/>
      <c r="O15" s="50"/>
      <c r="P15" s="50"/>
      <c r="Q15" s="52"/>
      <c r="R15" s="50"/>
      <c r="S15" s="50"/>
      <c r="T15" s="50"/>
      <c r="U15" s="50"/>
      <c r="V15" s="50"/>
      <c r="W15" s="50"/>
      <c r="X15" s="50"/>
      <c r="Y15" s="50"/>
      <c r="Z15" s="54"/>
      <c r="AA15" s="50"/>
      <c r="AB15" s="51"/>
      <c r="AC15" s="52"/>
      <c r="AD15" s="55">
        <f t="shared" si="0"/>
        <v>0</v>
      </c>
    </row>
    <row r="16" spans="1:33" x14ac:dyDescent="0.2">
      <c r="A16" s="48"/>
      <c r="B16" s="48"/>
      <c r="C16" s="49"/>
      <c r="D16" s="50"/>
      <c r="E16" s="51"/>
      <c r="F16" s="52"/>
      <c r="G16" s="47"/>
      <c r="H16" s="47"/>
      <c r="I16" s="50"/>
      <c r="J16" s="53"/>
      <c r="K16" s="50"/>
      <c r="L16" s="47"/>
      <c r="M16" s="51"/>
      <c r="N16" s="51"/>
      <c r="O16" s="50"/>
      <c r="P16" s="50"/>
      <c r="Q16" s="52"/>
      <c r="R16" s="50"/>
      <c r="S16" s="50"/>
      <c r="T16" s="50"/>
      <c r="U16" s="50"/>
      <c r="V16" s="50"/>
      <c r="W16" s="50"/>
      <c r="X16" s="50"/>
      <c r="Y16" s="50"/>
      <c r="Z16" s="54"/>
      <c r="AA16" s="50"/>
      <c r="AB16" s="51"/>
      <c r="AC16" s="52"/>
      <c r="AD16" s="55">
        <f t="shared" si="0"/>
        <v>0</v>
      </c>
    </row>
    <row r="17" spans="1:30" x14ac:dyDescent="0.2">
      <c r="A17" s="48"/>
      <c r="B17" s="48"/>
      <c r="C17" s="49"/>
      <c r="D17" s="50"/>
      <c r="E17" s="51"/>
      <c r="F17" s="52"/>
      <c r="G17" s="47"/>
      <c r="H17" s="47"/>
      <c r="I17" s="50"/>
      <c r="J17" s="53"/>
      <c r="K17" s="50"/>
      <c r="L17" s="47"/>
      <c r="M17" s="51"/>
      <c r="N17" s="51"/>
      <c r="O17" s="50"/>
      <c r="P17" s="50"/>
      <c r="Q17" s="52"/>
      <c r="R17" s="50"/>
      <c r="S17" s="50"/>
      <c r="T17" s="50"/>
      <c r="U17" s="50"/>
      <c r="V17" s="50"/>
      <c r="W17" s="50"/>
      <c r="X17" s="50"/>
      <c r="Y17" s="50"/>
      <c r="Z17" s="54"/>
      <c r="AA17" s="50"/>
      <c r="AB17" s="51"/>
      <c r="AC17" s="52"/>
      <c r="AD17" s="55">
        <f t="shared" si="0"/>
        <v>0</v>
      </c>
    </row>
    <row r="18" spans="1:30" x14ac:dyDescent="0.2">
      <c r="A18" s="48"/>
      <c r="B18" s="48"/>
      <c r="C18" s="49"/>
      <c r="D18" s="50"/>
      <c r="E18" s="51"/>
      <c r="F18" s="52"/>
      <c r="G18" s="47"/>
      <c r="H18" s="47"/>
      <c r="I18" s="50"/>
      <c r="J18" s="53"/>
      <c r="K18" s="50"/>
      <c r="L18" s="47"/>
      <c r="M18" s="51"/>
      <c r="N18" s="51"/>
      <c r="O18" s="50"/>
      <c r="P18" s="50"/>
      <c r="Q18" s="52"/>
      <c r="R18" s="50"/>
      <c r="S18" s="50"/>
      <c r="T18" s="50"/>
      <c r="U18" s="50"/>
      <c r="V18" s="50"/>
      <c r="W18" s="50"/>
      <c r="X18" s="50"/>
      <c r="Y18" s="50"/>
      <c r="Z18" s="54"/>
      <c r="AA18" s="50"/>
      <c r="AB18" s="51"/>
      <c r="AC18" s="52"/>
      <c r="AD18" s="55">
        <f t="shared" si="0"/>
        <v>0</v>
      </c>
    </row>
    <row r="19" spans="1:30" x14ac:dyDescent="0.2">
      <c r="A19" s="48"/>
      <c r="B19" s="48"/>
      <c r="C19" s="49"/>
      <c r="D19" s="50"/>
      <c r="E19" s="51"/>
      <c r="F19" s="52"/>
      <c r="G19" s="47"/>
      <c r="H19" s="47"/>
      <c r="I19" s="50"/>
      <c r="J19" s="53"/>
      <c r="K19" s="50"/>
      <c r="L19" s="47"/>
      <c r="M19" s="51"/>
      <c r="N19" s="51"/>
      <c r="O19" s="50"/>
      <c r="P19" s="50"/>
      <c r="Q19" s="52"/>
      <c r="R19" s="50"/>
      <c r="S19" s="50"/>
      <c r="T19" s="50"/>
      <c r="U19" s="50"/>
      <c r="V19" s="50"/>
      <c r="W19" s="50"/>
      <c r="X19" s="50"/>
      <c r="Y19" s="50"/>
      <c r="Z19" s="54"/>
      <c r="AA19" s="50"/>
      <c r="AB19" s="51"/>
      <c r="AC19" s="52"/>
      <c r="AD19" s="55">
        <f t="shared" si="0"/>
        <v>0</v>
      </c>
    </row>
    <row r="20" spans="1:30" x14ac:dyDescent="0.2">
      <c r="A20" s="48"/>
      <c r="B20" s="48"/>
      <c r="C20" s="49"/>
      <c r="D20" s="50"/>
      <c r="E20" s="51"/>
      <c r="F20" s="52"/>
      <c r="G20" s="47"/>
      <c r="H20" s="47"/>
      <c r="I20" s="50"/>
      <c r="J20" s="53"/>
      <c r="K20" s="50"/>
      <c r="L20" s="47"/>
      <c r="M20" s="51"/>
      <c r="N20" s="51"/>
      <c r="O20" s="50"/>
      <c r="P20" s="50"/>
      <c r="Q20" s="52"/>
      <c r="R20" s="50"/>
      <c r="S20" s="50"/>
      <c r="T20" s="50"/>
      <c r="U20" s="50"/>
      <c r="V20" s="50"/>
      <c r="W20" s="50"/>
      <c r="X20" s="50"/>
      <c r="Y20" s="50"/>
      <c r="Z20" s="54"/>
      <c r="AA20" s="50"/>
      <c r="AB20" s="51"/>
      <c r="AC20" s="52"/>
      <c r="AD20" s="55">
        <f t="shared" si="0"/>
        <v>0</v>
      </c>
    </row>
    <row r="21" spans="1:30" x14ac:dyDescent="0.2">
      <c r="A21" s="48"/>
      <c r="B21" s="48"/>
      <c r="C21" s="49"/>
      <c r="D21" s="50"/>
      <c r="E21" s="51"/>
      <c r="F21" s="52"/>
      <c r="G21" s="47"/>
      <c r="H21" s="47"/>
      <c r="I21" s="50"/>
      <c r="J21" s="53"/>
      <c r="K21" s="50"/>
      <c r="L21" s="47"/>
      <c r="M21" s="51"/>
      <c r="N21" s="51"/>
      <c r="O21" s="50"/>
      <c r="P21" s="50"/>
      <c r="Q21" s="52"/>
      <c r="R21" s="50"/>
      <c r="S21" s="50"/>
      <c r="T21" s="50"/>
      <c r="U21" s="50"/>
      <c r="V21" s="50"/>
      <c r="W21" s="50"/>
      <c r="X21" s="50"/>
      <c r="Y21" s="50"/>
      <c r="Z21" s="54"/>
      <c r="AA21" s="50"/>
      <c r="AB21" s="51"/>
      <c r="AC21" s="52"/>
      <c r="AD21" s="55">
        <f t="shared" si="0"/>
        <v>0</v>
      </c>
    </row>
    <row r="22" spans="1:30" x14ac:dyDescent="0.2">
      <c r="A22" s="48"/>
      <c r="B22" s="48"/>
      <c r="C22" s="49"/>
      <c r="D22" s="50"/>
      <c r="E22" s="51"/>
      <c r="F22" s="52"/>
      <c r="G22" s="47"/>
      <c r="H22" s="47"/>
      <c r="I22" s="50"/>
      <c r="J22" s="53"/>
      <c r="K22" s="50"/>
      <c r="L22" s="47"/>
      <c r="M22" s="51"/>
      <c r="N22" s="51"/>
      <c r="O22" s="50"/>
      <c r="P22" s="50"/>
      <c r="Q22" s="52"/>
      <c r="R22" s="50"/>
      <c r="S22" s="50"/>
      <c r="T22" s="50"/>
      <c r="U22" s="50"/>
      <c r="V22" s="50"/>
      <c r="W22" s="50"/>
      <c r="X22" s="50"/>
      <c r="Y22" s="50"/>
      <c r="Z22" s="54"/>
      <c r="AA22" s="50"/>
      <c r="AB22" s="51"/>
      <c r="AC22" s="52"/>
      <c r="AD22" s="55">
        <f t="shared" si="0"/>
        <v>0</v>
      </c>
    </row>
    <row r="23" spans="1:30" x14ac:dyDescent="0.2">
      <c r="A23" s="48"/>
      <c r="B23" s="48"/>
      <c r="C23" s="49"/>
      <c r="D23" s="50"/>
      <c r="E23" s="51"/>
      <c r="F23" s="52"/>
      <c r="G23" s="47"/>
      <c r="H23" s="47"/>
      <c r="I23" s="50"/>
      <c r="J23" s="53"/>
      <c r="K23" s="50"/>
      <c r="L23" s="47"/>
      <c r="M23" s="51"/>
      <c r="N23" s="51"/>
      <c r="O23" s="50"/>
      <c r="P23" s="50"/>
      <c r="Q23" s="52"/>
      <c r="R23" s="50"/>
      <c r="S23" s="50"/>
      <c r="T23" s="50"/>
      <c r="U23" s="50"/>
      <c r="V23" s="50"/>
      <c r="W23" s="50"/>
      <c r="X23" s="50"/>
      <c r="Y23" s="50"/>
      <c r="Z23" s="54"/>
      <c r="AA23" s="50"/>
      <c r="AB23" s="51"/>
      <c r="AC23" s="52"/>
      <c r="AD23" s="55">
        <f t="shared" si="0"/>
        <v>0</v>
      </c>
    </row>
    <row r="24" spans="1:30" x14ac:dyDescent="0.2">
      <c r="A24" s="48"/>
      <c r="B24" s="48"/>
      <c r="C24" s="49"/>
      <c r="D24" s="50"/>
      <c r="E24" s="51"/>
      <c r="F24" s="52"/>
      <c r="G24" s="47"/>
      <c r="H24" s="47"/>
      <c r="I24" s="50"/>
      <c r="J24" s="53"/>
      <c r="K24" s="50"/>
      <c r="L24" s="47"/>
      <c r="M24" s="51"/>
      <c r="N24" s="51"/>
      <c r="O24" s="50"/>
      <c r="P24" s="50"/>
      <c r="Q24" s="52"/>
      <c r="R24" s="50"/>
      <c r="S24" s="50"/>
      <c r="T24" s="50"/>
      <c r="U24" s="50"/>
      <c r="V24" s="50"/>
      <c r="W24" s="50"/>
      <c r="X24" s="50"/>
      <c r="Y24" s="50"/>
      <c r="Z24" s="54"/>
      <c r="AA24" s="50"/>
      <c r="AB24" s="51"/>
      <c r="AC24" s="52"/>
      <c r="AD24" s="55">
        <f t="shared" si="0"/>
        <v>0</v>
      </c>
    </row>
    <row r="25" spans="1:30" x14ac:dyDescent="0.2">
      <c r="A25" s="48"/>
      <c r="B25" s="48"/>
      <c r="C25" s="49"/>
      <c r="D25" s="50"/>
      <c r="E25" s="51"/>
      <c r="F25" s="52"/>
      <c r="G25" s="47"/>
      <c r="H25" s="47"/>
      <c r="I25" s="50"/>
      <c r="J25" s="53"/>
      <c r="K25" s="50"/>
      <c r="L25" s="47"/>
      <c r="M25" s="51"/>
      <c r="N25" s="51"/>
      <c r="O25" s="50"/>
      <c r="P25" s="50"/>
      <c r="Q25" s="52"/>
      <c r="R25" s="50"/>
      <c r="S25" s="50"/>
      <c r="T25" s="50"/>
      <c r="U25" s="50"/>
      <c r="V25" s="50"/>
      <c r="W25" s="50"/>
      <c r="X25" s="50"/>
      <c r="Y25" s="50"/>
      <c r="Z25" s="54"/>
      <c r="AA25" s="50"/>
      <c r="AB25" s="51"/>
      <c r="AC25" s="52"/>
      <c r="AD25" s="55">
        <f t="shared" si="0"/>
        <v>0</v>
      </c>
    </row>
    <row r="26" spans="1:30" x14ac:dyDescent="0.2">
      <c r="A26" s="48"/>
      <c r="B26" s="48"/>
      <c r="C26" s="49"/>
      <c r="D26" s="50"/>
      <c r="E26" s="51"/>
      <c r="F26" s="52"/>
      <c r="G26" s="47"/>
      <c r="H26" s="47"/>
      <c r="I26" s="50"/>
      <c r="J26" s="53"/>
      <c r="K26" s="50"/>
      <c r="L26" s="47"/>
      <c r="M26" s="51"/>
      <c r="N26" s="51"/>
      <c r="O26" s="50"/>
      <c r="P26" s="50"/>
      <c r="Q26" s="52"/>
      <c r="R26" s="50"/>
      <c r="S26" s="50"/>
      <c r="T26" s="50"/>
      <c r="U26" s="50"/>
      <c r="V26" s="50"/>
      <c r="W26" s="50"/>
      <c r="X26" s="50"/>
      <c r="Y26" s="50"/>
      <c r="Z26" s="54"/>
      <c r="AA26" s="50"/>
      <c r="AB26" s="51"/>
      <c r="AC26" s="52"/>
      <c r="AD26" s="55">
        <f t="shared" si="0"/>
        <v>0</v>
      </c>
    </row>
    <row r="27" spans="1:30" x14ac:dyDescent="0.2">
      <c r="A27" s="48"/>
      <c r="B27" s="48"/>
      <c r="C27" s="49"/>
      <c r="D27" s="50"/>
      <c r="E27" s="51"/>
      <c r="F27" s="52"/>
      <c r="G27" s="47"/>
      <c r="H27" s="47"/>
      <c r="I27" s="50"/>
      <c r="J27" s="53"/>
      <c r="K27" s="50"/>
      <c r="L27" s="47"/>
      <c r="M27" s="51"/>
      <c r="N27" s="51"/>
      <c r="O27" s="50"/>
      <c r="P27" s="50"/>
      <c r="Q27" s="52"/>
      <c r="R27" s="50"/>
      <c r="S27" s="50"/>
      <c r="T27" s="50"/>
      <c r="U27" s="50"/>
      <c r="V27" s="50"/>
      <c r="W27" s="50"/>
      <c r="X27" s="50"/>
      <c r="Y27" s="50"/>
      <c r="Z27" s="54"/>
      <c r="AA27" s="50"/>
      <c r="AB27" s="51"/>
      <c r="AC27" s="52"/>
      <c r="AD27" s="55">
        <f t="shared" si="0"/>
        <v>0</v>
      </c>
    </row>
    <row r="28" spans="1:30" x14ac:dyDescent="0.2">
      <c r="A28" s="48"/>
      <c r="B28" s="48"/>
      <c r="C28" s="49"/>
      <c r="D28" s="50"/>
      <c r="E28" s="51"/>
      <c r="F28" s="52"/>
      <c r="G28" s="47"/>
      <c r="H28" s="47"/>
      <c r="I28" s="50"/>
      <c r="J28" s="53"/>
      <c r="K28" s="50"/>
      <c r="L28" s="47"/>
      <c r="M28" s="51"/>
      <c r="N28" s="51"/>
      <c r="O28" s="50"/>
      <c r="P28" s="50"/>
      <c r="Q28" s="52"/>
      <c r="R28" s="50"/>
      <c r="S28" s="50"/>
      <c r="T28" s="50"/>
      <c r="U28" s="50"/>
      <c r="V28" s="50"/>
      <c r="W28" s="50"/>
      <c r="X28" s="50"/>
      <c r="Y28" s="50"/>
      <c r="Z28" s="54"/>
      <c r="AA28" s="50"/>
      <c r="AB28" s="51"/>
      <c r="AC28" s="52"/>
      <c r="AD28" s="55">
        <f t="shared" si="0"/>
        <v>0</v>
      </c>
    </row>
    <row r="29" spans="1:30" x14ac:dyDescent="0.2">
      <c r="A29" s="48"/>
      <c r="B29" s="48"/>
      <c r="C29" s="49"/>
      <c r="D29" s="50"/>
      <c r="E29" s="51"/>
      <c r="F29" s="52"/>
      <c r="G29" s="47"/>
      <c r="H29" s="47"/>
      <c r="I29" s="50"/>
      <c r="J29" s="53"/>
      <c r="K29" s="50"/>
      <c r="L29" s="47"/>
      <c r="M29" s="51"/>
      <c r="N29" s="51"/>
      <c r="O29" s="50"/>
      <c r="P29" s="50"/>
      <c r="Q29" s="52"/>
      <c r="R29" s="50"/>
      <c r="S29" s="50"/>
      <c r="T29" s="50"/>
      <c r="U29" s="50"/>
      <c r="V29" s="50"/>
      <c r="W29" s="50"/>
      <c r="X29" s="50"/>
      <c r="Y29" s="50"/>
      <c r="Z29" s="54"/>
      <c r="AA29" s="50"/>
      <c r="AB29" s="51"/>
      <c r="AC29" s="52"/>
      <c r="AD29" s="55">
        <f t="shared" si="0"/>
        <v>0</v>
      </c>
    </row>
    <row r="30" spans="1:30" x14ac:dyDescent="0.2">
      <c r="A30" s="48"/>
      <c r="B30" s="48"/>
      <c r="C30" s="49"/>
      <c r="D30" s="50"/>
      <c r="E30" s="51"/>
      <c r="F30" s="52"/>
      <c r="G30" s="47"/>
      <c r="H30" s="47"/>
      <c r="I30" s="50"/>
      <c r="J30" s="53"/>
      <c r="K30" s="50"/>
      <c r="L30" s="47"/>
      <c r="M30" s="51"/>
      <c r="N30" s="51"/>
      <c r="O30" s="50"/>
      <c r="P30" s="50"/>
      <c r="Q30" s="52"/>
      <c r="R30" s="50"/>
      <c r="S30" s="50"/>
      <c r="T30" s="50"/>
      <c r="U30" s="50"/>
      <c r="V30" s="50"/>
      <c r="W30" s="50"/>
      <c r="X30" s="50"/>
      <c r="Y30" s="50"/>
      <c r="Z30" s="54"/>
      <c r="AA30" s="50"/>
      <c r="AB30" s="51"/>
      <c r="AC30" s="52"/>
      <c r="AD30" s="55">
        <f t="shared" si="0"/>
        <v>0</v>
      </c>
    </row>
    <row r="31" spans="1:30" x14ac:dyDescent="0.2">
      <c r="A31" s="48"/>
      <c r="B31" s="48"/>
      <c r="C31" s="49"/>
      <c r="D31" s="50"/>
      <c r="E31" s="51"/>
      <c r="F31" s="52"/>
      <c r="G31" s="47"/>
      <c r="H31" s="47"/>
      <c r="I31" s="50"/>
      <c r="J31" s="53"/>
      <c r="K31" s="50"/>
      <c r="L31" s="47"/>
      <c r="M31" s="51"/>
      <c r="N31" s="51"/>
      <c r="O31" s="50"/>
      <c r="P31" s="50"/>
      <c r="Q31" s="52"/>
      <c r="R31" s="50"/>
      <c r="S31" s="50"/>
      <c r="T31" s="50"/>
      <c r="U31" s="50"/>
      <c r="V31" s="50"/>
      <c r="W31" s="50"/>
      <c r="X31" s="50"/>
      <c r="Y31" s="50"/>
      <c r="Z31" s="54"/>
      <c r="AA31" s="50"/>
      <c r="AB31" s="51"/>
      <c r="AC31" s="52"/>
      <c r="AD31" s="55">
        <f t="shared" si="0"/>
        <v>0</v>
      </c>
    </row>
    <row r="32" spans="1:30" x14ac:dyDescent="0.2">
      <c r="A32" s="48"/>
      <c r="B32" s="48"/>
      <c r="C32" s="49"/>
      <c r="D32" s="50"/>
      <c r="E32" s="51"/>
      <c r="F32" s="52"/>
      <c r="G32" s="47"/>
      <c r="H32" s="47"/>
      <c r="I32" s="50"/>
      <c r="J32" s="53"/>
      <c r="K32" s="50"/>
      <c r="L32" s="47"/>
      <c r="M32" s="51"/>
      <c r="N32" s="51"/>
      <c r="O32" s="50"/>
      <c r="P32" s="50"/>
      <c r="Q32" s="52"/>
      <c r="R32" s="50"/>
      <c r="S32" s="50"/>
      <c r="T32" s="50"/>
      <c r="U32" s="50"/>
      <c r="V32" s="50"/>
      <c r="W32" s="50"/>
      <c r="X32" s="50"/>
      <c r="Y32" s="50"/>
      <c r="Z32" s="54"/>
      <c r="AA32" s="50"/>
      <c r="AB32" s="51"/>
      <c r="AC32" s="52"/>
      <c r="AD32" s="55">
        <f t="shared" si="0"/>
        <v>0</v>
      </c>
    </row>
    <row r="33" spans="1:30" x14ac:dyDescent="0.2">
      <c r="A33" s="48"/>
      <c r="B33" s="48"/>
      <c r="C33" s="49"/>
      <c r="D33" s="50"/>
      <c r="E33" s="51"/>
      <c r="F33" s="52"/>
      <c r="G33" s="47"/>
      <c r="H33" s="47"/>
      <c r="I33" s="50"/>
      <c r="J33" s="53"/>
      <c r="K33" s="50"/>
      <c r="L33" s="47"/>
      <c r="M33" s="51"/>
      <c r="N33" s="51"/>
      <c r="O33" s="50"/>
      <c r="P33" s="50"/>
      <c r="Q33" s="52"/>
      <c r="R33" s="50"/>
      <c r="S33" s="50"/>
      <c r="T33" s="50"/>
      <c r="U33" s="50"/>
      <c r="V33" s="50"/>
      <c r="W33" s="50"/>
      <c r="X33" s="50"/>
      <c r="Y33" s="50"/>
      <c r="Z33" s="54"/>
      <c r="AA33" s="50"/>
      <c r="AB33" s="51"/>
      <c r="AC33" s="52"/>
      <c r="AD33" s="55">
        <f t="shared" si="0"/>
        <v>0</v>
      </c>
    </row>
    <row r="34" spans="1:30" x14ac:dyDescent="0.2">
      <c r="A34" s="48"/>
      <c r="B34" s="48"/>
      <c r="C34" s="49"/>
      <c r="D34" s="50"/>
      <c r="E34" s="51"/>
      <c r="F34" s="52"/>
      <c r="G34" s="47"/>
      <c r="H34" s="47"/>
      <c r="I34" s="50"/>
      <c r="J34" s="53"/>
      <c r="K34" s="50"/>
      <c r="L34" s="47"/>
      <c r="M34" s="51"/>
      <c r="N34" s="51"/>
      <c r="O34" s="50"/>
      <c r="P34" s="50"/>
      <c r="Q34" s="52"/>
      <c r="R34" s="50"/>
      <c r="S34" s="50"/>
      <c r="T34" s="50"/>
      <c r="U34" s="50"/>
      <c r="V34" s="50"/>
      <c r="W34" s="50"/>
      <c r="X34" s="50"/>
      <c r="Y34" s="50"/>
      <c r="Z34" s="54"/>
      <c r="AA34" s="50"/>
      <c r="AB34" s="51"/>
      <c r="AC34" s="52"/>
      <c r="AD34" s="55">
        <f t="shared" si="0"/>
        <v>0</v>
      </c>
    </row>
    <row r="35" spans="1:30" x14ac:dyDescent="0.2">
      <c r="A35" s="48"/>
      <c r="B35" s="48"/>
      <c r="C35" s="49"/>
      <c r="D35" s="50"/>
      <c r="E35" s="51"/>
      <c r="F35" s="52"/>
      <c r="G35" s="47"/>
      <c r="H35" s="47"/>
      <c r="I35" s="50"/>
      <c r="J35" s="53"/>
      <c r="K35" s="50"/>
      <c r="L35" s="47"/>
      <c r="M35" s="51"/>
      <c r="N35" s="51"/>
      <c r="O35" s="50"/>
      <c r="P35" s="50"/>
      <c r="Q35" s="52"/>
      <c r="R35" s="50"/>
      <c r="S35" s="50"/>
      <c r="T35" s="50"/>
      <c r="U35" s="50"/>
      <c r="V35" s="50"/>
      <c r="W35" s="50"/>
      <c r="X35" s="50"/>
      <c r="Y35" s="50"/>
      <c r="Z35" s="54"/>
      <c r="AA35" s="50"/>
      <c r="AB35" s="51"/>
      <c r="AC35" s="52"/>
      <c r="AD35" s="55">
        <f t="shared" si="0"/>
        <v>0</v>
      </c>
    </row>
    <row r="36" spans="1:30" x14ac:dyDescent="0.2">
      <c r="A36" s="48"/>
      <c r="B36" s="48"/>
      <c r="C36" s="49"/>
      <c r="D36" s="50"/>
      <c r="E36" s="51"/>
      <c r="F36" s="52"/>
      <c r="G36" s="47"/>
      <c r="H36" s="47"/>
      <c r="I36" s="50"/>
      <c r="J36" s="53"/>
      <c r="K36" s="50"/>
      <c r="L36" s="47"/>
      <c r="M36" s="51"/>
      <c r="N36" s="51"/>
      <c r="O36" s="50"/>
      <c r="P36" s="50"/>
      <c r="Q36" s="52"/>
      <c r="R36" s="50"/>
      <c r="S36" s="50"/>
      <c r="T36" s="50"/>
      <c r="U36" s="50"/>
      <c r="V36" s="50"/>
      <c r="W36" s="50"/>
      <c r="X36" s="50"/>
      <c r="Y36" s="50"/>
      <c r="Z36" s="54"/>
      <c r="AA36" s="50"/>
      <c r="AB36" s="51"/>
      <c r="AC36" s="52"/>
      <c r="AD36" s="55">
        <f t="shared" si="0"/>
        <v>0</v>
      </c>
    </row>
    <row r="37" spans="1:30" x14ac:dyDescent="0.2">
      <c r="A37" s="48"/>
      <c r="B37" s="48"/>
      <c r="C37" s="49"/>
      <c r="D37" s="50"/>
      <c r="E37" s="51"/>
      <c r="F37" s="52"/>
      <c r="G37" s="47"/>
      <c r="H37" s="47"/>
      <c r="I37" s="50"/>
      <c r="J37" s="53"/>
      <c r="K37" s="50"/>
      <c r="L37" s="47"/>
      <c r="M37" s="51"/>
      <c r="N37" s="51"/>
      <c r="O37" s="50"/>
      <c r="P37" s="50"/>
      <c r="Q37" s="52"/>
      <c r="R37" s="50"/>
      <c r="S37" s="50"/>
      <c r="T37" s="50"/>
      <c r="U37" s="50"/>
      <c r="V37" s="50"/>
      <c r="W37" s="50"/>
      <c r="X37" s="50"/>
      <c r="Y37" s="50"/>
      <c r="Z37" s="54"/>
      <c r="AA37" s="50"/>
      <c r="AB37" s="51"/>
      <c r="AC37" s="52"/>
      <c r="AD37" s="55">
        <f t="shared" si="0"/>
        <v>0</v>
      </c>
    </row>
    <row r="38" spans="1:30" x14ac:dyDescent="0.2">
      <c r="A38" s="48"/>
      <c r="B38" s="48"/>
      <c r="C38" s="49"/>
      <c r="D38" s="50"/>
      <c r="E38" s="51"/>
      <c r="F38" s="52"/>
      <c r="G38" s="47"/>
      <c r="H38" s="47"/>
      <c r="I38" s="50"/>
      <c r="J38" s="53"/>
      <c r="K38" s="50"/>
      <c r="L38" s="47"/>
      <c r="M38" s="51"/>
      <c r="N38" s="51"/>
      <c r="O38" s="50"/>
      <c r="P38" s="50"/>
      <c r="Q38" s="52"/>
      <c r="R38" s="50"/>
      <c r="S38" s="50"/>
      <c r="T38" s="50"/>
      <c r="U38" s="50"/>
      <c r="V38" s="50"/>
      <c r="W38" s="50"/>
      <c r="X38" s="50"/>
      <c r="Y38" s="50"/>
      <c r="Z38" s="54"/>
      <c r="AA38" s="50"/>
      <c r="AB38" s="51"/>
      <c r="AC38" s="52"/>
      <c r="AD38" s="55">
        <f t="shared" si="0"/>
        <v>0</v>
      </c>
    </row>
    <row r="39" spans="1:30" x14ac:dyDescent="0.2">
      <c r="A39" s="48"/>
      <c r="B39" s="48"/>
      <c r="C39" s="49"/>
      <c r="D39" s="50"/>
      <c r="E39" s="51"/>
      <c r="F39" s="52"/>
      <c r="G39" s="47"/>
      <c r="H39" s="47"/>
      <c r="I39" s="50"/>
      <c r="J39" s="53"/>
      <c r="K39" s="50"/>
      <c r="L39" s="47"/>
      <c r="M39" s="51"/>
      <c r="N39" s="51"/>
      <c r="O39" s="50"/>
      <c r="P39" s="50"/>
      <c r="Q39" s="52"/>
      <c r="R39" s="50"/>
      <c r="S39" s="50"/>
      <c r="T39" s="50"/>
      <c r="U39" s="50"/>
      <c r="V39" s="50"/>
      <c r="W39" s="50"/>
      <c r="X39" s="50"/>
      <c r="Y39" s="50"/>
      <c r="Z39" s="54"/>
      <c r="AA39" s="50"/>
      <c r="AB39" s="51"/>
      <c r="AC39" s="52"/>
      <c r="AD39" s="55">
        <f t="shared" si="0"/>
        <v>0</v>
      </c>
    </row>
    <row r="40" spans="1:30" x14ac:dyDescent="0.2">
      <c r="A40" s="48"/>
      <c r="B40" s="48"/>
      <c r="C40" s="49"/>
      <c r="D40" s="50"/>
      <c r="E40" s="51"/>
      <c r="F40" s="52"/>
      <c r="G40" s="47"/>
      <c r="H40" s="47"/>
      <c r="I40" s="50"/>
      <c r="J40" s="53"/>
      <c r="K40" s="50"/>
      <c r="L40" s="47"/>
      <c r="M40" s="51"/>
      <c r="N40" s="51"/>
      <c r="O40" s="50"/>
      <c r="P40" s="50"/>
      <c r="Q40" s="52"/>
      <c r="R40" s="50"/>
      <c r="S40" s="50"/>
      <c r="T40" s="50"/>
      <c r="U40" s="50"/>
      <c r="V40" s="50"/>
      <c r="W40" s="50"/>
      <c r="X40" s="50"/>
      <c r="Y40" s="50"/>
      <c r="Z40" s="54"/>
      <c r="AA40" s="50"/>
      <c r="AB40" s="51"/>
      <c r="AC40" s="52"/>
      <c r="AD40" s="55">
        <f t="shared" si="0"/>
        <v>0</v>
      </c>
    </row>
    <row r="41" spans="1:30" x14ac:dyDescent="0.2">
      <c r="A41" s="48"/>
      <c r="B41" s="48"/>
      <c r="C41" s="49"/>
      <c r="D41" s="50"/>
      <c r="E41" s="51"/>
      <c r="F41" s="52"/>
      <c r="G41" s="47"/>
      <c r="H41" s="47"/>
      <c r="I41" s="50"/>
      <c r="J41" s="53"/>
      <c r="K41" s="50"/>
      <c r="L41" s="47"/>
      <c r="M41" s="51"/>
      <c r="N41" s="51"/>
      <c r="O41" s="50"/>
      <c r="P41" s="50"/>
      <c r="Q41" s="52"/>
      <c r="R41" s="50"/>
      <c r="S41" s="50"/>
      <c r="T41" s="50"/>
      <c r="U41" s="50"/>
      <c r="V41" s="50"/>
      <c r="W41" s="50"/>
      <c r="X41" s="50"/>
      <c r="Y41" s="50"/>
      <c r="Z41" s="54"/>
      <c r="AA41" s="50"/>
      <c r="AB41" s="51"/>
      <c r="AC41" s="52"/>
      <c r="AD41" s="55">
        <f t="shared" si="0"/>
        <v>0</v>
      </c>
    </row>
    <row r="42" spans="1:30" x14ac:dyDescent="0.2">
      <c r="A42" s="48"/>
      <c r="B42" s="48"/>
      <c r="C42" s="49"/>
      <c r="D42" s="50"/>
      <c r="E42" s="51"/>
      <c r="F42" s="52"/>
      <c r="G42" s="47"/>
      <c r="H42" s="47"/>
      <c r="I42" s="50"/>
      <c r="J42" s="53"/>
      <c r="K42" s="50"/>
      <c r="L42" s="47"/>
      <c r="M42" s="51"/>
      <c r="N42" s="51"/>
      <c r="O42" s="50"/>
      <c r="P42" s="50"/>
      <c r="Q42" s="52"/>
      <c r="R42" s="50"/>
      <c r="S42" s="50"/>
      <c r="T42" s="50"/>
      <c r="U42" s="50"/>
      <c r="V42" s="50"/>
      <c r="W42" s="50"/>
      <c r="X42" s="50"/>
      <c r="Y42" s="50"/>
      <c r="Z42" s="54"/>
      <c r="AA42" s="50"/>
      <c r="AB42" s="51"/>
      <c r="AC42" s="52"/>
      <c r="AD42" s="55">
        <f t="shared" si="0"/>
        <v>0</v>
      </c>
    </row>
    <row r="43" spans="1:30" x14ac:dyDescent="0.2">
      <c r="A43" s="48"/>
      <c r="B43" s="48"/>
      <c r="C43" s="49"/>
      <c r="D43" s="50"/>
      <c r="E43" s="51"/>
      <c r="F43" s="52"/>
      <c r="G43" s="47"/>
      <c r="H43" s="47"/>
      <c r="I43" s="50"/>
      <c r="J43" s="53"/>
      <c r="K43" s="50"/>
      <c r="L43" s="47"/>
      <c r="M43" s="51"/>
      <c r="N43" s="51"/>
      <c r="O43" s="50"/>
      <c r="P43" s="50"/>
      <c r="Q43" s="52"/>
      <c r="R43" s="50"/>
      <c r="S43" s="50"/>
      <c r="T43" s="50"/>
      <c r="U43" s="50"/>
      <c r="V43" s="50"/>
      <c r="W43" s="50"/>
      <c r="X43" s="50"/>
      <c r="Y43" s="50"/>
      <c r="Z43" s="54"/>
      <c r="AA43" s="50"/>
      <c r="AB43" s="51"/>
      <c r="AC43" s="52"/>
      <c r="AD43" s="55">
        <f t="shared" si="0"/>
        <v>0</v>
      </c>
    </row>
    <row r="44" spans="1:30" x14ac:dyDescent="0.2">
      <c r="A44" s="48"/>
      <c r="B44" s="48"/>
      <c r="C44" s="49"/>
      <c r="D44" s="50"/>
      <c r="E44" s="51"/>
      <c r="F44" s="52"/>
      <c r="G44" s="47"/>
      <c r="H44" s="47"/>
      <c r="I44" s="50"/>
      <c r="J44" s="53"/>
      <c r="K44" s="50"/>
      <c r="L44" s="47"/>
      <c r="M44" s="51"/>
      <c r="N44" s="51"/>
      <c r="O44" s="50"/>
      <c r="P44" s="50"/>
      <c r="Q44" s="52"/>
      <c r="R44" s="50"/>
      <c r="S44" s="50"/>
      <c r="T44" s="50"/>
      <c r="U44" s="50"/>
      <c r="V44" s="50"/>
      <c r="W44" s="50"/>
      <c r="X44" s="50"/>
      <c r="Y44" s="50"/>
      <c r="Z44" s="54"/>
      <c r="AA44" s="50"/>
      <c r="AB44" s="51"/>
      <c r="AC44" s="52"/>
      <c r="AD44" s="55">
        <f t="shared" si="0"/>
        <v>0</v>
      </c>
    </row>
    <row r="45" spans="1:30" x14ac:dyDescent="0.2">
      <c r="A45" s="48"/>
      <c r="B45" s="48"/>
      <c r="C45" s="49"/>
      <c r="D45" s="50"/>
      <c r="E45" s="51"/>
      <c r="F45" s="52"/>
      <c r="G45" s="47"/>
      <c r="H45" s="47"/>
      <c r="I45" s="50"/>
      <c r="J45" s="53"/>
      <c r="K45" s="50"/>
      <c r="L45" s="47"/>
      <c r="M45" s="51"/>
      <c r="N45" s="51"/>
      <c r="O45" s="50"/>
      <c r="P45" s="50"/>
      <c r="Q45" s="52"/>
      <c r="R45" s="50"/>
      <c r="S45" s="50"/>
      <c r="T45" s="50"/>
      <c r="U45" s="50"/>
      <c r="V45" s="50"/>
      <c r="W45" s="50"/>
      <c r="X45" s="50"/>
      <c r="Y45" s="50"/>
      <c r="Z45" s="54"/>
      <c r="AA45" s="50"/>
      <c r="AB45" s="51"/>
      <c r="AC45" s="52"/>
      <c r="AD45" s="55">
        <f t="shared" si="0"/>
        <v>0</v>
      </c>
    </row>
    <row r="46" spans="1:30" x14ac:dyDescent="0.2">
      <c r="A46" s="48"/>
      <c r="B46" s="48"/>
      <c r="C46" s="49"/>
      <c r="D46" s="50"/>
      <c r="E46" s="51"/>
      <c r="F46" s="52"/>
      <c r="G46" s="47"/>
      <c r="H46" s="47"/>
      <c r="I46" s="50"/>
      <c r="J46" s="53"/>
      <c r="K46" s="50"/>
      <c r="L46" s="47"/>
      <c r="M46" s="51"/>
      <c r="N46" s="51"/>
      <c r="O46" s="50"/>
      <c r="P46" s="50"/>
      <c r="Q46" s="52"/>
      <c r="R46" s="50"/>
      <c r="S46" s="50"/>
      <c r="T46" s="50"/>
      <c r="U46" s="50"/>
      <c r="V46" s="50"/>
      <c r="W46" s="50"/>
      <c r="X46" s="50"/>
      <c r="Y46" s="50"/>
      <c r="Z46" s="54"/>
      <c r="AA46" s="50"/>
      <c r="AB46" s="51"/>
      <c r="AC46" s="52"/>
      <c r="AD46" s="55">
        <f t="shared" si="0"/>
        <v>0</v>
      </c>
    </row>
    <row r="47" spans="1:30" x14ac:dyDescent="0.2">
      <c r="A47" s="48"/>
      <c r="B47" s="48"/>
      <c r="C47" s="49"/>
      <c r="D47" s="50"/>
      <c r="E47" s="51"/>
      <c r="F47" s="52"/>
      <c r="G47" s="47"/>
      <c r="H47" s="47"/>
      <c r="I47" s="50"/>
      <c r="J47" s="53"/>
      <c r="K47" s="50"/>
      <c r="L47" s="47"/>
      <c r="M47" s="51"/>
      <c r="N47" s="51"/>
      <c r="O47" s="50"/>
      <c r="P47" s="50"/>
      <c r="Q47" s="52"/>
      <c r="R47" s="50"/>
      <c r="S47" s="50"/>
      <c r="T47" s="50"/>
      <c r="U47" s="50"/>
      <c r="V47" s="50"/>
      <c r="W47" s="50"/>
      <c r="X47" s="50"/>
      <c r="Y47" s="50"/>
      <c r="Z47" s="54"/>
      <c r="AA47" s="50"/>
      <c r="AB47" s="51"/>
      <c r="AC47" s="52"/>
      <c r="AD47" s="55">
        <f t="shared" si="0"/>
        <v>0</v>
      </c>
    </row>
    <row r="48" spans="1:30" x14ac:dyDescent="0.2">
      <c r="A48" s="48"/>
      <c r="B48" s="48"/>
      <c r="C48" s="49"/>
      <c r="D48" s="50"/>
      <c r="E48" s="51"/>
      <c r="F48" s="52"/>
      <c r="G48" s="47"/>
      <c r="H48" s="47"/>
      <c r="I48" s="50"/>
      <c r="J48" s="53"/>
      <c r="K48" s="50"/>
      <c r="L48" s="47"/>
      <c r="M48" s="51"/>
      <c r="N48" s="51"/>
      <c r="O48" s="50"/>
      <c r="P48" s="50"/>
      <c r="Q48" s="52"/>
      <c r="R48" s="50"/>
      <c r="S48" s="50"/>
      <c r="T48" s="50"/>
      <c r="U48" s="50"/>
      <c r="V48" s="50"/>
      <c r="W48" s="50"/>
      <c r="X48" s="50"/>
      <c r="Y48" s="50"/>
      <c r="Z48" s="54"/>
      <c r="AA48" s="50"/>
      <c r="AB48" s="51"/>
      <c r="AC48" s="52"/>
      <c r="AD48" s="55">
        <f t="shared" si="0"/>
        <v>0</v>
      </c>
    </row>
    <row r="49" spans="1:30" x14ac:dyDescent="0.2">
      <c r="A49" s="48"/>
      <c r="B49" s="48"/>
      <c r="C49" s="49"/>
      <c r="D49" s="50"/>
      <c r="E49" s="51"/>
      <c r="F49" s="52"/>
      <c r="G49" s="47"/>
      <c r="H49" s="47"/>
      <c r="I49" s="50"/>
      <c r="J49" s="53"/>
      <c r="K49" s="50"/>
      <c r="L49" s="47"/>
      <c r="M49" s="51"/>
      <c r="N49" s="51"/>
      <c r="O49" s="50"/>
      <c r="P49" s="50"/>
      <c r="Q49" s="52"/>
      <c r="R49" s="50"/>
      <c r="S49" s="50"/>
      <c r="T49" s="50"/>
      <c r="U49" s="50"/>
      <c r="V49" s="50"/>
      <c r="W49" s="50"/>
      <c r="X49" s="50"/>
      <c r="Y49" s="50"/>
      <c r="Z49" s="54"/>
      <c r="AA49" s="50"/>
      <c r="AB49" s="51"/>
      <c r="AC49" s="52"/>
      <c r="AD49" s="55">
        <f t="shared" si="0"/>
        <v>0</v>
      </c>
    </row>
    <row r="50" spans="1:30" x14ac:dyDescent="0.2">
      <c r="A50" s="48"/>
      <c r="B50" s="48"/>
      <c r="C50" s="49"/>
      <c r="D50" s="50"/>
      <c r="E50" s="51"/>
      <c r="F50" s="52"/>
      <c r="G50" s="47"/>
      <c r="H50" s="47"/>
      <c r="I50" s="50"/>
      <c r="J50" s="53"/>
      <c r="K50" s="50"/>
      <c r="L50" s="47"/>
      <c r="M50" s="51"/>
      <c r="N50" s="51"/>
      <c r="O50" s="50"/>
      <c r="P50" s="50"/>
      <c r="Q50" s="52"/>
      <c r="R50" s="50"/>
      <c r="S50" s="50"/>
      <c r="T50" s="50"/>
      <c r="U50" s="50"/>
      <c r="V50" s="50"/>
      <c r="W50" s="50"/>
      <c r="X50" s="50"/>
      <c r="Y50" s="50"/>
      <c r="Z50" s="54"/>
      <c r="AA50" s="50"/>
      <c r="AB50" s="51"/>
      <c r="AC50" s="52"/>
      <c r="AD50" s="55">
        <f t="shared" si="0"/>
        <v>0</v>
      </c>
    </row>
    <row r="51" spans="1:30" x14ac:dyDescent="0.2">
      <c r="A51" s="48"/>
      <c r="B51" s="48"/>
      <c r="C51" s="49"/>
      <c r="D51" s="50"/>
      <c r="E51" s="51"/>
      <c r="F51" s="52"/>
      <c r="G51" s="47"/>
      <c r="H51" s="47"/>
      <c r="I51" s="50"/>
      <c r="J51" s="53"/>
      <c r="K51" s="50"/>
      <c r="L51" s="47"/>
      <c r="M51" s="51"/>
      <c r="N51" s="51"/>
      <c r="O51" s="50"/>
      <c r="P51" s="50"/>
      <c r="Q51" s="52"/>
      <c r="R51" s="50"/>
      <c r="S51" s="50"/>
      <c r="T51" s="50"/>
      <c r="U51" s="50"/>
      <c r="V51" s="50"/>
      <c r="W51" s="50"/>
      <c r="X51" s="50"/>
      <c r="Y51" s="50"/>
      <c r="Z51" s="54"/>
      <c r="AA51" s="50"/>
      <c r="AB51" s="51"/>
      <c r="AC51" s="52"/>
      <c r="AD51" s="55">
        <f t="shared" si="0"/>
        <v>0</v>
      </c>
    </row>
    <row r="52" spans="1:30" x14ac:dyDescent="0.2">
      <c r="A52" s="48"/>
      <c r="B52" s="48"/>
      <c r="C52" s="49"/>
      <c r="D52" s="50"/>
      <c r="E52" s="51"/>
      <c r="F52" s="52"/>
      <c r="G52" s="47"/>
      <c r="H52" s="47"/>
      <c r="I52" s="50"/>
      <c r="J52" s="53"/>
      <c r="K52" s="50"/>
      <c r="L52" s="47"/>
      <c r="M52" s="51"/>
      <c r="N52" s="51"/>
      <c r="O52" s="50"/>
      <c r="P52" s="50"/>
      <c r="Q52" s="52"/>
      <c r="R52" s="50"/>
      <c r="S52" s="50"/>
      <c r="T52" s="50"/>
      <c r="U52" s="50"/>
      <c r="V52" s="50"/>
      <c r="W52" s="50"/>
      <c r="X52" s="50"/>
      <c r="Y52" s="50"/>
      <c r="Z52" s="54"/>
      <c r="AA52" s="50"/>
      <c r="AB52" s="51"/>
      <c r="AC52" s="52"/>
      <c r="AD52" s="55">
        <f t="shared" si="0"/>
        <v>0</v>
      </c>
    </row>
    <row r="53" spans="1:30" x14ac:dyDescent="0.2">
      <c r="A53" s="48"/>
      <c r="B53" s="48"/>
      <c r="C53" s="49"/>
      <c r="D53" s="50"/>
      <c r="E53" s="51"/>
      <c r="F53" s="52"/>
      <c r="G53" s="47"/>
      <c r="H53" s="47"/>
      <c r="I53" s="50"/>
      <c r="J53" s="53"/>
      <c r="K53" s="50"/>
      <c r="L53" s="47"/>
      <c r="M53" s="51"/>
      <c r="N53" s="51"/>
      <c r="O53" s="50"/>
      <c r="P53" s="50"/>
      <c r="Q53" s="52"/>
      <c r="R53" s="50"/>
      <c r="S53" s="50"/>
      <c r="T53" s="50"/>
      <c r="U53" s="50"/>
      <c r="V53" s="50"/>
      <c r="W53" s="50"/>
      <c r="X53" s="50"/>
      <c r="Y53" s="50"/>
      <c r="Z53" s="54"/>
      <c r="AA53" s="50"/>
      <c r="AB53" s="51"/>
      <c r="AC53" s="52"/>
      <c r="AD53" s="55">
        <f t="shared" si="0"/>
        <v>0</v>
      </c>
    </row>
    <row r="54" spans="1:30" x14ac:dyDescent="0.2">
      <c r="A54" s="48"/>
      <c r="B54" s="48"/>
      <c r="C54" s="49"/>
      <c r="D54" s="50"/>
      <c r="E54" s="51"/>
      <c r="F54" s="52"/>
      <c r="G54" s="47"/>
      <c r="H54" s="47"/>
      <c r="I54" s="50"/>
      <c r="J54" s="53"/>
      <c r="K54" s="50"/>
      <c r="L54" s="47"/>
      <c r="M54" s="51"/>
      <c r="N54" s="51"/>
      <c r="O54" s="50"/>
      <c r="P54" s="50"/>
      <c r="Q54" s="52"/>
      <c r="R54" s="50"/>
      <c r="S54" s="50"/>
      <c r="T54" s="50"/>
      <c r="U54" s="50"/>
      <c r="V54" s="50"/>
      <c r="W54" s="50"/>
      <c r="X54" s="50"/>
      <c r="Y54" s="50"/>
      <c r="Z54" s="54"/>
      <c r="AA54" s="50"/>
      <c r="AB54" s="51"/>
      <c r="AC54" s="52"/>
      <c r="AD54" s="55">
        <f t="shared" si="0"/>
        <v>0</v>
      </c>
    </row>
    <row r="55" spans="1:30" x14ac:dyDescent="0.2">
      <c r="A55" s="48"/>
      <c r="B55" s="48"/>
      <c r="C55" s="49"/>
      <c r="D55" s="50"/>
      <c r="E55" s="51"/>
      <c r="F55" s="52"/>
      <c r="G55" s="47"/>
      <c r="H55" s="47"/>
      <c r="I55" s="50"/>
      <c r="J55" s="53"/>
      <c r="K55" s="50"/>
      <c r="L55" s="47"/>
      <c r="M55" s="51"/>
      <c r="N55" s="51"/>
      <c r="O55" s="50"/>
      <c r="P55" s="50"/>
      <c r="Q55" s="52"/>
      <c r="R55" s="50"/>
      <c r="S55" s="50"/>
      <c r="T55" s="50"/>
      <c r="U55" s="50"/>
      <c r="V55" s="50"/>
      <c r="W55" s="50"/>
      <c r="X55" s="50"/>
      <c r="Y55" s="50"/>
      <c r="Z55" s="54"/>
      <c r="AA55" s="50"/>
      <c r="AB55" s="51"/>
      <c r="AC55" s="52"/>
      <c r="AD55" s="55">
        <f t="shared" si="0"/>
        <v>0</v>
      </c>
    </row>
    <row r="56" spans="1:30" x14ac:dyDescent="0.2">
      <c r="A56" s="48"/>
      <c r="B56" s="48"/>
      <c r="C56" s="49"/>
      <c r="D56" s="50"/>
      <c r="E56" s="51"/>
      <c r="F56" s="52"/>
      <c r="G56" s="47"/>
      <c r="H56" s="47"/>
      <c r="I56" s="50"/>
      <c r="J56" s="53"/>
      <c r="K56" s="50"/>
      <c r="L56" s="47"/>
      <c r="M56" s="51"/>
      <c r="N56" s="51"/>
      <c r="O56" s="50"/>
      <c r="P56" s="50"/>
      <c r="Q56" s="52"/>
      <c r="R56" s="50"/>
      <c r="S56" s="50"/>
      <c r="T56" s="50"/>
      <c r="U56" s="50"/>
      <c r="V56" s="50"/>
      <c r="W56" s="50"/>
      <c r="X56" s="50"/>
      <c r="Y56" s="50"/>
      <c r="Z56" s="54"/>
      <c r="AA56" s="50"/>
      <c r="AB56" s="51"/>
      <c r="AC56" s="52"/>
      <c r="AD56" s="55">
        <f t="shared" si="0"/>
        <v>0</v>
      </c>
    </row>
    <row r="57" spans="1:30" x14ac:dyDescent="0.2">
      <c r="A57" s="48"/>
      <c r="B57" s="48"/>
      <c r="C57" s="49"/>
      <c r="D57" s="50"/>
      <c r="E57" s="51"/>
      <c r="F57" s="52"/>
      <c r="G57" s="47"/>
      <c r="H57" s="47"/>
      <c r="I57" s="50"/>
      <c r="J57" s="53"/>
      <c r="K57" s="50"/>
      <c r="L57" s="47"/>
      <c r="M57" s="51"/>
      <c r="N57" s="51"/>
      <c r="O57" s="50"/>
      <c r="P57" s="50"/>
      <c r="Q57" s="52"/>
      <c r="R57" s="50"/>
      <c r="S57" s="50"/>
      <c r="T57" s="50"/>
      <c r="U57" s="50"/>
      <c r="V57" s="50"/>
      <c r="W57" s="50"/>
      <c r="X57" s="50"/>
      <c r="Y57" s="50"/>
      <c r="Z57" s="54"/>
      <c r="AA57" s="50"/>
      <c r="AB57" s="51"/>
      <c r="AC57" s="52"/>
      <c r="AD57" s="55">
        <f t="shared" si="0"/>
        <v>0</v>
      </c>
    </row>
    <row r="58" spans="1:30" x14ac:dyDescent="0.2">
      <c r="A58" s="48"/>
      <c r="B58" s="48"/>
      <c r="C58" s="49"/>
      <c r="D58" s="50"/>
      <c r="E58" s="51"/>
      <c r="F58" s="52"/>
      <c r="G58" s="47"/>
      <c r="H58" s="47"/>
      <c r="I58" s="50"/>
      <c r="J58" s="53"/>
      <c r="K58" s="50"/>
      <c r="L58" s="47"/>
      <c r="M58" s="51"/>
      <c r="N58" s="51"/>
      <c r="O58" s="50"/>
      <c r="P58" s="50"/>
      <c r="Q58" s="52"/>
      <c r="R58" s="50"/>
      <c r="S58" s="50"/>
      <c r="T58" s="50"/>
      <c r="U58" s="50"/>
      <c r="V58" s="50"/>
      <c r="W58" s="50"/>
      <c r="X58" s="50"/>
      <c r="Y58" s="50"/>
      <c r="Z58" s="54"/>
      <c r="AA58" s="50"/>
      <c r="AB58" s="51"/>
      <c r="AC58" s="52"/>
      <c r="AD58" s="55">
        <f t="shared" si="0"/>
        <v>0</v>
      </c>
    </row>
    <row r="59" spans="1:30" x14ac:dyDescent="0.2">
      <c r="A59" s="48"/>
      <c r="B59" s="48"/>
      <c r="C59" s="49"/>
      <c r="D59" s="50"/>
      <c r="E59" s="51"/>
      <c r="F59" s="52"/>
      <c r="G59" s="47"/>
      <c r="H59" s="47"/>
      <c r="I59" s="50"/>
      <c r="J59" s="53"/>
      <c r="K59" s="50"/>
      <c r="L59" s="47"/>
      <c r="M59" s="51"/>
      <c r="N59" s="51"/>
      <c r="O59" s="50"/>
      <c r="P59" s="50"/>
      <c r="Q59" s="52"/>
      <c r="R59" s="50"/>
      <c r="S59" s="50"/>
      <c r="T59" s="50"/>
      <c r="U59" s="50"/>
      <c r="V59" s="50"/>
      <c r="W59" s="50"/>
      <c r="X59" s="50"/>
      <c r="Y59" s="50"/>
      <c r="Z59" s="54"/>
      <c r="AA59" s="50"/>
      <c r="AB59" s="51"/>
      <c r="AC59" s="52"/>
      <c r="AD59" s="55">
        <f t="shared" si="0"/>
        <v>0</v>
      </c>
    </row>
    <row r="60" spans="1:30" x14ac:dyDescent="0.2">
      <c r="A60" s="48"/>
      <c r="B60" s="48"/>
      <c r="C60" s="49"/>
      <c r="D60" s="50"/>
      <c r="E60" s="51"/>
      <c r="F60" s="52"/>
      <c r="G60" s="47"/>
      <c r="H60" s="47"/>
      <c r="I60" s="50"/>
      <c r="J60" s="53"/>
      <c r="K60" s="50"/>
      <c r="L60" s="47"/>
      <c r="M60" s="51"/>
      <c r="N60" s="51"/>
      <c r="O60" s="50"/>
      <c r="P60" s="50"/>
      <c r="Q60" s="52"/>
      <c r="R60" s="50"/>
      <c r="S60" s="50"/>
      <c r="T60" s="50"/>
      <c r="U60" s="50"/>
      <c r="V60" s="50"/>
      <c r="W60" s="50"/>
      <c r="X60" s="50"/>
      <c r="Y60" s="50"/>
      <c r="Z60" s="54"/>
      <c r="AA60" s="50"/>
      <c r="AB60" s="51"/>
      <c r="AC60" s="52"/>
      <c r="AD60" s="55">
        <f t="shared" si="0"/>
        <v>0</v>
      </c>
    </row>
    <row r="61" spans="1:30" x14ac:dyDescent="0.2">
      <c r="A61" s="48"/>
      <c r="B61" s="48"/>
      <c r="C61" s="49"/>
      <c r="D61" s="50"/>
      <c r="E61" s="51"/>
      <c r="F61" s="52"/>
      <c r="G61" s="47"/>
      <c r="H61" s="47"/>
      <c r="I61" s="50"/>
      <c r="J61" s="53"/>
      <c r="K61" s="50"/>
      <c r="L61" s="47"/>
      <c r="M61" s="51"/>
      <c r="N61" s="51"/>
      <c r="O61" s="50"/>
      <c r="P61" s="50"/>
      <c r="Q61" s="52"/>
      <c r="R61" s="50"/>
      <c r="S61" s="50"/>
      <c r="T61" s="50"/>
      <c r="U61" s="50"/>
      <c r="V61" s="50"/>
      <c r="W61" s="50"/>
      <c r="X61" s="50"/>
      <c r="Y61" s="50"/>
      <c r="Z61" s="54"/>
      <c r="AA61" s="50"/>
      <c r="AB61" s="51"/>
      <c r="AC61" s="52"/>
      <c r="AD61" s="55">
        <f t="shared" si="0"/>
        <v>0</v>
      </c>
    </row>
  </sheetData>
  <mergeCells count="6">
    <mergeCell ref="A1:AD2"/>
    <mergeCell ref="D3:F3"/>
    <mergeCell ref="AF3:AG4"/>
    <mergeCell ref="AD4:AD5"/>
    <mergeCell ref="U5:Y5"/>
    <mergeCell ref="AF5:AG5"/>
  </mergeCells>
  <conditionalFormatting sqref="AA7:AA61">
    <cfRule type="expression" dxfId="7" priority="3">
      <formula>AND(NOT(ISBLANK(Z7)),ISBLANK(AA7))</formula>
    </cfRule>
  </conditionalFormatting>
  <conditionalFormatting sqref="AD4:AD5">
    <cfRule type="cellIs" dxfId="6" priority="1" operator="greaterThan">
      <formula>0</formula>
    </cfRule>
  </conditionalFormatting>
  <conditionalFormatting sqref="AD7:AD61">
    <cfRule type="cellIs" dxfId="5" priority="4" operator="lessThan">
      <formula>0</formula>
    </cfRule>
  </conditionalFormatting>
  <conditionalFormatting sqref="AF5:AG5">
    <cfRule type="cellIs" dxfId="4" priority="2" operator="lessThan">
      <formula>0</formula>
    </cfRule>
  </conditionalFormatting>
  <dataValidations count="1">
    <dataValidation type="list" allowBlank="1" showInputMessage="1" showErrorMessage="1" sqref="AA7:AA61" xr:uid="{36DEE763-722E-4483-979F-3823BDCBD5C2}">
      <formula1>"Approved, Completed, Not Approved, Cancelled"</formula1>
    </dataValidation>
  </dataValidations>
  <pageMargins left="0.25" right="0.25" top="0.75" bottom="0.75" header="0.3" footer="0.3"/>
  <pageSetup paperSize="124" scale="18" orientation="landscape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BA601-864D-44CB-B887-608E0D0E975F}">
  <sheetPr>
    <pageSetUpPr fitToPage="1"/>
  </sheetPr>
  <dimension ref="A1:AG61"/>
  <sheetViews>
    <sheetView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D2"/>
    </sheetView>
  </sheetViews>
  <sheetFormatPr defaultRowHeight="12.75" x14ac:dyDescent="0.2"/>
  <cols>
    <col min="1" max="1" width="17" style="7" customWidth="1"/>
    <col min="2" max="2" width="20.7109375" style="7" customWidth="1"/>
    <col min="3" max="3" width="15.5703125" style="7" customWidth="1"/>
    <col min="4" max="4" width="13.140625" style="22" customWidth="1"/>
    <col min="5" max="5" width="14" style="7" customWidth="1"/>
    <col min="6" max="7" width="33.28515625" style="7" bestFit="1" customWidth="1"/>
    <col min="8" max="8" width="12.28515625" style="7" customWidth="1"/>
    <col min="9" max="9" width="62" style="7" bestFit="1" customWidth="1"/>
    <col min="10" max="10" width="27.7109375" style="7" customWidth="1"/>
    <col min="11" max="11" width="26.28515625" style="7" customWidth="1"/>
    <col min="12" max="12" width="9.140625" style="7"/>
    <col min="13" max="13" width="28.7109375" style="23" customWidth="1"/>
    <col min="14" max="14" width="29.5703125" style="7" customWidth="1"/>
    <col min="15" max="15" width="20.85546875" style="7" customWidth="1"/>
    <col min="16" max="16" width="15.140625" style="7" customWidth="1"/>
    <col min="17" max="17" width="13.7109375" style="7" customWidth="1"/>
    <col min="18" max="18" width="34.42578125" style="7" customWidth="1"/>
    <col min="19" max="19" width="24.5703125" style="7" customWidth="1"/>
    <col min="20" max="20" width="17.85546875" style="7" customWidth="1"/>
    <col min="21" max="21" width="23.7109375" style="7" customWidth="1"/>
    <col min="22" max="22" width="27.5703125" style="7" customWidth="1"/>
    <col min="23" max="23" width="24.85546875" style="7" customWidth="1"/>
    <col min="24" max="24" width="24" style="7" customWidth="1"/>
    <col min="25" max="25" width="22.85546875" style="7" customWidth="1"/>
    <col min="26" max="26" width="15.42578125" style="24" customWidth="1"/>
    <col min="27" max="27" width="26.42578125" style="7" customWidth="1"/>
    <col min="28" max="28" width="29.5703125" style="23" customWidth="1"/>
    <col min="29" max="29" width="19.7109375" style="7" customWidth="1"/>
    <col min="30" max="30" width="18.7109375" style="7" customWidth="1"/>
    <col min="31" max="31" width="9.140625" style="7"/>
    <col min="32" max="32" width="14" style="7" customWidth="1"/>
    <col min="33" max="33" width="12.42578125" style="7" bestFit="1" customWidth="1"/>
    <col min="34" max="16384" width="9.140625" style="7"/>
  </cols>
  <sheetData>
    <row r="1" spans="1:33" ht="28.5" customHeight="1" x14ac:dyDescent="0.2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1"/>
      <c r="AF1" s="1"/>
      <c r="AG1" s="1"/>
    </row>
    <row r="2" spans="1:33" ht="13.5" thickBo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1"/>
      <c r="AF2" s="1"/>
      <c r="AG2" s="1"/>
    </row>
    <row r="3" spans="1:33" ht="20.25" customHeight="1" x14ac:dyDescent="0.2">
      <c r="A3" s="56"/>
      <c r="B3" s="56" t="s">
        <v>1</v>
      </c>
      <c r="C3" s="57">
        <f>'4th Year'!C3+1</f>
        <v>2030</v>
      </c>
      <c r="D3" s="76" t="s">
        <v>73</v>
      </c>
      <c r="E3" s="76"/>
      <c r="F3" s="76"/>
      <c r="G3" s="58" t="s">
        <v>74</v>
      </c>
      <c r="H3" s="13"/>
      <c r="I3" s="13"/>
      <c r="J3" s="13"/>
      <c r="K3" s="8"/>
      <c r="L3" s="9"/>
      <c r="M3" s="10"/>
      <c r="N3" s="11"/>
      <c r="O3" s="1"/>
      <c r="P3" s="12"/>
      <c r="Q3" s="5"/>
      <c r="R3" s="1"/>
      <c r="S3" s="1"/>
      <c r="T3" s="1"/>
      <c r="U3" s="1"/>
      <c r="V3" s="1"/>
      <c r="W3" s="1"/>
      <c r="X3" s="1"/>
      <c r="Y3" s="2"/>
      <c r="Z3" s="3"/>
      <c r="AA3" s="1"/>
      <c r="AB3" s="4"/>
      <c r="AC3" s="5"/>
      <c r="AD3" s="6"/>
      <c r="AE3" s="1"/>
      <c r="AF3" s="72" t="s">
        <v>4</v>
      </c>
      <c r="AG3" s="73"/>
    </row>
    <row r="4" spans="1:33" ht="15" customHeight="1" x14ac:dyDescent="0.2">
      <c r="A4" s="1"/>
      <c r="B4" s="14"/>
      <c r="C4" s="15"/>
      <c r="D4" s="16"/>
      <c r="E4" s="5"/>
      <c r="F4" s="1"/>
      <c r="G4" s="1"/>
      <c r="H4" s="1"/>
      <c r="I4" s="1"/>
      <c r="J4" s="1"/>
      <c r="K4" s="1"/>
      <c r="L4" s="17"/>
      <c r="M4" s="18"/>
      <c r="N4" s="11"/>
      <c r="O4" s="1"/>
      <c r="P4" s="12"/>
      <c r="Q4" s="5"/>
      <c r="R4" s="1"/>
      <c r="S4" s="1"/>
      <c r="T4" s="1"/>
      <c r="U4" s="1"/>
      <c r="V4" s="1"/>
      <c r="W4" s="1"/>
      <c r="X4" s="1"/>
      <c r="Y4" s="2"/>
      <c r="Z4" s="3"/>
      <c r="AA4" s="1"/>
      <c r="AB4" s="4"/>
      <c r="AC4" s="5"/>
      <c r="AD4" s="68" t="e">
        <f>SMALL(Table135678[Remaining Funds Calculation],COUNTIF(Table135678[Remaining Funds Calculation],0)+1)</f>
        <v>#NUM!</v>
      </c>
      <c r="AE4" s="1"/>
      <c r="AF4" s="74"/>
      <c r="AG4" s="75"/>
    </row>
    <row r="5" spans="1:33" ht="15" customHeight="1" thickBot="1" x14ac:dyDescent="0.25">
      <c r="A5" s="26" t="s">
        <v>5</v>
      </c>
      <c r="B5" s="37"/>
      <c r="C5" s="38"/>
      <c r="D5" s="38"/>
      <c r="F5" s="19"/>
      <c r="G5" s="19"/>
      <c r="H5" s="19"/>
      <c r="I5" s="19"/>
      <c r="J5" s="19"/>
      <c r="K5" s="25" t="s">
        <v>6</v>
      </c>
      <c r="L5" s="17"/>
      <c r="M5" s="18"/>
      <c r="N5" s="11"/>
      <c r="O5" s="1"/>
      <c r="P5" s="12"/>
      <c r="Q5" s="5"/>
      <c r="R5" s="1"/>
      <c r="S5" s="1"/>
      <c r="T5" s="1"/>
      <c r="U5" s="65" t="s">
        <v>7</v>
      </c>
      <c r="V5" s="66"/>
      <c r="W5" s="66"/>
      <c r="X5" s="66"/>
      <c r="Y5" s="67"/>
      <c r="Z5" s="3"/>
      <c r="AA5" s="1"/>
      <c r="AB5" s="4"/>
      <c r="AC5" s="5"/>
      <c r="AD5" s="69"/>
      <c r="AE5" s="1"/>
      <c r="AF5" s="70">
        <f>AG6-SUMIF(AA7:AA61,"&lt;&gt;Cancelled", Z7:Z61)</f>
        <v>0</v>
      </c>
      <c r="AG5" s="71"/>
    </row>
    <row r="6" spans="1:33" s="45" customFormat="1" ht="38.25" x14ac:dyDescent="0.25">
      <c r="A6" s="27" t="s">
        <v>8</v>
      </c>
      <c r="B6" s="27" t="s">
        <v>9</v>
      </c>
      <c r="C6" s="39" t="s">
        <v>10</v>
      </c>
      <c r="D6" s="40" t="s">
        <v>11</v>
      </c>
      <c r="E6" s="46" t="s">
        <v>12</v>
      </c>
      <c r="F6" s="41" t="s">
        <v>13</v>
      </c>
      <c r="G6" s="28" t="s">
        <v>14</v>
      </c>
      <c r="H6" s="28" t="s">
        <v>15</v>
      </c>
      <c r="I6" s="28" t="s">
        <v>16</v>
      </c>
      <c r="J6" s="28" t="s">
        <v>17</v>
      </c>
      <c r="K6" s="29" t="s">
        <v>18</v>
      </c>
      <c r="L6" s="30" t="s">
        <v>19</v>
      </c>
      <c r="M6" s="31" t="s">
        <v>20</v>
      </c>
      <c r="N6" s="31" t="s">
        <v>21</v>
      </c>
      <c r="O6" s="29" t="s">
        <v>22</v>
      </c>
      <c r="P6" s="32" t="s">
        <v>23</v>
      </c>
      <c r="Q6" s="33" t="s">
        <v>24</v>
      </c>
      <c r="R6" s="29" t="s">
        <v>25</v>
      </c>
      <c r="S6" s="29" t="s">
        <v>26</v>
      </c>
      <c r="T6" s="29" t="s">
        <v>27</v>
      </c>
      <c r="U6" s="29" t="s">
        <v>28</v>
      </c>
      <c r="V6" s="29" t="s">
        <v>29</v>
      </c>
      <c r="W6" s="29" t="s">
        <v>30</v>
      </c>
      <c r="X6" s="29" t="s">
        <v>31</v>
      </c>
      <c r="Y6" s="34" t="s">
        <v>32</v>
      </c>
      <c r="Z6" s="35" t="s">
        <v>33</v>
      </c>
      <c r="AA6" s="29" t="s">
        <v>34</v>
      </c>
      <c r="AB6" s="32" t="s">
        <v>35</v>
      </c>
      <c r="AC6" s="33" t="s">
        <v>36</v>
      </c>
      <c r="AD6" s="36" t="s">
        <v>37</v>
      </c>
      <c r="AE6" s="42"/>
      <c r="AF6" s="43" t="s">
        <v>38</v>
      </c>
      <c r="AG6" s="44">
        <f>SUM(AG7:AG13)</f>
        <v>0</v>
      </c>
    </row>
    <row r="7" spans="1:33" x14ac:dyDescent="0.2">
      <c r="A7" s="48"/>
      <c r="B7" s="48"/>
      <c r="C7" s="49"/>
      <c r="D7" s="50"/>
      <c r="E7" s="51"/>
      <c r="F7" s="52"/>
      <c r="G7" s="47"/>
      <c r="H7" s="47"/>
      <c r="I7" s="50"/>
      <c r="J7" s="53"/>
      <c r="K7" s="50"/>
      <c r="L7" s="47"/>
      <c r="M7" s="51"/>
      <c r="N7" s="51"/>
      <c r="O7" s="50"/>
      <c r="P7" s="50"/>
      <c r="Q7" s="52"/>
      <c r="R7" s="50"/>
      <c r="S7" s="50"/>
      <c r="T7" s="50"/>
      <c r="U7" s="50"/>
      <c r="V7" s="50"/>
      <c r="W7" s="50"/>
      <c r="X7" s="50"/>
      <c r="Y7" s="50"/>
      <c r="Z7" s="54"/>
      <c r="AA7" s="50"/>
      <c r="AB7" s="51"/>
      <c r="AC7" s="52"/>
      <c r="AD7" s="55">
        <f>IF(OR(AA7="Not Approved",AA7="Cancelled"), AG6, AG6-Z7)</f>
        <v>0</v>
      </c>
      <c r="AF7" s="59" t="s">
        <v>75</v>
      </c>
      <c r="AG7" s="60"/>
    </row>
    <row r="8" spans="1:33" x14ac:dyDescent="0.2">
      <c r="A8" s="48"/>
      <c r="B8" s="48"/>
      <c r="C8" s="49"/>
      <c r="D8" s="50"/>
      <c r="E8" s="51"/>
      <c r="F8" s="52"/>
      <c r="G8" s="47"/>
      <c r="H8" s="47"/>
      <c r="I8" s="50"/>
      <c r="J8" s="53"/>
      <c r="K8" s="50"/>
      <c r="L8" s="47"/>
      <c r="M8" s="51"/>
      <c r="N8" s="51"/>
      <c r="O8" s="50"/>
      <c r="P8" s="50"/>
      <c r="Q8" s="52"/>
      <c r="R8" s="50"/>
      <c r="S8" s="50"/>
      <c r="T8" s="50"/>
      <c r="U8" s="50"/>
      <c r="V8" s="50"/>
      <c r="W8" s="50"/>
      <c r="X8" s="50"/>
      <c r="Y8" s="50"/>
      <c r="Z8" s="54"/>
      <c r="AA8" s="50"/>
      <c r="AB8" s="51"/>
      <c r="AC8" s="52"/>
      <c r="AD8" s="55">
        <f>IF(ISBLANK(Z8), ,(IF(OR(AA8="Not Approved",AA8="Cancelled"), AD7, AD7-Z8)))</f>
        <v>0</v>
      </c>
      <c r="AF8" s="59"/>
      <c r="AG8" s="60"/>
    </row>
    <row r="9" spans="1:33" x14ac:dyDescent="0.2">
      <c r="A9" s="48"/>
      <c r="B9" s="48"/>
      <c r="C9" s="49"/>
      <c r="D9" s="50"/>
      <c r="E9" s="51"/>
      <c r="F9" s="52"/>
      <c r="G9" s="47"/>
      <c r="H9" s="47"/>
      <c r="I9" s="50"/>
      <c r="J9" s="53"/>
      <c r="K9" s="50"/>
      <c r="L9" s="47"/>
      <c r="M9" s="51"/>
      <c r="N9" s="51"/>
      <c r="O9" s="50"/>
      <c r="P9" s="50"/>
      <c r="Q9" s="52"/>
      <c r="R9" s="50"/>
      <c r="S9" s="50"/>
      <c r="T9" s="50"/>
      <c r="U9" s="50"/>
      <c r="V9" s="50"/>
      <c r="W9" s="50"/>
      <c r="X9" s="50"/>
      <c r="Y9" s="50"/>
      <c r="Z9" s="54"/>
      <c r="AA9" s="50"/>
      <c r="AB9" s="51"/>
      <c r="AC9" s="52"/>
      <c r="AD9" s="55">
        <f t="shared" ref="AD9:AD61" si="0">IF(ISBLANK(Z9), ,(IF(OR(AA9="Not Approved",AA9="Cancelled"), AD8, AD8-Z9)))</f>
        <v>0</v>
      </c>
      <c r="AF9" s="21"/>
      <c r="AG9" s="20"/>
    </row>
    <row r="10" spans="1:33" x14ac:dyDescent="0.2">
      <c r="A10" s="48"/>
      <c r="B10" s="48"/>
      <c r="C10" s="49"/>
      <c r="D10" s="50"/>
      <c r="E10" s="51"/>
      <c r="F10" s="52"/>
      <c r="G10" s="47"/>
      <c r="H10" s="47"/>
      <c r="I10" s="50"/>
      <c r="J10" s="53"/>
      <c r="K10" s="50"/>
      <c r="L10" s="47"/>
      <c r="M10" s="51"/>
      <c r="N10" s="51"/>
      <c r="O10" s="50"/>
      <c r="P10" s="50"/>
      <c r="Q10" s="52"/>
      <c r="R10" s="50"/>
      <c r="S10" s="50"/>
      <c r="T10" s="50"/>
      <c r="U10" s="50"/>
      <c r="V10" s="50"/>
      <c r="W10" s="50"/>
      <c r="X10" s="50"/>
      <c r="Y10" s="50"/>
      <c r="Z10" s="54"/>
      <c r="AA10" s="50"/>
      <c r="AB10" s="51"/>
      <c r="AC10" s="52"/>
      <c r="AD10" s="55">
        <f t="shared" si="0"/>
        <v>0</v>
      </c>
      <c r="AF10" s="21"/>
      <c r="AG10" s="20"/>
    </row>
    <row r="11" spans="1:33" x14ac:dyDescent="0.2">
      <c r="A11" s="48"/>
      <c r="B11" s="48"/>
      <c r="C11" s="49"/>
      <c r="D11" s="50"/>
      <c r="E11" s="51"/>
      <c r="F11" s="52"/>
      <c r="G11" s="47"/>
      <c r="H11" s="47"/>
      <c r="I11" s="50"/>
      <c r="J11" s="53"/>
      <c r="K11" s="50"/>
      <c r="L11" s="47"/>
      <c r="M11" s="51"/>
      <c r="N11" s="51"/>
      <c r="O11" s="50"/>
      <c r="P11" s="50"/>
      <c r="Q11" s="52"/>
      <c r="R11" s="50"/>
      <c r="S11" s="50"/>
      <c r="T11" s="50"/>
      <c r="U11" s="50"/>
      <c r="V11" s="50"/>
      <c r="W11" s="50"/>
      <c r="X11" s="50"/>
      <c r="Y11" s="50"/>
      <c r="Z11" s="54"/>
      <c r="AA11" s="50"/>
      <c r="AB11" s="51"/>
      <c r="AC11" s="52"/>
      <c r="AD11" s="55">
        <f t="shared" si="0"/>
        <v>0</v>
      </c>
      <c r="AF11" s="21"/>
      <c r="AG11" s="20"/>
    </row>
    <row r="12" spans="1:33" x14ac:dyDescent="0.2">
      <c r="A12" s="48"/>
      <c r="B12" s="48"/>
      <c r="C12" s="49"/>
      <c r="D12" s="50"/>
      <c r="E12" s="51"/>
      <c r="F12" s="52"/>
      <c r="G12" s="47"/>
      <c r="H12" s="47"/>
      <c r="I12" s="50"/>
      <c r="J12" s="53"/>
      <c r="K12" s="50"/>
      <c r="L12" s="47"/>
      <c r="M12" s="51"/>
      <c r="N12" s="51"/>
      <c r="O12" s="50"/>
      <c r="P12" s="50"/>
      <c r="Q12" s="52"/>
      <c r="R12" s="50"/>
      <c r="S12" s="50"/>
      <c r="T12" s="50"/>
      <c r="U12" s="50"/>
      <c r="V12" s="50"/>
      <c r="W12" s="50"/>
      <c r="X12" s="50"/>
      <c r="Y12" s="50"/>
      <c r="Z12" s="54"/>
      <c r="AA12" s="50"/>
      <c r="AB12" s="51"/>
      <c r="AC12" s="52"/>
      <c r="AD12" s="55">
        <f t="shared" si="0"/>
        <v>0</v>
      </c>
      <c r="AF12" s="21"/>
      <c r="AG12" s="20"/>
    </row>
    <row r="13" spans="1:33" x14ac:dyDescent="0.2">
      <c r="A13" s="48"/>
      <c r="B13" s="48"/>
      <c r="C13" s="49"/>
      <c r="D13" s="50"/>
      <c r="E13" s="51"/>
      <c r="F13" s="52"/>
      <c r="G13" s="47"/>
      <c r="H13" s="47"/>
      <c r="I13" s="50"/>
      <c r="J13" s="53"/>
      <c r="K13" s="50"/>
      <c r="L13" s="47"/>
      <c r="M13" s="51"/>
      <c r="N13" s="51"/>
      <c r="O13" s="50"/>
      <c r="P13" s="50"/>
      <c r="Q13" s="52"/>
      <c r="R13" s="50"/>
      <c r="S13" s="50"/>
      <c r="T13" s="50"/>
      <c r="U13" s="50"/>
      <c r="V13" s="50"/>
      <c r="W13" s="50"/>
      <c r="X13" s="50"/>
      <c r="Y13" s="50"/>
      <c r="Z13" s="54"/>
      <c r="AA13" s="50"/>
      <c r="AB13" s="51"/>
      <c r="AC13" s="52"/>
      <c r="AD13" s="55">
        <f t="shared" si="0"/>
        <v>0</v>
      </c>
      <c r="AF13" s="21"/>
      <c r="AG13" s="20"/>
    </row>
    <row r="14" spans="1:33" x14ac:dyDescent="0.2">
      <c r="A14" s="48"/>
      <c r="B14" s="48"/>
      <c r="C14" s="49"/>
      <c r="D14" s="50"/>
      <c r="E14" s="51"/>
      <c r="F14" s="52"/>
      <c r="G14" s="47"/>
      <c r="H14" s="47"/>
      <c r="I14" s="50"/>
      <c r="J14" s="53"/>
      <c r="K14" s="50"/>
      <c r="L14" s="47"/>
      <c r="M14" s="51"/>
      <c r="N14" s="51"/>
      <c r="O14" s="50"/>
      <c r="P14" s="50"/>
      <c r="Q14" s="52"/>
      <c r="R14" s="50"/>
      <c r="S14" s="50"/>
      <c r="T14" s="50"/>
      <c r="U14" s="50"/>
      <c r="V14" s="50"/>
      <c r="W14" s="50"/>
      <c r="X14" s="50"/>
      <c r="Y14" s="50"/>
      <c r="Z14" s="54"/>
      <c r="AA14" s="50"/>
      <c r="AB14" s="51"/>
      <c r="AC14" s="52"/>
      <c r="AD14" s="55">
        <f t="shared" si="0"/>
        <v>0</v>
      </c>
    </row>
    <row r="15" spans="1:33" x14ac:dyDescent="0.2">
      <c r="A15" s="48"/>
      <c r="B15" s="48"/>
      <c r="C15" s="49"/>
      <c r="D15" s="50"/>
      <c r="E15" s="51"/>
      <c r="F15" s="52"/>
      <c r="G15" s="47"/>
      <c r="H15" s="47"/>
      <c r="I15" s="50"/>
      <c r="J15" s="53"/>
      <c r="K15" s="50"/>
      <c r="L15" s="47"/>
      <c r="M15" s="51"/>
      <c r="N15" s="51"/>
      <c r="O15" s="50"/>
      <c r="P15" s="50"/>
      <c r="Q15" s="52"/>
      <c r="R15" s="50"/>
      <c r="S15" s="50"/>
      <c r="T15" s="50"/>
      <c r="U15" s="50"/>
      <c r="V15" s="50"/>
      <c r="W15" s="50"/>
      <c r="X15" s="50"/>
      <c r="Y15" s="50"/>
      <c r="Z15" s="54"/>
      <c r="AA15" s="50"/>
      <c r="AB15" s="51"/>
      <c r="AC15" s="52"/>
      <c r="AD15" s="55">
        <f t="shared" si="0"/>
        <v>0</v>
      </c>
    </row>
    <row r="16" spans="1:33" x14ac:dyDescent="0.2">
      <c r="A16" s="48"/>
      <c r="B16" s="48"/>
      <c r="C16" s="49"/>
      <c r="D16" s="50"/>
      <c r="E16" s="51"/>
      <c r="F16" s="52"/>
      <c r="G16" s="47"/>
      <c r="H16" s="47"/>
      <c r="I16" s="50"/>
      <c r="J16" s="53"/>
      <c r="K16" s="50"/>
      <c r="L16" s="47"/>
      <c r="M16" s="51"/>
      <c r="N16" s="51"/>
      <c r="O16" s="50"/>
      <c r="P16" s="50"/>
      <c r="Q16" s="52"/>
      <c r="R16" s="50"/>
      <c r="S16" s="50"/>
      <c r="T16" s="50"/>
      <c r="U16" s="50"/>
      <c r="V16" s="50"/>
      <c r="W16" s="50"/>
      <c r="X16" s="50"/>
      <c r="Y16" s="50"/>
      <c r="Z16" s="54"/>
      <c r="AA16" s="50"/>
      <c r="AB16" s="51"/>
      <c r="AC16" s="52"/>
      <c r="AD16" s="55">
        <f t="shared" si="0"/>
        <v>0</v>
      </c>
    </row>
    <row r="17" spans="1:30" x14ac:dyDescent="0.2">
      <c r="A17" s="48"/>
      <c r="B17" s="48"/>
      <c r="C17" s="49"/>
      <c r="D17" s="50"/>
      <c r="E17" s="51"/>
      <c r="F17" s="52"/>
      <c r="G17" s="47"/>
      <c r="H17" s="47"/>
      <c r="I17" s="50"/>
      <c r="J17" s="53"/>
      <c r="K17" s="50"/>
      <c r="L17" s="47"/>
      <c r="M17" s="51"/>
      <c r="N17" s="51"/>
      <c r="O17" s="50"/>
      <c r="P17" s="50"/>
      <c r="Q17" s="52"/>
      <c r="R17" s="50"/>
      <c r="S17" s="50"/>
      <c r="T17" s="50"/>
      <c r="U17" s="50"/>
      <c r="V17" s="50"/>
      <c r="W17" s="50"/>
      <c r="X17" s="50"/>
      <c r="Y17" s="50"/>
      <c r="Z17" s="54"/>
      <c r="AA17" s="50"/>
      <c r="AB17" s="51"/>
      <c r="AC17" s="52"/>
      <c r="AD17" s="55">
        <f t="shared" si="0"/>
        <v>0</v>
      </c>
    </row>
    <row r="18" spans="1:30" x14ac:dyDescent="0.2">
      <c r="A18" s="48"/>
      <c r="B18" s="48"/>
      <c r="C18" s="49"/>
      <c r="D18" s="50"/>
      <c r="E18" s="51"/>
      <c r="F18" s="52"/>
      <c r="G18" s="47"/>
      <c r="H18" s="47"/>
      <c r="I18" s="50"/>
      <c r="J18" s="53"/>
      <c r="K18" s="50"/>
      <c r="L18" s="47"/>
      <c r="M18" s="51"/>
      <c r="N18" s="51"/>
      <c r="O18" s="50"/>
      <c r="P18" s="50"/>
      <c r="Q18" s="52"/>
      <c r="R18" s="50"/>
      <c r="S18" s="50"/>
      <c r="T18" s="50"/>
      <c r="U18" s="50"/>
      <c r="V18" s="50"/>
      <c r="W18" s="50"/>
      <c r="X18" s="50"/>
      <c r="Y18" s="50"/>
      <c r="Z18" s="54"/>
      <c r="AA18" s="50"/>
      <c r="AB18" s="51"/>
      <c r="AC18" s="52"/>
      <c r="AD18" s="55">
        <f t="shared" si="0"/>
        <v>0</v>
      </c>
    </row>
    <row r="19" spans="1:30" x14ac:dyDescent="0.2">
      <c r="A19" s="48"/>
      <c r="B19" s="48"/>
      <c r="C19" s="49"/>
      <c r="D19" s="50"/>
      <c r="E19" s="51"/>
      <c r="F19" s="52"/>
      <c r="G19" s="47"/>
      <c r="H19" s="47"/>
      <c r="I19" s="50"/>
      <c r="J19" s="53"/>
      <c r="K19" s="50"/>
      <c r="L19" s="47"/>
      <c r="M19" s="51"/>
      <c r="N19" s="51"/>
      <c r="O19" s="50"/>
      <c r="P19" s="50"/>
      <c r="Q19" s="52"/>
      <c r="R19" s="50"/>
      <c r="S19" s="50"/>
      <c r="T19" s="50"/>
      <c r="U19" s="50"/>
      <c r="V19" s="50"/>
      <c r="W19" s="50"/>
      <c r="X19" s="50"/>
      <c r="Y19" s="50"/>
      <c r="Z19" s="54"/>
      <c r="AA19" s="50"/>
      <c r="AB19" s="51"/>
      <c r="AC19" s="52"/>
      <c r="AD19" s="55">
        <f t="shared" si="0"/>
        <v>0</v>
      </c>
    </row>
    <row r="20" spans="1:30" x14ac:dyDescent="0.2">
      <c r="A20" s="48"/>
      <c r="B20" s="48"/>
      <c r="C20" s="49"/>
      <c r="D20" s="50"/>
      <c r="E20" s="51"/>
      <c r="F20" s="52"/>
      <c r="G20" s="47"/>
      <c r="H20" s="47"/>
      <c r="I20" s="50"/>
      <c r="J20" s="53"/>
      <c r="K20" s="50"/>
      <c r="L20" s="47"/>
      <c r="M20" s="51"/>
      <c r="N20" s="51"/>
      <c r="O20" s="50"/>
      <c r="P20" s="50"/>
      <c r="Q20" s="52"/>
      <c r="R20" s="50"/>
      <c r="S20" s="50"/>
      <c r="T20" s="50"/>
      <c r="U20" s="50"/>
      <c r="V20" s="50"/>
      <c r="W20" s="50"/>
      <c r="X20" s="50"/>
      <c r="Y20" s="50"/>
      <c r="Z20" s="54"/>
      <c r="AA20" s="50"/>
      <c r="AB20" s="51"/>
      <c r="AC20" s="52"/>
      <c r="AD20" s="55">
        <f t="shared" si="0"/>
        <v>0</v>
      </c>
    </row>
    <row r="21" spans="1:30" x14ac:dyDescent="0.2">
      <c r="A21" s="48"/>
      <c r="B21" s="48"/>
      <c r="C21" s="49"/>
      <c r="D21" s="50"/>
      <c r="E21" s="51"/>
      <c r="F21" s="52"/>
      <c r="G21" s="47"/>
      <c r="H21" s="47"/>
      <c r="I21" s="50"/>
      <c r="J21" s="53"/>
      <c r="K21" s="50"/>
      <c r="L21" s="47"/>
      <c r="M21" s="51"/>
      <c r="N21" s="51"/>
      <c r="O21" s="50"/>
      <c r="P21" s="50"/>
      <c r="Q21" s="52"/>
      <c r="R21" s="50"/>
      <c r="S21" s="50"/>
      <c r="T21" s="50"/>
      <c r="U21" s="50"/>
      <c r="V21" s="50"/>
      <c r="W21" s="50"/>
      <c r="X21" s="50"/>
      <c r="Y21" s="50"/>
      <c r="Z21" s="54"/>
      <c r="AA21" s="50"/>
      <c r="AB21" s="51"/>
      <c r="AC21" s="52"/>
      <c r="AD21" s="55">
        <f t="shared" si="0"/>
        <v>0</v>
      </c>
    </row>
    <row r="22" spans="1:30" x14ac:dyDescent="0.2">
      <c r="A22" s="48"/>
      <c r="B22" s="48"/>
      <c r="C22" s="49"/>
      <c r="D22" s="50"/>
      <c r="E22" s="51"/>
      <c r="F22" s="52"/>
      <c r="G22" s="47"/>
      <c r="H22" s="47"/>
      <c r="I22" s="50"/>
      <c r="J22" s="53"/>
      <c r="K22" s="50"/>
      <c r="L22" s="47"/>
      <c r="M22" s="51"/>
      <c r="N22" s="51"/>
      <c r="O22" s="50"/>
      <c r="P22" s="50"/>
      <c r="Q22" s="52"/>
      <c r="R22" s="50"/>
      <c r="S22" s="50"/>
      <c r="T22" s="50"/>
      <c r="U22" s="50"/>
      <c r="V22" s="50"/>
      <c r="W22" s="50"/>
      <c r="X22" s="50"/>
      <c r="Y22" s="50"/>
      <c r="Z22" s="54"/>
      <c r="AA22" s="50"/>
      <c r="AB22" s="51"/>
      <c r="AC22" s="52"/>
      <c r="AD22" s="55">
        <f t="shared" si="0"/>
        <v>0</v>
      </c>
    </row>
    <row r="23" spans="1:30" x14ac:dyDescent="0.2">
      <c r="A23" s="48"/>
      <c r="B23" s="48"/>
      <c r="C23" s="49"/>
      <c r="D23" s="50"/>
      <c r="E23" s="51"/>
      <c r="F23" s="52"/>
      <c r="G23" s="47"/>
      <c r="H23" s="47"/>
      <c r="I23" s="50"/>
      <c r="J23" s="53"/>
      <c r="K23" s="50"/>
      <c r="L23" s="47"/>
      <c r="M23" s="51"/>
      <c r="N23" s="51"/>
      <c r="O23" s="50"/>
      <c r="P23" s="50"/>
      <c r="Q23" s="52"/>
      <c r="R23" s="50"/>
      <c r="S23" s="50"/>
      <c r="T23" s="50"/>
      <c r="U23" s="50"/>
      <c r="V23" s="50"/>
      <c r="W23" s="50"/>
      <c r="X23" s="50"/>
      <c r="Y23" s="50"/>
      <c r="Z23" s="54"/>
      <c r="AA23" s="50"/>
      <c r="AB23" s="51"/>
      <c r="AC23" s="52"/>
      <c r="AD23" s="55">
        <f t="shared" si="0"/>
        <v>0</v>
      </c>
    </row>
    <row r="24" spans="1:30" x14ac:dyDescent="0.2">
      <c r="A24" s="48"/>
      <c r="B24" s="48"/>
      <c r="C24" s="49"/>
      <c r="D24" s="50"/>
      <c r="E24" s="51"/>
      <c r="F24" s="52"/>
      <c r="G24" s="47"/>
      <c r="H24" s="47"/>
      <c r="I24" s="50"/>
      <c r="J24" s="53"/>
      <c r="K24" s="50"/>
      <c r="L24" s="47"/>
      <c r="M24" s="51"/>
      <c r="N24" s="51"/>
      <c r="O24" s="50"/>
      <c r="P24" s="50"/>
      <c r="Q24" s="52"/>
      <c r="R24" s="50"/>
      <c r="S24" s="50"/>
      <c r="T24" s="50"/>
      <c r="U24" s="50"/>
      <c r="V24" s="50"/>
      <c r="W24" s="50"/>
      <c r="X24" s="50"/>
      <c r="Y24" s="50"/>
      <c r="Z24" s="54"/>
      <c r="AA24" s="50"/>
      <c r="AB24" s="51"/>
      <c r="AC24" s="52"/>
      <c r="AD24" s="55">
        <f t="shared" si="0"/>
        <v>0</v>
      </c>
    </row>
    <row r="25" spans="1:30" x14ac:dyDescent="0.2">
      <c r="A25" s="48"/>
      <c r="B25" s="48"/>
      <c r="C25" s="49"/>
      <c r="D25" s="50"/>
      <c r="E25" s="51"/>
      <c r="F25" s="52"/>
      <c r="G25" s="47"/>
      <c r="H25" s="47"/>
      <c r="I25" s="50"/>
      <c r="J25" s="53"/>
      <c r="K25" s="50"/>
      <c r="L25" s="47"/>
      <c r="M25" s="51"/>
      <c r="N25" s="51"/>
      <c r="O25" s="50"/>
      <c r="P25" s="50"/>
      <c r="Q25" s="52"/>
      <c r="R25" s="50"/>
      <c r="S25" s="50"/>
      <c r="T25" s="50"/>
      <c r="U25" s="50"/>
      <c r="V25" s="50"/>
      <c r="W25" s="50"/>
      <c r="X25" s="50"/>
      <c r="Y25" s="50"/>
      <c r="Z25" s="54"/>
      <c r="AA25" s="50"/>
      <c r="AB25" s="51"/>
      <c r="AC25" s="52"/>
      <c r="AD25" s="55">
        <f t="shared" si="0"/>
        <v>0</v>
      </c>
    </row>
    <row r="26" spans="1:30" x14ac:dyDescent="0.2">
      <c r="A26" s="48"/>
      <c r="B26" s="48"/>
      <c r="C26" s="49"/>
      <c r="D26" s="50"/>
      <c r="E26" s="51"/>
      <c r="F26" s="52"/>
      <c r="G26" s="47"/>
      <c r="H26" s="47"/>
      <c r="I26" s="50"/>
      <c r="J26" s="53"/>
      <c r="K26" s="50"/>
      <c r="L26" s="47"/>
      <c r="M26" s="51"/>
      <c r="N26" s="51"/>
      <c r="O26" s="50"/>
      <c r="P26" s="50"/>
      <c r="Q26" s="52"/>
      <c r="R26" s="50"/>
      <c r="S26" s="50"/>
      <c r="T26" s="50"/>
      <c r="U26" s="50"/>
      <c r="V26" s="50"/>
      <c r="W26" s="50"/>
      <c r="X26" s="50"/>
      <c r="Y26" s="50"/>
      <c r="Z26" s="54"/>
      <c r="AA26" s="50"/>
      <c r="AB26" s="51"/>
      <c r="AC26" s="52"/>
      <c r="AD26" s="55">
        <f t="shared" si="0"/>
        <v>0</v>
      </c>
    </row>
    <row r="27" spans="1:30" x14ac:dyDescent="0.2">
      <c r="A27" s="48"/>
      <c r="B27" s="48"/>
      <c r="C27" s="49"/>
      <c r="D27" s="50"/>
      <c r="E27" s="51"/>
      <c r="F27" s="52"/>
      <c r="G27" s="47"/>
      <c r="H27" s="47"/>
      <c r="I27" s="50"/>
      <c r="J27" s="53"/>
      <c r="K27" s="50"/>
      <c r="L27" s="47"/>
      <c r="M27" s="51"/>
      <c r="N27" s="51"/>
      <c r="O27" s="50"/>
      <c r="P27" s="50"/>
      <c r="Q27" s="52"/>
      <c r="R27" s="50"/>
      <c r="S27" s="50"/>
      <c r="T27" s="50"/>
      <c r="U27" s="50"/>
      <c r="V27" s="50"/>
      <c r="W27" s="50"/>
      <c r="X27" s="50"/>
      <c r="Y27" s="50"/>
      <c r="Z27" s="54"/>
      <c r="AA27" s="50"/>
      <c r="AB27" s="51"/>
      <c r="AC27" s="52"/>
      <c r="AD27" s="55">
        <f t="shared" si="0"/>
        <v>0</v>
      </c>
    </row>
    <row r="28" spans="1:30" x14ac:dyDescent="0.2">
      <c r="A28" s="48"/>
      <c r="B28" s="48"/>
      <c r="C28" s="49"/>
      <c r="D28" s="50"/>
      <c r="E28" s="51"/>
      <c r="F28" s="52"/>
      <c r="G28" s="47"/>
      <c r="H28" s="47"/>
      <c r="I28" s="50"/>
      <c r="J28" s="53"/>
      <c r="K28" s="50"/>
      <c r="L28" s="47"/>
      <c r="M28" s="51"/>
      <c r="N28" s="51"/>
      <c r="O28" s="50"/>
      <c r="P28" s="50"/>
      <c r="Q28" s="52"/>
      <c r="R28" s="50"/>
      <c r="S28" s="50"/>
      <c r="T28" s="50"/>
      <c r="U28" s="50"/>
      <c r="V28" s="50"/>
      <c r="W28" s="50"/>
      <c r="X28" s="50"/>
      <c r="Y28" s="50"/>
      <c r="Z28" s="54"/>
      <c r="AA28" s="50"/>
      <c r="AB28" s="51"/>
      <c r="AC28" s="52"/>
      <c r="AD28" s="55">
        <f t="shared" si="0"/>
        <v>0</v>
      </c>
    </row>
    <row r="29" spans="1:30" x14ac:dyDescent="0.2">
      <c r="A29" s="48"/>
      <c r="B29" s="48"/>
      <c r="C29" s="49"/>
      <c r="D29" s="50"/>
      <c r="E29" s="51"/>
      <c r="F29" s="52"/>
      <c r="G29" s="47"/>
      <c r="H29" s="47"/>
      <c r="I29" s="50"/>
      <c r="J29" s="53"/>
      <c r="K29" s="50"/>
      <c r="L29" s="47"/>
      <c r="M29" s="51"/>
      <c r="N29" s="51"/>
      <c r="O29" s="50"/>
      <c r="P29" s="50"/>
      <c r="Q29" s="52"/>
      <c r="R29" s="50"/>
      <c r="S29" s="50"/>
      <c r="T29" s="50"/>
      <c r="U29" s="50"/>
      <c r="V29" s="50"/>
      <c r="W29" s="50"/>
      <c r="X29" s="50"/>
      <c r="Y29" s="50"/>
      <c r="Z29" s="54"/>
      <c r="AA29" s="50"/>
      <c r="AB29" s="51"/>
      <c r="AC29" s="52"/>
      <c r="AD29" s="55">
        <f t="shared" si="0"/>
        <v>0</v>
      </c>
    </row>
    <row r="30" spans="1:30" x14ac:dyDescent="0.2">
      <c r="A30" s="48"/>
      <c r="B30" s="48"/>
      <c r="C30" s="49"/>
      <c r="D30" s="50"/>
      <c r="E30" s="51"/>
      <c r="F30" s="52"/>
      <c r="G30" s="47"/>
      <c r="H30" s="47"/>
      <c r="I30" s="50"/>
      <c r="J30" s="53"/>
      <c r="K30" s="50"/>
      <c r="L30" s="47"/>
      <c r="M30" s="51"/>
      <c r="N30" s="51"/>
      <c r="O30" s="50"/>
      <c r="P30" s="50"/>
      <c r="Q30" s="52"/>
      <c r="R30" s="50"/>
      <c r="S30" s="50"/>
      <c r="T30" s="50"/>
      <c r="U30" s="50"/>
      <c r="V30" s="50"/>
      <c r="W30" s="50"/>
      <c r="X30" s="50"/>
      <c r="Y30" s="50"/>
      <c r="Z30" s="54"/>
      <c r="AA30" s="50"/>
      <c r="AB30" s="51"/>
      <c r="AC30" s="52"/>
      <c r="AD30" s="55">
        <f t="shared" si="0"/>
        <v>0</v>
      </c>
    </row>
    <row r="31" spans="1:30" x14ac:dyDescent="0.2">
      <c r="A31" s="48"/>
      <c r="B31" s="48"/>
      <c r="C31" s="49"/>
      <c r="D31" s="50"/>
      <c r="E31" s="51"/>
      <c r="F31" s="52"/>
      <c r="G31" s="47"/>
      <c r="H31" s="47"/>
      <c r="I31" s="50"/>
      <c r="J31" s="53"/>
      <c r="K31" s="50"/>
      <c r="L31" s="47"/>
      <c r="M31" s="51"/>
      <c r="N31" s="51"/>
      <c r="O31" s="50"/>
      <c r="P31" s="50"/>
      <c r="Q31" s="52"/>
      <c r="R31" s="50"/>
      <c r="S31" s="50"/>
      <c r="T31" s="50"/>
      <c r="U31" s="50"/>
      <c r="V31" s="50"/>
      <c r="W31" s="50"/>
      <c r="X31" s="50"/>
      <c r="Y31" s="50"/>
      <c r="Z31" s="54"/>
      <c r="AA31" s="50"/>
      <c r="AB31" s="51"/>
      <c r="AC31" s="52"/>
      <c r="AD31" s="55">
        <f t="shared" si="0"/>
        <v>0</v>
      </c>
    </row>
    <row r="32" spans="1:30" x14ac:dyDescent="0.2">
      <c r="A32" s="48"/>
      <c r="B32" s="48"/>
      <c r="C32" s="49"/>
      <c r="D32" s="50"/>
      <c r="E32" s="51"/>
      <c r="F32" s="52"/>
      <c r="G32" s="47"/>
      <c r="H32" s="47"/>
      <c r="I32" s="50"/>
      <c r="J32" s="53"/>
      <c r="K32" s="50"/>
      <c r="L32" s="47"/>
      <c r="M32" s="51"/>
      <c r="N32" s="51"/>
      <c r="O32" s="50"/>
      <c r="P32" s="50"/>
      <c r="Q32" s="52"/>
      <c r="R32" s="50"/>
      <c r="S32" s="50"/>
      <c r="T32" s="50"/>
      <c r="U32" s="50"/>
      <c r="V32" s="50"/>
      <c r="W32" s="50"/>
      <c r="X32" s="50"/>
      <c r="Y32" s="50"/>
      <c r="Z32" s="54"/>
      <c r="AA32" s="50"/>
      <c r="AB32" s="51"/>
      <c r="AC32" s="52"/>
      <c r="AD32" s="55">
        <f t="shared" si="0"/>
        <v>0</v>
      </c>
    </row>
    <row r="33" spans="1:30" x14ac:dyDescent="0.2">
      <c r="A33" s="48"/>
      <c r="B33" s="48"/>
      <c r="C33" s="49"/>
      <c r="D33" s="50"/>
      <c r="E33" s="51"/>
      <c r="F33" s="52"/>
      <c r="G33" s="47"/>
      <c r="H33" s="47"/>
      <c r="I33" s="50"/>
      <c r="J33" s="53"/>
      <c r="K33" s="50"/>
      <c r="L33" s="47"/>
      <c r="M33" s="51"/>
      <c r="N33" s="51"/>
      <c r="O33" s="50"/>
      <c r="P33" s="50"/>
      <c r="Q33" s="52"/>
      <c r="R33" s="50"/>
      <c r="S33" s="50"/>
      <c r="T33" s="50"/>
      <c r="U33" s="50"/>
      <c r="V33" s="50"/>
      <c r="W33" s="50"/>
      <c r="X33" s="50"/>
      <c r="Y33" s="50"/>
      <c r="Z33" s="54"/>
      <c r="AA33" s="50"/>
      <c r="AB33" s="51"/>
      <c r="AC33" s="52"/>
      <c r="AD33" s="55">
        <f t="shared" si="0"/>
        <v>0</v>
      </c>
    </row>
    <row r="34" spans="1:30" x14ac:dyDescent="0.2">
      <c r="A34" s="48"/>
      <c r="B34" s="48"/>
      <c r="C34" s="49"/>
      <c r="D34" s="50"/>
      <c r="E34" s="51"/>
      <c r="F34" s="52"/>
      <c r="G34" s="47"/>
      <c r="H34" s="47"/>
      <c r="I34" s="50"/>
      <c r="J34" s="53"/>
      <c r="K34" s="50"/>
      <c r="L34" s="47"/>
      <c r="M34" s="51"/>
      <c r="N34" s="51"/>
      <c r="O34" s="50"/>
      <c r="P34" s="50"/>
      <c r="Q34" s="52"/>
      <c r="R34" s="50"/>
      <c r="S34" s="50"/>
      <c r="T34" s="50"/>
      <c r="U34" s="50"/>
      <c r="V34" s="50"/>
      <c r="W34" s="50"/>
      <c r="X34" s="50"/>
      <c r="Y34" s="50"/>
      <c r="Z34" s="54"/>
      <c r="AA34" s="50"/>
      <c r="AB34" s="51"/>
      <c r="AC34" s="52"/>
      <c r="AD34" s="55">
        <f t="shared" si="0"/>
        <v>0</v>
      </c>
    </row>
    <row r="35" spans="1:30" x14ac:dyDescent="0.2">
      <c r="A35" s="48"/>
      <c r="B35" s="48"/>
      <c r="C35" s="49"/>
      <c r="D35" s="50"/>
      <c r="E35" s="51"/>
      <c r="F35" s="52"/>
      <c r="G35" s="47"/>
      <c r="H35" s="47"/>
      <c r="I35" s="50"/>
      <c r="J35" s="53"/>
      <c r="K35" s="50"/>
      <c r="L35" s="47"/>
      <c r="M35" s="51"/>
      <c r="N35" s="51"/>
      <c r="O35" s="50"/>
      <c r="P35" s="50"/>
      <c r="Q35" s="52"/>
      <c r="R35" s="50"/>
      <c r="S35" s="50"/>
      <c r="T35" s="50"/>
      <c r="U35" s="50"/>
      <c r="V35" s="50"/>
      <c r="W35" s="50"/>
      <c r="X35" s="50"/>
      <c r="Y35" s="50"/>
      <c r="Z35" s="54"/>
      <c r="AA35" s="50"/>
      <c r="AB35" s="51"/>
      <c r="AC35" s="52"/>
      <c r="AD35" s="55">
        <f t="shared" si="0"/>
        <v>0</v>
      </c>
    </row>
    <row r="36" spans="1:30" x14ac:dyDescent="0.2">
      <c r="A36" s="48"/>
      <c r="B36" s="48"/>
      <c r="C36" s="49"/>
      <c r="D36" s="50"/>
      <c r="E36" s="51"/>
      <c r="F36" s="52"/>
      <c r="G36" s="47"/>
      <c r="H36" s="47"/>
      <c r="I36" s="50"/>
      <c r="J36" s="53"/>
      <c r="K36" s="50"/>
      <c r="L36" s="47"/>
      <c r="M36" s="51"/>
      <c r="N36" s="51"/>
      <c r="O36" s="50"/>
      <c r="P36" s="50"/>
      <c r="Q36" s="52"/>
      <c r="R36" s="50"/>
      <c r="S36" s="50"/>
      <c r="T36" s="50"/>
      <c r="U36" s="50"/>
      <c r="V36" s="50"/>
      <c r="W36" s="50"/>
      <c r="X36" s="50"/>
      <c r="Y36" s="50"/>
      <c r="Z36" s="54"/>
      <c r="AA36" s="50"/>
      <c r="AB36" s="51"/>
      <c r="AC36" s="52"/>
      <c r="AD36" s="55">
        <f t="shared" si="0"/>
        <v>0</v>
      </c>
    </row>
    <row r="37" spans="1:30" x14ac:dyDescent="0.2">
      <c r="A37" s="48"/>
      <c r="B37" s="48"/>
      <c r="C37" s="49"/>
      <c r="D37" s="50"/>
      <c r="E37" s="51"/>
      <c r="F37" s="52"/>
      <c r="G37" s="47"/>
      <c r="H37" s="47"/>
      <c r="I37" s="50"/>
      <c r="J37" s="53"/>
      <c r="K37" s="50"/>
      <c r="L37" s="47"/>
      <c r="M37" s="51"/>
      <c r="N37" s="51"/>
      <c r="O37" s="50"/>
      <c r="P37" s="50"/>
      <c r="Q37" s="52"/>
      <c r="R37" s="50"/>
      <c r="S37" s="50"/>
      <c r="T37" s="50"/>
      <c r="U37" s="50"/>
      <c r="V37" s="50"/>
      <c r="W37" s="50"/>
      <c r="X37" s="50"/>
      <c r="Y37" s="50"/>
      <c r="Z37" s="54"/>
      <c r="AA37" s="50"/>
      <c r="AB37" s="51"/>
      <c r="AC37" s="52"/>
      <c r="AD37" s="55">
        <f t="shared" si="0"/>
        <v>0</v>
      </c>
    </row>
    <row r="38" spans="1:30" x14ac:dyDescent="0.2">
      <c r="A38" s="48"/>
      <c r="B38" s="48"/>
      <c r="C38" s="49"/>
      <c r="D38" s="50"/>
      <c r="E38" s="51"/>
      <c r="F38" s="52"/>
      <c r="G38" s="47"/>
      <c r="H38" s="47"/>
      <c r="I38" s="50"/>
      <c r="J38" s="53"/>
      <c r="K38" s="50"/>
      <c r="L38" s="47"/>
      <c r="M38" s="51"/>
      <c r="N38" s="51"/>
      <c r="O38" s="50"/>
      <c r="P38" s="50"/>
      <c r="Q38" s="52"/>
      <c r="R38" s="50"/>
      <c r="S38" s="50"/>
      <c r="T38" s="50"/>
      <c r="U38" s="50"/>
      <c r="V38" s="50"/>
      <c r="W38" s="50"/>
      <c r="X38" s="50"/>
      <c r="Y38" s="50"/>
      <c r="Z38" s="54"/>
      <c r="AA38" s="50"/>
      <c r="AB38" s="51"/>
      <c r="AC38" s="52"/>
      <c r="AD38" s="55">
        <f t="shared" si="0"/>
        <v>0</v>
      </c>
    </row>
    <row r="39" spans="1:30" x14ac:dyDescent="0.2">
      <c r="A39" s="48"/>
      <c r="B39" s="48"/>
      <c r="C39" s="49"/>
      <c r="D39" s="50"/>
      <c r="E39" s="51"/>
      <c r="F39" s="52"/>
      <c r="G39" s="47"/>
      <c r="H39" s="47"/>
      <c r="I39" s="50"/>
      <c r="J39" s="53"/>
      <c r="K39" s="50"/>
      <c r="L39" s="47"/>
      <c r="M39" s="51"/>
      <c r="N39" s="51"/>
      <c r="O39" s="50"/>
      <c r="P39" s="50"/>
      <c r="Q39" s="52"/>
      <c r="R39" s="50"/>
      <c r="S39" s="50"/>
      <c r="T39" s="50"/>
      <c r="U39" s="50"/>
      <c r="V39" s="50"/>
      <c r="W39" s="50"/>
      <c r="X39" s="50"/>
      <c r="Y39" s="50"/>
      <c r="Z39" s="54"/>
      <c r="AA39" s="50"/>
      <c r="AB39" s="51"/>
      <c r="AC39" s="52"/>
      <c r="AD39" s="55">
        <f t="shared" si="0"/>
        <v>0</v>
      </c>
    </row>
    <row r="40" spans="1:30" x14ac:dyDescent="0.2">
      <c r="A40" s="48"/>
      <c r="B40" s="48"/>
      <c r="C40" s="49"/>
      <c r="D40" s="50"/>
      <c r="E40" s="51"/>
      <c r="F40" s="52"/>
      <c r="G40" s="47"/>
      <c r="H40" s="47"/>
      <c r="I40" s="50"/>
      <c r="J40" s="53"/>
      <c r="K40" s="50"/>
      <c r="L40" s="47"/>
      <c r="M40" s="51"/>
      <c r="N40" s="51"/>
      <c r="O40" s="50"/>
      <c r="P40" s="50"/>
      <c r="Q40" s="52"/>
      <c r="R40" s="50"/>
      <c r="S40" s="50"/>
      <c r="T40" s="50"/>
      <c r="U40" s="50"/>
      <c r="V40" s="50"/>
      <c r="W40" s="50"/>
      <c r="X40" s="50"/>
      <c r="Y40" s="50"/>
      <c r="Z40" s="54"/>
      <c r="AA40" s="50"/>
      <c r="AB40" s="51"/>
      <c r="AC40" s="52"/>
      <c r="AD40" s="55">
        <f t="shared" si="0"/>
        <v>0</v>
      </c>
    </row>
    <row r="41" spans="1:30" x14ac:dyDescent="0.2">
      <c r="A41" s="48"/>
      <c r="B41" s="48"/>
      <c r="C41" s="49"/>
      <c r="D41" s="50"/>
      <c r="E41" s="51"/>
      <c r="F41" s="52"/>
      <c r="G41" s="47"/>
      <c r="H41" s="47"/>
      <c r="I41" s="50"/>
      <c r="J41" s="53"/>
      <c r="K41" s="50"/>
      <c r="L41" s="47"/>
      <c r="M41" s="51"/>
      <c r="N41" s="51"/>
      <c r="O41" s="50"/>
      <c r="P41" s="50"/>
      <c r="Q41" s="52"/>
      <c r="R41" s="50"/>
      <c r="S41" s="50"/>
      <c r="T41" s="50"/>
      <c r="U41" s="50"/>
      <c r="V41" s="50"/>
      <c r="W41" s="50"/>
      <c r="X41" s="50"/>
      <c r="Y41" s="50"/>
      <c r="Z41" s="54"/>
      <c r="AA41" s="50"/>
      <c r="AB41" s="51"/>
      <c r="AC41" s="52"/>
      <c r="AD41" s="55">
        <f t="shared" si="0"/>
        <v>0</v>
      </c>
    </row>
    <row r="42" spans="1:30" x14ac:dyDescent="0.2">
      <c r="A42" s="48"/>
      <c r="B42" s="48"/>
      <c r="C42" s="49"/>
      <c r="D42" s="50"/>
      <c r="E42" s="51"/>
      <c r="F42" s="52"/>
      <c r="G42" s="47"/>
      <c r="H42" s="47"/>
      <c r="I42" s="50"/>
      <c r="J42" s="53"/>
      <c r="K42" s="50"/>
      <c r="L42" s="47"/>
      <c r="M42" s="51"/>
      <c r="N42" s="51"/>
      <c r="O42" s="50"/>
      <c r="P42" s="50"/>
      <c r="Q42" s="52"/>
      <c r="R42" s="50"/>
      <c r="S42" s="50"/>
      <c r="T42" s="50"/>
      <c r="U42" s="50"/>
      <c r="V42" s="50"/>
      <c r="W42" s="50"/>
      <c r="X42" s="50"/>
      <c r="Y42" s="50"/>
      <c r="Z42" s="54"/>
      <c r="AA42" s="50"/>
      <c r="AB42" s="51"/>
      <c r="AC42" s="52"/>
      <c r="AD42" s="55">
        <f t="shared" si="0"/>
        <v>0</v>
      </c>
    </row>
    <row r="43" spans="1:30" x14ac:dyDescent="0.2">
      <c r="A43" s="48"/>
      <c r="B43" s="48"/>
      <c r="C43" s="49"/>
      <c r="D43" s="50"/>
      <c r="E43" s="51"/>
      <c r="F43" s="52"/>
      <c r="G43" s="47"/>
      <c r="H43" s="47"/>
      <c r="I43" s="50"/>
      <c r="J43" s="53"/>
      <c r="K43" s="50"/>
      <c r="L43" s="47"/>
      <c r="M43" s="51"/>
      <c r="N43" s="51"/>
      <c r="O43" s="50"/>
      <c r="P43" s="50"/>
      <c r="Q43" s="52"/>
      <c r="R43" s="50"/>
      <c r="S43" s="50"/>
      <c r="T43" s="50"/>
      <c r="U43" s="50"/>
      <c r="V43" s="50"/>
      <c r="W43" s="50"/>
      <c r="X43" s="50"/>
      <c r="Y43" s="50"/>
      <c r="Z43" s="54"/>
      <c r="AA43" s="50"/>
      <c r="AB43" s="51"/>
      <c r="AC43" s="52"/>
      <c r="AD43" s="55">
        <f t="shared" si="0"/>
        <v>0</v>
      </c>
    </row>
    <row r="44" spans="1:30" x14ac:dyDescent="0.2">
      <c r="A44" s="48"/>
      <c r="B44" s="48"/>
      <c r="C44" s="49"/>
      <c r="D44" s="50"/>
      <c r="E44" s="51"/>
      <c r="F44" s="52"/>
      <c r="G44" s="47"/>
      <c r="H44" s="47"/>
      <c r="I44" s="50"/>
      <c r="J44" s="53"/>
      <c r="K44" s="50"/>
      <c r="L44" s="47"/>
      <c r="M44" s="51"/>
      <c r="N44" s="51"/>
      <c r="O44" s="50"/>
      <c r="P44" s="50"/>
      <c r="Q44" s="52"/>
      <c r="R44" s="50"/>
      <c r="S44" s="50"/>
      <c r="T44" s="50"/>
      <c r="U44" s="50"/>
      <c r="V44" s="50"/>
      <c r="W44" s="50"/>
      <c r="X44" s="50"/>
      <c r="Y44" s="50"/>
      <c r="Z44" s="54"/>
      <c r="AA44" s="50"/>
      <c r="AB44" s="51"/>
      <c r="AC44" s="52"/>
      <c r="AD44" s="55">
        <f t="shared" si="0"/>
        <v>0</v>
      </c>
    </row>
    <row r="45" spans="1:30" x14ac:dyDescent="0.2">
      <c r="A45" s="48"/>
      <c r="B45" s="48"/>
      <c r="C45" s="49"/>
      <c r="D45" s="50"/>
      <c r="E45" s="51"/>
      <c r="F45" s="52"/>
      <c r="G45" s="47"/>
      <c r="H45" s="47"/>
      <c r="I45" s="50"/>
      <c r="J45" s="53"/>
      <c r="K45" s="50"/>
      <c r="L45" s="47"/>
      <c r="M45" s="51"/>
      <c r="N45" s="51"/>
      <c r="O45" s="50"/>
      <c r="P45" s="50"/>
      <c r="Q45" s="52"/>
      <c r="R45" s="50"/>
      <c r="S45" s="50"/>
      <c r="T45" s="50"/>
      <c r="U45" s="50"/>
      <c r="V45" s="50"/>
      <c r="W45" s="50"/>
      <c r="X45" s="50"/>
      <c r="Y45" s="50"/>
      <c r="Z45" s="54"/>
      <c r="AA45" s="50"/>
      <c r="AB45" s="51"/>
      <c r="AC45" s="52"/>
      <c r="AD45" s="55">
        <f t="shared" si="0"/>
        <v>0</v>
      </c>
    </row>
    <row r="46" spans="1:30" x14ac:dyDescent="0.2">
      <c r="A46" s="48"/>
      <c r="B46" s="48"/>
      <c r="C46" s="49"/>
      <c r="D46" s="50"/>
      <c r="E46" s="51"/>
      <c r="F46" s="52"/>
      <c r="G46" s="47"/>
      <c r="H46" s="47"/>
      <c r="I46" s="50"/>
      <c r="J46" s="53"/>
      <c r="K46" s="50"/>
      <c r="L46" s="47"/>
      <c r="M46" s="51"/>
      <c r="N46" s="51"/>
      <c r="O46" s="50"/>
      <c r="P46" s="50"/>
      <c r="Q46" s="52"/>
      <c r="R46" s="50"/>
      <c r="S46" s="50"/>
      <c r="T46" s="50"/>
      <c r="U46" s="50"/>
      <c r="V46" s="50"/>
      <c r="W46" s="50"/>
      <c r="X46" s="50"/>
      <c r="Y46" s="50"/>
      <c r="Z46" s="54"/>
      <c r="AA46" s="50"/>
      <c r="AB46" s="51"/>
      <c r="AC46" s="52"/>
      <c r="AD46" s="55">
        <f t="shared" si="0"/>
        <v>0</v>
      </c>
    </row>
    <row r="47" spans="1:30" x14ac:dyDescent="0.2">
      <c r="A47" s="48"/>
      <c r="B47" s="48"/>
      <c r="C47" s="49"/>
      <c r="D47" s="50"/>
      <c r="E47" s="51"/>
      <c r="F47" s="52"/>
      <c r="G47" s="47"/>
      <c r="H47" s="47"/>
      <c r="I47" s="50"/>
      <c r="J47" s="53"/>
      <c r="K47" s="50"/>
      <c r="L47" s="47"/>
      <c r="M47" s="51"/>
      <c r="N47" s="51"/>
      <c r="O47" s="50"/>
      <c r="P47" s="50"/>
      <c r="Q47" s="52"/>
      <c r="R47" s="50"/>
      <c r="S47" s="50"/>
      <c r="T47" s="50"/>
      <c r="U47" s="50"/>
      <c r="V47" s="50"/>
      <c r="W47" s="50"/>
      <c r="X47" s="50"/>
      <c r="Y47" s="50"/>
      <c r="Z47" s="54"/>
      <c r="AA47" s="50"/>
      <c r="AB47" s="51"/>
      <c r="AC47" s="52"/>
      <c r="AD47" s="55">
        <f t="shared" si="0"/>
        <v>0</v>
      </c>
    </row>
    <row r="48" spans="1:30" x14ac:dyDescent="0.2">
      <c r="A48" s="48"/>
      <c r="B48" s="48"/>
      <c r="C48" s="49"/>
      <c r="D48" s="50"/>
      <c r="E48" s="51"/>
      <c r="F48" s="52"/>
      <c r="G48" s="47"/>
      <c r="H48" s="47"/>
      <c r="I48" s="50"/>
      <c r="J48" s="53"/>
      <c r="K48" s="50"/>
      <c r="L48" s="47"/>
      <c r="M48" s="51"/>
      <c r="N48" s="51"/>
      <c r="O48" s="50"/>
      <c r="P48" s="50"/>
      <c r="Q48" s="52"/>
      <c r="R48" s="50"/>
      <c r="S48" s="50"/>
      <c r="T48" s="50"/>
      <c r="U48" s="50"/>
      <c r="V48" s="50"/>
      <c r="W48" s="50"/>
      <c r="X48" s="50"/>
      <c r="Y48" s="50"/>
      <c r="Z48" s="54"/>
      <c r="AA48" s="50"/>
      <c r="AB48" s="51"/>
      <c r="AC48" s="52"/>
      <c r="AD48" s="55">
        <f t="shared" si="0"/>
        <v>0</v>
      </c>
    </row>
    <row r="49" spans="1:30" x14ac:dyDescent="0.2">
      <c r="A49" s="48"/>
      <c r="B49" s="48"/>
      <c r="C49" s="49"/>
      <c r="D49" s="50"/>
      <c r="E49" s="51"/>
      <c r="F49" s="52"/>
      <c r="G49" s="47"/>
      <c r="H49" s="47"/>
      <c r="I49" s="50"/>
      <c r="J49" s="53"/>
      <c r="K49" s="50"/>
      <c r="L49" s="47"/>
      <c r="M49" s="51"/>
      <c r="N49" s="51"/>
      <c r="O49" s="50"/>
      <c r="P49" s="50"/>
      <c r="Q49" s="52"/>
      <c r="R49" s="50"/>
      <c r="S49" s="50"/>
      <c r="T49" s="50"/>
      <c r="U49" s="50"/>
      <c r="V49" s="50"/>
      <c r="W49" s="50"/>
      <c r="X49" s="50"/>
      <c r="Y49" s="50"/>
      <c r="Z49" s="54"/>
      <c r="AA49" s="50"/>
      <c r="AB49" s="51"/>
      <c r="AC49" s="52"/>
      <c r="AD49" s="55">
        <f t="shared" si="0"/>
        <v>0</v>
      </c>
    </row>
    <row r="50" spans="1:30" x14ac:dyDescent="0.2">
      <c r="A50" s="48"/>
      <c r="B50" s="48"/>
      <c r="C50" s="49"/>
      <c r="D50" s="50"/>
      <c r="E50" s="51"/>
      <c r="F50" s="52"/>
      <c r="G50" s="47"/>
      <c r="H50" s="47"/>
      <c r="I50" s="50"/>
      <c r="J50" s="53"/>
      <c r="K50" s="50"/>
      <c r="L50" s="47"/>
      <c r="M50" s="51"/>
      <c r="N50" s="51"/>
      <c r="O50" s="50"/>
      <c r="P50" s="50"/>
      <c r="Q50" s="52"/>
      <c r="R50" s="50"/>
      <c r="S50" s="50"/>
      <c r="T50" s="50"/>
      <c r="U50" s="50"/>
      <c r="V50" s="50"/>
      <c r="W50" s="50"/>
      <c r="X50" s="50"/>
      <c r="Y50" s="50"/>
      <c r="Z50" s="54"/>
      <c r="AA50" s="50"/>
      <c r="AB50" s="51"/>
      <c r="AC50" s="52"/>
      <c r="AD50" s="55">
        <f t="shared" si="0"/>
        <v>0</v>
      </c>
    </row>
    <row r="51" spans="1:30" x14ac:dyDescent="0.2">
      <c r="A51" s="48"/>
      <c r="B51" s="48"/>
      <c r="C51" s="49"/>
      <c r="D51" s="50"/>
      <c r="E51" s="51"/>
      <c r="F51" s="52"/>
      <c r="G51" s="47"/>
      <c r="H51" s="47"/>
      <c r="I51" s="50"/>
      <c r="J51" s="53"/>
      <c r="K51" s="50"/>
      <c r="L51" s="47"/>
      <c r="M51" s="51"/>
      <c r="N51" s="51"/>
      <c r="O51" s="50"/>
      <c r="P51" s="50"/>
      <c r="Q51" s="52"/>
      <c r="R51" s="50"/>
      <c r="S51" s="50"/>
      <c r="T51" s="50"/>
      <c r="U51" s="50"/>
      <c r="V51" s="50"/>
      <c r="W51" s="50"/>
      <c r="X51" s="50"/>
      <c r="Y51" s="50"/>
      <c r="Z51" s="54"/>
      <c r="AA51" s="50"/>
      <c r="AB51" s="51"/>
      <c r="AC51" s="52"/>
      <c r="AD51" s="55">
        <f t="shared" si="0"/>
        <v>0</v>
      </c>
    </row>
    <row r="52" spans="1:30" x14ac:dyDescent="0.2">
      <c r="A52" s="48"/>
      <c r="B52" s="48"/>
      <c r="C52" s="49"/>
      <c r="D52" s="50"/>
      <c r="E52" s="51"/>
      <c r="F52" s="52"/>
      <c r="G52" s="47"/>
      <c r="H52" s="47"/>
      <c r="I52" s="50"/>
      <c r="J52" s="53"/>
      <c r="K52" s="50"/>
      <c r="L52" s="47"/>
      <c r="M52" s="51"/>
      <c r="N52" s="51"/>
      <c r="O52" s="50"/>
      <c r="P52" s="50"/>
      <c r="Q52" s="52"/>
      <c r="R52" s="50"/>
      <c r="S52" s="50"/>
      <c r="T52" s="50"/>
      <c r="U52" s="50"/>
      <c r="V52" s="50"/>
      <c r="W52" s="50"/>
      <c r="X52" s="50"/>
      <c r="Y52" s="50"/>
      <c r="Z52" s="54"/>
      <c r="AA52" s="50"/>
      <c r="AB52" s="51"/>
      <c r="AC52" s="52"/>
      <c r="AD52" s="55">
        <f t="shared" si="0"/>
        <v>0</v>
      </c>
    </row>
    <row r="53" spans="1:30" x14ac:dyDescent="0.2">
      <c r="A53" s="48"/>
      <c r="B53" s="48"/>
      <c r="C53" s="49"/>
      <c r="D53" s="50"/>
      <c r="E53" s="51"/>
      <c r="F53" s="52"/>
      <c r="G53" s="47"/>
      <c r="H53" s="47"/>
      <c r="I53" s="50"/>
      <c r="J53" s="53"/>
      <c r="K53" s="50"/>
      <c r="L53" s="47"/>
      <c r="M53" s="51"/>
      <c r="N53" s="51"/>
      <c r="O53" s="50"/>
      <c r="P53" s="50"/>
      <c r="Q53" s="52"/>
      <c r="R53" s="50"/>
      <c r="S53" s="50"/>
      <c r="T53" s="50"/>
      <c r="U53" s="50"/>
      <c r="V53" s="50"/>
      <c r="W53" s="50"/>
      <c r="X53" s="50"/>
      <c r="Y53" s="50"/>
      <c r="Z53" s="54"/>
      <c r="AA53" s="50"/>
      <c r="AB53" s="51"/>
      <c r="AC53" s="52"/>
      <c r="AD53" s="55">
        <f t="shared" si="0"/>
        <v>0</v>
      </c>
    </row>
    <row r="54" spans="1:30" x14ac:dyDescent="0.2">
      <c r="A54" s="48"/>
      <c r="B54" s="48"/>
      <c r="C54" s="49"/>
      <c r="D54" s="50"/>
      <c r="E54" s="51"/>
      <c r="F54" s="52"/>
      <c r="G54" s="47"/>
      <c r="H54" s="47"/>
      <c r="I54" s="50"/>
      <c r="J54" s="53"/>
      <c r="K54" s="50"/>
      <c r="L54" s="47"/>
      <c r="M54" s="51"/>
      <c r="N54" s="51"/>
      <c r="O54" s="50"/>
      <c r="P54" s="50"/>
      <c r="Q54" s="52"/>
      <c r="R54" s="50"/>
      <c r="S54" s="50"/>
      <c r="T54" s="50"/>
      <c r="U54" s="50"/>
      <c r="V54" s="50"/>
      <c r="W54" s="50"/>
      <c r="X54" s="50"/>
      <c r="Y54" s="50"/>
      <c r="Z54" s="54"/>
      <c r="AA54" s="50"/>
      <c r="AB54" s="51"/>
      <c r="AC54" s="52"/>
      <c r="AD54" s="55">
        <f t="shared" si="0"/>
        <v>0</v>
      </c>
    </row>
    <row r="55" spans="1:30" x14ac:dyDescent="0.2">
      <c r="A55" s="48"/>
      <c r="B55" s="48"/>
      <c r="C55" s="49"/>
      <c r="D55" s="50"/>
      <c r="E55" s="51"/>
      <c r="F55" s="52"/>
      <c r="G55" s="47"/>
      <c r="H55" s="47"/>
      <c r="I55" s="50"/>
      <c r="J55" s="53"/>
      <c r="K55" s="50"/>
      <c r="L55" s="47"/>
      <c r="M55" s="51"/>
      <c r="N55" s="51"/>
      <c r="O55" s="50"/>
      <c r="P55" s="50"/>
      <c r="Q55" s="52"/>
      <c r="R55" s="50"/>
      <c r="S55" s="50"/>
      <c r="T55" s="50"/>
      <c r="U55" s="50"/>
      <c r="V55" s="50"/>
      <c r="W55" s="50"/>
      <c r="X55" s="50"/>
      <c r="Y55" s="50"/>
      <c r="Z55" s="54"/>
      <c r="AA55" s="50"/>
      <c r="AB55" s="51"/>
      <c r="AC55" s="52"/>
      <c r="AD55" s="55">
        <f t="shared" si="0"/>
        <v>0</v>
      </c>
    </row>
    <row r="56" spans="1:30" x14ac:dyDescent="0.2">
      <c r="A56" s="48"/>
      <c r="B56" s="48"/>
      <c r="C56" s="49"/>
      <c r="D56" s="50"/>
      <c r="E56" s="51"/>
      <c r="F56" s="52"/>
      <c r="G56" s="47"/>
      <c r="H56" s="47"/>
      <c r="I56" s="50"/>
      <c r="J56" s="53"/>
      <c r="K56" s="50"/>
      <c r="L56" s="47"/>
      <c r="M56" s="51"/>
      <c r="N56" s="51"/>
      <c r="O56" s="50"/>
      <c r="P56" s="50"/>
      <c r="Q56" s="52"/>
      <c r="R56" s="50"/>
      <c r="S56" s="50"/>
      <c r="T56" s="50"/>
      <c r="U56" s="50"/>
      <c r="V56" s="50"/>
      <c r="W56" s="50"/>
      <c r="X56" s="50"/>
      <c r="Y56" s="50"/>
      <c r="Z56" s="54"/>
      <c r="AA56" s="50"/>
      <c r="AB56" s="51"/>
      <c r="AC56" s="52"/>
      <c r="AD56" s="55">
        <f t="shared" si="0"/>
        <v>0</v>
      </c>
    </row>
    <row r="57" spans="1:30" x14ac:dyDescent="0.2">
      <c r="A57" s="48"/>
      <c r="B57" s="48"/>
      <c r="C57" s="49"/>
      <c r="D57" s="50"/>
      <c r="E57" s="51"/>
      <c r="F57" s="52"/>
      <c r="G57" s="47"/>
      <c r="H57" s="47"/>
      <c r="I57" s="50"/>
      <c r="J57" s="53"/>
      <c r="K57" s="50"/>
      <c r="L57" s="47"/>
      <c r="M57" s="51"/>
      <c r="N57" s="51"/>
      <c r="O57" s="50"/>
      <c r="P57" s="50"/>
      <c r="Q57" s="52"/>
      <c r="R57" s="50"/>
      <c r="S57" s="50"/>
      <c r="T57" s="50"/>
      <c r="U57" s="50"/>
      <c r="V57" s="50"/>
      <c r="W57" s="50"/>
      <c r="X57" s="50"/>
      <c r="Y57" s="50"/>
      <c r="Z57" s="54"/>
      <c r="AA57" s="50"/>
      <c r="AB57" s="51"/>
      <c r="AC57" s="52"/>
      <c r="AD57" s="55">
        <f t="shared" si="0"/>
        <v>0</v>
      </c>
    </row>
    <row r="58" spans="1:30" x14ac:dyDescent="0.2">
      <c r="A58" s="48"/>
      <c r="B58" s="48"/>
      <c r="C58" s="49"/>
      <c r="D58" s="50"/>
      <c r="E58" s="51"/>
      <c r="F58" s="52"/>
      <c r="G58" s="47"/>
      <c r="H58" s="47"/>
      <c r="I58" s="50"/>
      <c r="J58" s="53"/>
      <c r="K58" s="50"/>
      <c r="L58" s="47"/>
      <c r="M58" s="51"/>
      <c r="N58" s="51"/>
      <c r="O58" s="50"/>
      <c r="P58" s="50"/>
      <c r="Q58" s="52"/>
      <c r="R58" s="50"/>
      <c r="S58" s="50"/>
      <c r="T58" s="50"/>
      <c r="U58" s="50"/>
      <c r="V58" s="50"/>
      <c r="W58" s="50"/>
      <c r="X58" s="50"/>
      <c r="Y58" s="50"/>
      <c r="Z58" s="54"/>
      <c r="AA58" s="50"/>
      <c r="AB58" s="51"/>
      <c r="AC58" s="52"/>
      <c r="AD58" s="55">
        <f t="shared" si="0"/>
        <v>0</v>
      </c>
    </row>
    <row r="59" spans="1:30" x14ac:dyDescent="0.2">
      <c r="A59" s="48"/>
      <c r="B59" s="48"/>
      <c r="C59" s="49"/>
      <c r="D59" s="50"/>
      <c r="E59" s="51"/>
      <c r="F59" s="52"/>
      <c r="G59" s="47"/>
      <c r="H59" s="47"/>
      <c r="I59" s="50"/>
      <c r="J59" s="53"/>
      <c r="K59" s="50"/>
      <c r="L59" s="47"/>
      <c r="M59" s="51"/>
      <c r="N59" s="51"/>
      <c r="O59" s="50"/>
      <c r="P59" s="50"/>
      <c r="Q59" s="52"/>
      <c r="R59" s="50"/>
      <c r="S59" s="50"/>
      <c r="T59" s="50"/>
      <c r="U59" s="50"/>
      <c r="V59" s="50"/>
      <c r="W59" s="50"/>
      <c r="X59" s="50"/>
      <c r="Y59" s="50"/>
      <c r="Z59" s="54"/>
      <c r="AA59" s="50"/>
      <c r="AB59" s="51"/>
      <c r="AC59" s="52"/>
      <c r="AD59" s="55">
        <f t="shared" si="0"/>
        <v>0</v>
      </c>
    </row>
    <row r="60" spans="1:30" x14ac:dyDescent="0.2">
      <c r="A60" s="48"/>
      <c r="B60" s="48"/>
      <c r="C60" s="49"/>
      <c r="D60" s="50"/>
      <c r="E60" s="51"/>
      <c r="F60" s="52"/>
      <c r="G60" s="47"/>
      <c r="H60" s="47"/>
      <c r="I60" s="50"/>
      <c r="J60" s="53"/>
      <c r="K60" s="50"/>
      <c r="L60" s="47"/>
      <c r="M60" s="51"/>
      <c r="N60" s="51"/>
      <c r="O60" s="50"/>
      <c r="P60" s="50"/>
      <c r="Q60" s="52"/>
      <c r="R60" s="50"/>
      <c r="S60" s="50"/>
      <c r="T60" s="50"/>
      <c r="U60" s="50"/>
      <c r="V60" s="50"/>
      <c r="W60" s="50"/>
      <c r="X60" s="50"/>
      <c r="Y60" s="50"/>
      <c r="Z60" s="54"/>
      <c r="AA60" s="50"/>
      <c r="AB60" s="51"/>
      <c r="AC60" s="52"/>
      <c r="AD60" s="55">
        <f t="shared" si="0"/>
        <v>0</v>
      </c>
    </row>
    <row r="61" spans="1:30" x14ac:dyDescent="0.2">
      <c r="A61" s="48"/>
      <c r="B61" s="48"/>
      <c r="C61" s="49"/>
      <c r="D61" s="50"/>
      <c r="E61" s="51"/>
      <c r="F61" s="52"/>
      <c r="G61" s="47"/>
      <c r="H61" s="47"/>
      <c r="I61" s="50"/>
      <c r="J61" s="53"/>
      <c r="K61" s="50"/>
      <c r="L61" s="47"/>
      <c r="M61" s="51"/>
      <c r="N61" s="51"/>
      <c r="O61" s="50"/>
      <c r="P61" s="50"/>
      <c r="Q61" s="52"/>
      <c r="R61" s="50"/>
      <c r="S61" s="50"/>
      <c r="T61" s="50"/>
      <c r="U61" s="50"/>
      <c r="V61" s="50"/>
      <c r="W61" s="50"/>
      <c r="X61" s="50"/>
      <c r="Y61" s="50"/>
      <c r="Z61" s="54"/>
      <c r="AA61" s="50"/>
      <c r="AB61" s="51"/>
      <c r="AC61" s="52"/>
      <c r="AD61" s="55">
        <f t="shared" si="0"/>
        <v>0</v>
      </c>
    </row>
  </sheetData>
  <mergeCells count="6">
    <mergeCell ref="A1:AD2"/>
    <mergeCell ref="D3:F3"/>
    <mergeCell ref="AF3:AG4"/>
    <mergeCell ref="AD4:AD5"/>
    <mergeCell ref="U5:Y5"/>
    <mergeCell ref="AF5:AG5"/>
  </mergeCells>
  <conditionalFormatting sqref="AA7:AA61">
    <cfRule type="expression" dxfId="3" priority="3">
      <formula>AND(NOT(ISBLANK(Z7)),ISBLANK(AA7))</formula>
    </cfRule>
  </conditionalFormatting>
  <conditionalFormatting sqref="AD4:AD5">
    <cfRule type="cellIs" dxfId="2" priority="1" operator="greaterThan">
      <formula>0</formula>
    </cfRule>
  </conditionalFormatting>
  <conditionalFormatting sqref="AD7:AD61">
    <cfRule type="cellIs" dxfId="1" priority="4" operator="lessThan">
      <formula>0</formula>
    </cfRule>
  </conditionalFormatting>
  <conditionalFormatting sqref="AF5:AG5">
    <cfRule type="cellIs" dxfId="0" priority="2" operator="lessThan">
      <formula>0</formula>
    </cfRule>
  </conditionalFormatting>
  <dataValidations count="1">
    <dataValidation type="list" allowBlank="1" showInputMessage="1" showErrorMessage="1" sqref="AA7:AA61" xr:uid="{F8A8CBA6-24C0-42CB-86FF-37C9706A1F4D}">
      <formula1>"Approved, Completed, Not Approved, Cancelled"</formula1>
    </dataValidation>
  </dataValidations>
  <pageMargins left="0.25" right="0.25" top="0.75" bottom="0.75" header="0.3" footer="0.3"/>
  <pageSetup paperSize="124" scale="18" orientation="landscape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5CA6DDFF826A4A98C7F259192758CC" ma:contentTypeVersion="4" ma:contentTypeDescription="Create a new document." ma:contentTypeScope="" ma:versionID="85224ea998e3a198372e3a43b5d0ed03">
  <xsd:schema xmlns:xsd="http://www.w3.org/2001/XMLSchema" xmlns:xs="http://www.w3.org/2001/XMLSchema" xmlns:p="http://schemas.microsoft.com/office/2006/metadata/properties" xmlns:ns2="6a49e206-f4f3-495f-b3ef-87de811cb9d6" targetNamespace="http://schemas.microsoft.com/office/2006/metadata/properties" ma:root="true" ma:fieldsID="e6445aa581834a988541fb0f881dd946" ns2:_="">
    <xsd:import namespace="6a49e206-f4f3-495f-b3ef-87de811cb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49e206-f4f3-495f-b3ef-87de811cb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3D9B2F-6F3E-43BF-AEA9-2CCE4910E73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40C954C-BAC3-490A-835B-CC8BFF0543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49e206-f4f3-495f-b3ef-87de811cb9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919C17-1E01-47A1-8F71-163CC5565C5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Example</vt:lpstr>
      <vt:lpstr>1st Year</vt:lpstr>
      <vt:lpstr>2nd Year</vt:lpstr>
      <vt:lpstr>3rd Year</vt:lpstr>
      <vt:lpstr>4th Year</vt:lpstr>
      <vt:lpstr>5th Year</vt:lpstr>
      <vt:lpstr>'1st Year'!SO_Status</vt:lpstr>
      <vt:lpstr>'2nd Year'!SO_Status</vt:lpstr>
      <vt:lpstr>'3rd Year'!SO_Status</vt:lpstr>
      <vt:lpstr>'4th Year'!SO_Status</vt:lpstr>
      <vt:lpstr>'5th Year'!SO_Status</vt:lpstr>
      <vt:lpstr>SO_Status</vt:lpstr>
    </vt:vector>
  </TitlesOfParts>
  <Manager/>
  <Company>LVW Electronics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Michael.D.Bailey@usace.army.mil</dc:creator>
  <cp:keywords/>
  <dc:description/>
  <cp:lastModifiedBy>Parvin, Robert M CIV USARMY ACC MICC (USA)</cp:lastModifiedBy>
  <cp:revision/>
  <dcterms:created xsi:type="dcterms:W3CDTF">2012-04-11T07:32:46Z</dcterms:created>
  <dcterms:modified xsi:type="dcterms:W3CDTF">2025-12-22T21:47:24Z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0x0101002E5CA6DDFF826A4A98C7F259192758CC</vt:lpwstr>
  </property>
</Properties>
</file>