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anisha_a_bush_civ_army_mil/Documents/Documents/00 My Contracts/ACES/POSTING/"/>
    </mc:Choice>
  </mc:AlternateContent>
  <xr:revisionPtr revIDLastSave="1" documentId="14_{1A0D240F-81F2-4E28-BBC4-B56DC1B65894}" xr6:coauthVersionLast="47" xr6:coauthVersionMax="47" xr10:uidLastSave="{F63E1562-81CD-4599-B527-410C30C3FA39}"/>
  <bookViews>
    <workbookView xWindow="-108" yWindow="-84" windowWidth="23256" windowHeight="12432" xr2:uid="{FFA35903-D505-49D5-9C40-E94ED1BDCF8F}"/>
  </bookViews>
  <sheets>
    <sheet name="Draft Level of Eff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94" i="1"/>
  <c r="E102" i="1" l="1"/>
  <c r="AC56" i="1"/>
  <c r="AA103" i="1"/>
  <c r="Y102" i="1"/>
  <c r="Y103" i="1" s="1"/>
  <c r="W102" i="1"/>
  <c r="W103" i="1" s="1"/>
  <c r="K101" i="1"/>
  <c r="AB100" i="1"/>
  <c r="AC100" i="1" s="1"/>
  <c r="AC99" i="1"/>
  <c r="A97" i="1"/>
  <c r="AB96" i="1"/>
  <c r="AC96" i="1" s="1"/>
  <c r="U94" i="1"/>
  <c r="O94" i="1"/>
  <c r="O102" i="1" s="1"/>
  <c r="O103" i="1" s="1"/>
  <c r="M94" i="1"/>
  <c r="K94" i="1"/>
  <c r="I94" i="1"/>
  <c r="G94" i="1"/>
  <c r="C94" i="1"/>
  <c r="AB93" i="1"/>
  <c r="AC93" i="1" s="1"/>
  <c r="AB92" i="1"/>
  <c r="AC92" i="1" s="1"/>
  <c r="AB90" i="1"/>
  <c r="AC90" i="1" s="1"/>
  <c r="AB88" i="1"/>
  <c r="AC88" i="1" s="1"/>
  <c r="AC86" i="1"/>
  <c r="AB86" i="1"/>
  <c r="U84" i="1"/>
  <c r="S84" i="1"/>
  <c r="R84" i="1"/>
  <c r="K84" i="1"/>
  <c r="G84" i="1"/>
  <c r="C84" i="1"/>
  <c r="AB83" i="1"/>
  <c r="AC83" i="1" s="1"/>
  <c r="AB82" i="1"/>
  <c r="AC82" i="1" s="1"/>
  <c r="O81" i="1"/>
  <c r="U80" i="1"/>
  <c r="S80" i="1"/>
  <c r="S102" i="1" s="1"/>
  <c r="S103" i="1" s="1"/>
  <c r="R80" i="1"/>
  <c r="O80" i="1"/>
  <c r="M80" i="1"/>
  <c r="I80" i="1"/>
  <c r="E80" i="1"/>
  <c r="AB80" i="1" s="1"/>
  <c r="AC80" i="1" s="1"/>
  <c r="C80" i="1"/>
  <c r="AB79" i="1"/>
  <c r="AC79" i="1" s="1"/>
  <c r="AB78" i="1"/>
  <c r="AC78" i="1" s="1"/>
  <c r="E77" i="1"/>
  <c r="AB76" i="1"/>
  <c r="AC76" i="1" s="1"/>
  <c r="O75" i="1"/>
  <c r="U74" i="1"/>
  <c r="S74" i="1"/>
  <c r="R74" i="1"/>
  <c r="R102" i="1" s="1"/>
  <c r="R103" i="1" s="1"/>
  <c r="O74" i="1"/>
  <c r="M74" i="1"/>
  <c r="K74" i="1"/>
  <c r="I74" i="1"/>
  <c r="G74" i="1"/>
  <c r="E74" i="1"/>
  <c r="C74" i="1"/>
  <c r="AB73" i="1"/>
  <c r="AC73" i="1" s="1"/>
  <c r="AB72" i="1"/>
  <c r="AC72" i="1" s="1"/>
  <c r="U70" i="1"/>
  <c r="O70" i="1"/>
  <c r="K70" i="1"/>
  <c r="I70" i="1"/>
  <c r="E70" i="1"/>
  <c r="C70" i="1"/>
  <c r="AB69" i="1"/>
  <c r="AC69" i="1" s="1"/>
  <c r="AB68" i="1"/>
  <c r="AC68" i="1" s="1"/>
  <c r="AB67" i="1"/>
  <c r="AC67" i="1" s="1"/>
  <c r="AB66" i="1"/>
  <c r="AC66" i="1" s="1"/>
  <c r="AB65" i="1"/>
  <c r="AC65" i="1" s="1"/>
  <c r="AB63" i="1"/>
  <c r="AC63" i="1" s="1"/>
  <c r="AB62" i="1"/>
  <c r="AC62" i="1" s="1"/>
  <c r="AB61" i="1"/>
  <c r="AC61" i="1" s="1"/>
  <c r="K60" i="1"/>
  <c r="U59" i="1"/>
  <c r="O59" i="1"/>
  <c r="M59" i="1"/>
  <c r="K59" i="1"/>
  <c r="I59" i="1"/>
  <c r="E59" i="1"/>
  <c r="C59" i="1"/>
  <c r="AB58" i="1"/>
  <c r="AC58" i="1" s="1"/>
  <c r="AB57" i="1"/>
  <c r="AC57" i="1" s="1"/>
  <c r="AB56" i="1"/>
  <c r="AB55" i="1"/>
  <c r="AC55" i="1" s="1"/>
  <c r="AB53" i="1"/>
  <c r="AC53" i="1" s="1"/>
  <c r="U51" i="1"/>
  <c r="Q51" i="1"/>
  <c r="O51" i="1"/>
  <c r="M51" i="1"/>
  <c r="K51" i="1"/>
  <c r="I51" i="1"/>
  <c r="G51" i="1"/>
  <c r="C51" i="1"/>
  <c r="AB51" i="1" s="1"/>
  <c r="AC51" i="1" s="1"/>
  <c r="AB50" i="1"/>
  <c r="AC50" i="1" s="1"/>
  <c r="AB49" i="1"/>
  <c r="AC49" i="1" s="1"/>
  <c r="U47" i="1"/>
  <c r="O47" i="1"/>
  <c r="M47" i="1"/>
  <c r="K47" i="1"/>
  <c r="I47" i="1"/>
  <c r="G47" i="1"/>
  <c r="E47" i="1"/>
  <c r="C47" i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39" i="1"/>
  <c r="AC39" i="1" s="1"/>
  <c r="AB38" i="1"/>
  <c r="AC38" i="1" s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U29" i="1"/>
  <c r="Q29" i="1"/>
  <c r="O29" i="1"/>
  <c r="M29" i="1"/>
  <c r="M30" i="1" s="1"/>
  <c r="I29" i="1"/>
  <c r="C29" i="1"/>
  <c r="AB29" i="1" s="1"/>
  <c r="AC29" i="1" s="1"/>
  <c r="AB28" i="1"/>
  <c r="AC28" i="1" s="1"/>
  <c r="AB27" i="1"/>
  <c r="AC27" i="1" s="1"/>
  <c r="AB25" i="1"/>
  <c r="AC25" i="1" s="1"/>
  <c r="AB24" i="1"/>
  <c r="AC24" i="1" s="1"/>
  <c r="AB23" i="1"/>
  <c r="AC23" i="1" s="1"/>
  <c r="M22" i="1"/>
  <c r="C22" i="1"/>
  <c r="U21" i="1"/>
  <c r="Q21" i="1"/>
  <c r="O21" i="1"/>
  <c r="M21" i="1"/>
  <c r="K21" i="1"/>
  <c r="I21" i="1"/>
  <c r="E21" i="1"/>
  <c r="C21" i="1"/>
  <c r="AB20" i="1"/>
  <c r="AC20" i="1" s="1"/>
  <c r="C19" i="1"/>
  <c r="U18" i="1"/>
  <c r="O18" i="1"/>
  <c r="M18" i="1"/>
  <c r="K18" i="1"/>
  <c r="I18" i="1"/>
  <c r="E18" i="1"/>
  <c r="C18" i="1"/>
  <c r="AB17" i="1"/>
  <c r="AC17" i="1" s="1"/>
  <c r="AB16" i="1"/>
  <c r="AC16" i="1" s="1"/>
  <c r="AB14" i="1"/>
  <c r="AC14" i="1" s="1"/>
  <c r="U12" i="1"/>
  <c r="O12" i="1"/>
  <c r="M12" i="1"/>
  <c r="K12" i="1"/>
  <c r="I12" i="1"/>
  <c r="G12" i="1"/>
  <c r="E12" i="1"/>
  <c r="C12" i="1"/>
  <c r="AB11" i="1"/>
  <c r="AC11" i="1" s="1"/>
  <c r="AB10" i="1"/>
  <c r="AC10" i="1" s="1"/>
  <c r="AB9" i="1"/>
  <c r="U8" i="1"/>
  <c r="O8" i="1"/>
  <c r="M8" i="1"/>
  <c r="K8" i="1"/>
  <c r="I8" i="1"/>
  <c r="G8" i="1"/>
  <c r="E8" i="1"/>
  <c r="C8" i="1"/>
  <c r="AB7" i="1"/>
  <c r="AC7" i="1" s="1"/>
  <c r="AB6" i="1"/>
  <c r="AC6" i="1" s="1"/>
  <c r="AB5" i="1"/>
  <c r="AC5" i="1" s="1"/>
  <c r="AB4" i="1"/>
  <c r="AC4" i="1" s="1"/>
  <c r="AC47" i="1" l="1"/>
  <c r="AC91" i="1"/>
  <c r="K102" i="1"/>
  <c r="K103" i="1" s="1"/>
  <c r="E103" i="1"/>
  <c r="AB59" i="1"/>
  <c r="AC59" i="1" s="1"/>
  <c r="I102" i="1"/>
  <c r="I103" i="1" s="1"/>
  <c r="AB12" i="1"/>
  <c r="AC12" i="1" s="1"/>
  <c r="AB70" i="1"/>
  <c r="AC70" i="1" s="1"/>
  <c r="M102" i="1"/>
  <c r="M103" i="1" s="1"/>
  <c r="AB47" i="1"/>
  <c r="Q102" i="1"/>
  <c r="Q103" i="1" s="1"/>
  <c r="AB74" i="1"/>
  <c r="AC74" i="1" s="1"/>
  <c r="AB84" i="1"/>
  <c r="AC84" i="1" s="1"/>
  <c r="C102" i="1"/>
  <c r="C103" i="1" s="1"/>
  <c r="AB21" i="1"/>
  <c r="AC21" i="1" s="1"/>
  <c r="U102" i="1"/>
  <c r="U103" i="1" s="1"/>
  <c r="AB18" i="1"/>
  <c r="AC18" i="1" s="1"/>
  <c r="AB8" i="1"/>
  <c r="AC8" i="1" s="1"/>
  <c r="G102" i="1"/>
  <c r="G103" i="1" s="1"/>
  <c r="AB94" i="1"/>
  <c r="AC94" i="1" s="1"/>
  <c r="AC102" i="1" l="1"/>
  <c r="AB102" i="1"/>
  <c r="AB103" i="1" s="1"/>
</calcChain>
</file>

<file path=xl/sharedStrings.xml><?xml version="1.0" encoding="utf-8"?>
<sst xmlns="http://schemas.openxmlformats.org/spreadsheetml/2006/main" count="807" uniqueCount="181">
  <si>
    <t>U.S Army Hubs &amp; Garrisons</t>
  </si>
  <si>
    <t>Reception &amp; Admin Support</t>
  </si>
  <si>
    <t>Counseling Support</t>
  </si>
  <si>
    <t>Automation &amp; Tech Support</t>
  </si>
  <si>
    <t>Test Examiner Support</t>
  </si>
  <si>
    <t>Instructor Support</t>
  </si>
  <si>
    <t>Multi-Use Learning Facility Coordinator Support Services</t>
  </si>
  <si>
    <t>Career Skills Program Installation Administator Support Services</t>
  </si>
  <si>
    <t>Assistant Program Management Support HQ IMCOM</t>
  </si>
  <si>
    <t>Project Analyst Support HQ  IMCOM (CSP)</t>
  </si>
  <si>
    <t>Project Analyst  Support HQ  IMCOM</t>
  </si>
  <si>
    <t>CA Counselor Support</t>
  </si>
  <si>
    <t>Program Manager</t>
  </si>
  <si>
    <t>Alternate Program Manager</t>
  </si>
  <si>
    <t>Regional Program Manager</t>
  </si>
  <si>
    <t>Hours</t>
  </si>
  <si>
    <t>CME</t>
  </si>
  <si>
    <t>Operating Hours</t>
  </si>
  <si>
    <t>Operating Hrs/Yr 1600</t>
  </si>
  <si>
    <t>Operating Hrs/Yr</t>
  </si>
  <si>
    <t>Fort Benning, GA</t>
  </si>
  <si>
    <t>0730-1700 (M-F)</t>
  </si>
  <si>
    <t>0730-1700 40 hrs M-F</t>
  </si>
  <si>
    <t>NA</t>
  </si>
  <si>
    <t>0800-1700 (M-F)</t>
  </si>
  <si>
    <t xml:space="preserve">     Fort Rucker, AL</t>
  </si>
  <si>
    <t>0730-1630 (M-F)</t>
  </si>
  <si>
    <t xml:space="preserve">     Eglin AFB, FL</t>
  </si>
  <si>
    <t xml:space="preserve">0800-1630 (M-F) </t>
  </si>
  <si>
    <t xml:space="preserve">     Redstone Arsenal, AL</t>
  </si>
  <si>
    <t>0700-1630 (M-F)</t>
  </si>
  <si>
    <t>Fort Benning HUB Total</t>
  </si>
  <si>
    <t xml:space="preserve">Fort Bliss, TX                                               </t>
  </si>
  <si>
    <t xml:space="preserve">      White Sands Missile Range, NM</t>
  </si>
  <si>
    <t>Fort Bliss Hub</t>
  </si>
  <si>
    <t xml:space="preserve">Fort Bragg, NC </t>
  </si>
  <si>
    <t>State Funded</t>
  </si>
  <si>
    <t>0800-1700</t>
  </si>
  <si>
    <t xml:space="preserve">Fort Campbell, KY                   </t>
  </si>
  <si>
    <t>0630-2230 (M-F)</t>
  </si>
  <si>
    <t>0730-1600 (M-F)</t>
  </si>
  <si>
    <t xml:space="preserve">0730-2230 M-F </t>
  </si>
  <si>
    <t xml:space="preserve">     Soto Cano, Honduras</t>
  </si>
  <si>
    <t>1700-2100 M-F</t>
  </si>
  <si>
    <t>Fort Campbell HUB Total</t>
  </si>
  <si>
    <t>Fort Carson, CO</t>
  </si>
  <si>
    <t>0730-1630 (M-F) &amp; 0630-1130 M-F)</t>
  </si>
  <si>
    <t>0730-1630 &amp; 0730-1130 (M-F)</t>
  </si>
  <si>
    <t>0900-1000 &amp; 1300-1600 (M-TH)</t>
  </si>
  <si>
    <t>0730-2100 (M-F)  1 only from 1800-2100</t>
  </si>
  <si>
    <t>Fort Carson HUB Total</t>
  </si>
  <si>
    <t xml:space="preserve">Fort Detrick                                              </t>
  </si>
  <si>
    <t>0830-1630 M,W,TH</t>
  </si>
  <si>
    <t>0830-1630 M&amp;T</t>
  </si>
  <si>
    <t>0830-1630 (M-F)</t>
  </si>
  <si>
    <t>Fort Drum</t>
  </si>
  <si>
    <t>0800-1630 (M-F)</t>
  </si>
  <si>
    <t>0830-2130 (M-F)</t>
  </si>
  <si>
    <t>0800-1000 M-F</t>
  </si>
  <si>
    <t xml:space="preserve">Fort Hood, Tx                                      </t>
  </si>
  <si>
    <t>0630-1530, 0730-1630 &amp; 1300-2200 (M-F)</t>
  </si>
  <si>
    <t>Fort Huachuca, AZ</t>
  </si>
  <si>
    <t>0800-1600 M-Th 0800-1000 F</t>
  </si>
  <si>
    <t>1330-2130 M-Th</t>
  </si>
  <si>
    <t>0800-1600 (M-F)</t>
  </si>
  <si>
    <t xml:space="preserve">     Yuma Proving Ground, AZ</t>
  </si>
  <si>
    <t>0800-1000 M-Th</t>
  </si>
  <si>
    <t>1100-1700 Th</t>
  </si>
  <si>
    <t>1300-1630 M-W</t>
  </si>
  <si>
    <t>Fort Huachuca HUB Total</t>
  </si>
  <si>
    <t xml:space="preserve">Detroit Arsenal, MI                              </t>
  </si>
  <si>
    <t>0730-1600 M-F</t>
  </si>
  <si>
    <t xml:space="preserve">Fort Irwin, CA                                           </t>
  </si>
  <si>
    <t xml:space="preserve">Fort Jackson, SC                                     </t>
  </si>
  <si>
    <t>0730-1700 M-F</t>
  </si>
  <si>
    <t>0730-1700</t>
  </si>
  <si>
    <t>St/Partial</t>
  </si>
  <si>
    <t>1000-1600 (M-F)</t>
  </si>
  <si>
    <t xml:space="preserve">Fort Knox, KY                                     </t>
  </si>
  <si>
    <t xml:space="preserve">Fort Leavenworth, KS </t>
  </si>
  <si>
    <t>0800-1500 (T-F)</t>
  </si>
  <si>
    <t>0700-1400 (T-W) &amp; 0700-1300 (TH)</t>
  </si>
  <si>
    <t xml:space="preserve">Fort Leonard Wood, MO                     </t>
  </si>
  <si>
    <t xml:space="preserve">0800-1700 (M-F) </t>
  </si>
  <si>
    <t>1300-1700 (M-F)</t>
  </si>
  <si>
    <t>0800-1000 (M-F)</t>
  </si>
  <si>
    <t xml:space="preserve">0800-1000 (M-F) </t>
  </si>
  <si>
    <t xml:space="preserve">Fort Polk, LA                                              </t>
  </si>
  <si>
    <t xml:space="preserve">Fort Riley, KS                                                  </t>
  </si>
  <si>
    <t>0700-1700</t>
  </si>
  <si>
    <t>0700-1700 M-F</t>
  </si>
  <si>
    <t>1800-2300 (M-F)</t>
  </si>
  <si>
    <t xml:space="preserve">Fort Sill, OK                                              </t>
  </si>
  <si>
    <t>Fort Stewart, GA</t>
  </si>
  <si>
    <t>0730-1630 (Mon-Fri)</t>
  </si>
  <si>
    <t>0730-1630 (M-F)                      0800-1000 (M-F)</t>
  </si>
  <si>
    <t>0730-2230 (M-Th) 0700-2100 (F)                              0800 -1400 (S)</t>
  </si>
  <si>
    <t xml:space="preserve">     Fort Buchanan, PR</t>
  </si>
  <si>
    <t xml:space="preserve">     Fort Gordon, GA</t>
  </si>
  <si>
    <t>0730-1630 (T-Th)</t>
  </si>
  <si>
    <t xml:space="preserve">     Hunter Army Airfield, GA</t>
  </si>
  <si>
    <t>0730-2230 (M-Th)    0700-2100 (F)                               0800-1400 (S)</t>
  </si>
  <si>
    <t xml:space="preserve">     USAG Miami, FL</t>
  </si>
  <si>
    <t xml:space="preserve">     MacDill AFB, FL</t>
  </si>
  <si>
    <t>Fort Stewart HUB total</t>
  </si>
  <si>
    <t>Joint Base Langley - Eustis, VA</t>
  </si>
  <si>
    <t>0900-1600 (M-F)</t>
  </si>
  <si>
    <t>1500-2200 (M-Th)</t>
  </si>
  <si>
    <t xml:space="preserve">     Fort Lee, VA                                             </t>
  </si>
  <si>
    <t xml:space="preserve">0800-1630 (T-W-Th) </t>
  </si>
  <si>
    <t>0800-1200 (M-F)</t>
  </si>
  <si>
    <t>JBLE HUB Total</t>
  </si>
  <si>
    <t xml:space="preserve">Joint Base Lewis-McCord, WA        </t>
  </si>
  <si>
    <t>0700-1600 (M-F)</t>
  </si>
  <si>
    <t>0700-1800 (M-F)</t>
  </si>
  <si>
    <t>Joint Base Myer-Henderson Hall</t>
  </si>
  <si>
    <t xml:space="preserve">     Fort Belvoir, VA</t>
  </si>
  <si>
    <t xml:space="preserve">0700-1530 (M-F) </t>
  </si>
  <si>
    <t>0700-1530 (M-F)</t>
  </si>
  <si>
    <t xml:space="preserve">     Fort Meade, MD</t>
  </si>
  <si>
    <t xml:space="preserve">     Pentagon</t>
  </si>
  <si>
    <t>JBMHH HUB Total</t>
  </si>
  <si>
    <t>0700-1530</t>
  </si>
  <si>
    <t xml:space="preserve">Joint Base San Antonio, FSH               </t>
  </si>
  <si>
    <t>0730-1600</t>
  </si>
  <si>
    <t xml:space="preserve">0730-1130 (M-F) </t>
  </si>
  <si>
    <t>Presidio of Monterey, CA</t>
  </si>
  <si>
    <t xml:space="preserve"> Varies 0800-1300 1400-1700</t>
  </si>
  <si>
    <t xml:space="preserve">Rock Island Arsenal, IL                          </t>
  </si>
  <si>
    <t>1000-1400 (M-F)</t>
  </si>
  <si>
    <t>West Point, NY</t>
  </si>
  <si>
    <t>M-TH, 1750-2130</t>
  </si>
  <si>
    <t>M-TH, 0800-1400</t>
  </si>
  <si>
    <t>M-TH, 1230-1630</t>
  </si>
  <si>
    <t xml:space="preserve">     Aberdeen Proving Ground, MD</t>
  </si>
  <si>
    <t>M,W,F, 0800-1630</t>
  </si>
  <si>
    <t>M,TU,W, 0800-1300</t>
  </si>
  <si>
    <t xml:space="preserve">     Carlisle Barracks, PA</t>
  </si>
  <si>
    <t>TU&amp;TH, 0800-1400</t>
  </si>
  <si>
    <t xml:space="preserve">     Fort Dix, NJ</t>
  </si>
  <si>
    <t>M, TU,TH, 0800-1600</t>
  </si>
  <si>
    <t>W, 0800-1700</t>
  </si>
  <si>
    <t xml:space="preserve">     Fort Hamilton, NY</t>
  </si>
  <si>
    <t>M,TU,W, 0800-1630</t>
  </si>
  <si>
    <t>West Point HUB Total</t>
  </si>
  <si>
    <t>Fort Wainwright, AK</t>
  </si>
  <si>
    <t>(M-F) 0800-1300 1400-1700</t>
  </si>
  <si>
    <t>0730-1000 (M-TH)</t>
  </si>
  <si>
    <t>0900-1000 (M-F)</t>
  </si>
  <si>
    <t xml:space="preserve">1300-2200 (M-F) </t>
  </si>
  <si>
    <t xml:space="preserve">     Fort Greely, AK</t>
  </si>
  <si>
    <t>0900-1400 (M-F)</t>
  </si>
  <si>
    <t>Fort Wainwright HUB Total</t>
  </si>
  <si>
    <t>Joint Base Elmendorf-Richardson, AK</t>
  </si>
  <si>
    <t>0730-1500  (M-F)</t>
  </si>
  <si>
    <t>0800-1000 (T-W)</t>
  </si>
  <si>
    <t>Schofield Barracks, HI</t>
  </si>
  <si>
    <t>0830-1700 (M-F</t>
  </si>
  <si>
    <t>0830-1700 (M-F)</t>
  </si>
  <si>
    <t xml:space="preserve">     Tripler AMC</t>
  </si>
  <si>
    <t>0800-1630 (T/TH)</t>
  </si>
  <si>
    <t>N/A</t>
  </si>
  <si>
    <t>Schofield Barracks HUB Total</t>
  </si>
  <si>
    <t>Torii Station, Okinawa</t>
  </si>
  <si>
    <t>Camp Zama, Japan</t>
  </si>
  <si>
    <t>Japan Hub</t>
  </si>
  <si>
    <t>Camp Casey</t>
  </si>
  <si>
    <t>K-16 (Seoul Air Base)</t>
  </si>
  <si>
    <t>0800-1400 (M&amp;W) 0830-1230 (T)              1000-1600 (F)</t>
  </si>
  <si>
    <t xml:space="preserve">0830-1230 (M-W-F) </t>
  </si>
  <si>
    <t xml:space="preserve">0800-1000 (T)              </t>
  </si>
  <si>
    <t xml:space="preserve">Camp Humphreys                        </t>
  </si>
  <si>
    <t xml:space="preserve">0800-1600 (M-F) </t>
  </si>
  <si>
    <t>Camp Carroll</t>
  </si>
  <si>
    <t xml:space="preserve">Camp Henry/ Walker USAG -Daegu </t>
  </si>
  <si>
    <t>Daegu Garrison, Camp Henry Hub</t>
  </si>
  <si>
    <t>HQ IMCOM Support</t>
  </si>
  <si>
    <t>Vendor Location</t>
  </si>
  <si>
    <t>Total Required Hours</t>
  </si>
  <si>
    <t>Required Staffing CMEs</t>
  </si>
  <si>
    <t>State Funded?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</si>
</sst>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[Red]\(#,##0.0\)"/>
    <numFmt numFmtId="165" formatCode="0.0"/>
    <numFmt numFmtId="166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rgb="FF7030A0"/>
      <name val="Aptos Narrow"/>
      <family val="2"/>
      <scheme val="minor"/>
    </font>
    <font>
      <b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0">
    <xf numFmtId="0" fontId="0" fillId="0" borderId="0" xfId="0"/>
    <xf numFmtId="0" fontId="0" fillId="2" borderId="0" xfId="0" applyFill="1"/>
    <xf numFmtId="6" fontId="5" fillId="5" borderId="4" xfId="2" applyNumberFormat="1" applyFont="1" applyFill="1" applyBorder="1" applyAlignment="1">
      <alignment horizontal="center" wrapText="1"/>
    </xf>
    <xf numFmtId="6" fontId="5" fillId="4" borderId="4" xfId="2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38" fontId="5" fillId="3" borderId="10" xfId="2" applyNumberFormat="1" applyFont="1" applyFill="1" applyBorder="1" applyAlignment="1">
      <alignment horizontal="center" vertical="center" wrapText="1"/>
    </xf>
    <xf numFmtId="38" fontId="5" fillId="5" borderId="10" xfId="2" applyNumberFormat="1" applyFont="1" applyFill="1" applyBorder="1" applyAlignment="1">
      <alignment horizontal="center" vertical="center" wrapText="1"/>
    </xf>
    <xf numFmtId="38" fontId="5" fillId="5" borderId="11" xfId="2" applyNumberFormat="1" applyFont="1" applyFill="1" applyBorder="1" applyAlignment="1">
      <alignment horizontal="center" vertical="center" wrapText="1"/>
    </xf>
    <xf numFmtId="38" fontId="5" fillId="3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5" borderId="14" xfId="0" applyFont="1" applyFill="1" applyBorder="1" applyAlignment="1">
      <alignment wrapText="1"/>
    </xf>
    <xf numFmtId="38" fontId="6" fillId="5" borderId="15" xfId="2" applyNumberFormat="1" applyFont="1" applyFill="1" applyBorder="1" applyAlignment="1">
      <alignment horizontal="center" wrapText="1"/>
    </xf>
    <xf numFmtId="38" fontId="6" fillId="5" borderId="15" xfId="2" applyNumberFormat="1" applyFont="1" applyFill="1" applyBorder="1" applyAlignment="1">
      <alignment horizontal="right"/>
    </xf>
    <xf numFmtId="0" fontId="7" fillId="5" borderId="15" xfId="0" applyFont="1" applyFill="1" applyBorder="1" applyAlignment="1">
      <alignment horizontal="center" wrapText="1"/>
    </xf>
    <xf numFmtId="0" fontId="7" fillId="5" borderId="15" xfId="0" applyFont="1" applyFill="1" applyBorder="1"/>
    <xf numFmtId="1" fontId="6" fillId="5" borderId="15" xfId="2" applyNumberFormat="1" applyFont="1" applyFill="1" applyBorder="1" applyAlignment="1">
      <alignment horizontal="center" wrapText="1"/>
    </xf>
    <xf numFmtId="1" fontId="6" fillId="5" borderId="15" xfId="2" applyNumberFormat="1" applyFont="1" applyFill="1" applyBorder="1" applyAlignment="1">
      <alignment horizontal="right"/>
    </xf>
    <xf numFmtId="38" fontId="6" fillId="5" borderId="15" xfId="0" applyNumberFormat="1" applyFont="1" applyFill="1" applyBorder="1" applyAlignment="1">
      <alignment horizontal="center" wrapText="1"/>
    </xf>
    <xf numFmtId="38" fontId="6" fillId="5" borderId="15" xfId="0" applyNumberFormat="1" applyFont="1" applyFill="1" applyBorder="1"/>
    <xf numFmtId="38" fontId="6" fillId="5" borderId="15" xfId="0" applyNumberFormat="1" applyFont="1" applyFill="1" applyBorder="1" applyAlignment="1">
      <alignment horizontal="right"/>
    </xf>
    <xf numFmtId="38" fontId="6" fillId="5" borderId="16" xfId="0" applyNumberFormat="1" applyFont="1" applyFill="1" applyBorder="1" applyAlignment="1">
      <alignment horizontal="right"/>
    </xf>
    <xf numFmtId="38" fontId="6" fillId="5" borderId="16" xfId="0" applyNumberFormat="1" applyFont="1" applyFill="1" applyBorder="1" applyAlignment="1">
      <alignment horizontal="center"/>
    </xf>
    <xf numFmtId="38" fontId="6" fillId="5" borderId="16" xfId="2" applyNumberFormat="1" applyFont="1" applyFill="1" applyBorder="1" applyAlignment="1">
      <alignment horizontal="right"/>
    </xf>
    <xf numFmtId="2" fontId="0" fillId="5" borderId="17" xfId="0" applyNumberFormat="1" applyFill="1" applyBorder="1"/>
    <xf numFmtId="0" fontId="6" fillId="7" borderId="9" xfId="0" applyFont="1" applyFill="1" applyBorder="1" applyAlignment="1">
      <alignment wrapText="1"/>
    </xf>
    <xf numFmtId="38" fontId="6" fillId="0" borderId="10" xfId="2" applyNumberFormat="1" applyFont="1" applyBorder="1" applyAlignment="1">
      <alignment horizontal="center" wrapText="1"/>
    </xf>
    <xf numFmtId="38" fontId="6" fillId="0" borderId="10" xfId="2" applyNumberFormat="1" applyFont="1" applyBorder="1" applyAlignment="1">
      <alignment horizontal="right" wrapText="1"/>
    </xf>
    <xf numFmtId="38" fontId="6" fillId="0" borderId="10" xfId="2" applyNumberFormat="1" applyFont="1" applyBorder="1" applyAlignment="1"/>
    <xf numFmtId="1" fontId="6" fillId="0" borderId="10" xfId="2" applyNumberFormat="1" applyFont="1" applyFill="1" applyBorder="1" applyAlignment="1">
      <alignment horizontal="center" wrapText="1"/>
    </xf>
    <xf numFmtId="1" fontId="6" fillId="0" borderId="10" xfId="2" applyNumberFormat="1" applyFont="1" applyFill="1" applyBorder="1" applyAlignment="1">
      <alignment horizontal="right"/>
    </xf>
    <xf numFmtId="38" fontId="6" fillId="0" borderId="10" xfId="0" applyNumberFormat="1" applyFont="1" applyBorder="1" applyAlignment="1">
      <alignment horizontal="center" wrapText="1"/>
    </xf>
    <xf numFmtId="38" fontId="6" fillId="0" borderId="10" xfId="0" applyNumberFormat="1" applyFont="1" applyBorder="1" applyAlignment="1">
      <alignment horizontal="right" wrapText="1"/>
    </xf>
    <xf numFmtId="38" fontId="6" fillId="5" borderId="10" xfId="0" applyNumberFormat="1" applyFont="1" applyFill="1" applyBorder="1" applyAlignment="1">
      <alignment horizontal="center" wrapText="1"/>
    </xf>
    <xf numFmtId="38" fontId="6" fillId="5" borderId="18" xfId="0" applyNumberFormat="1" applyFont="1" applyFill="1" applyBorder="1" applyAlignment="1">
      <alignment horizontal="center" wrapText="1"/>
    </xf>
    <xf numFmtId="38" fontId="6" fillId="2" borderId="18" xfId="0" applyNumberFormat="1" applyFont="1" applyFill="1" applyBorder="1" applyAlignment="1">
      <alignment horizontal="right" wrapText="1"/>
    </xf>
    <xf numFmtId="38" fontId="6" fillId="2" borderId="18" xfId="0" applyNumberFormat="1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38" fontId="6" fillId="0" borderId="10" xfId="2" applyNumberFormat="1" applyFont="1" applyFill="1" applyBorder="1" applyAlignment="1">
      <alignment horizontal="right"/>
    </xf>
    <xf numFmtId="2" fontId="0" fillId="0" borderId="13" xfId="0" applyNumberFormat="1" applyBorder="1"/>
    <xf numFmtId="0" fontId="6" fillId="0" borderId="9" xfId="0" applyFont="1" applyBorder="1" applyAlignment="1">
      <alignment wrapText="1"/>
    </xf>
    <xf numFmtId="38" fontId="6" fillId="0" borderId="10" xfId="2" applyNumberFormat="1" applyFont="1" applyBorder="1" applyAlignment="1">
      <alignment horizontal="right"/>
    </xf>
    <xf numFmtId="38" fontId="6" fillId="2" borderId="10" xfId="0" applyNumberFormat="1" applyFont="1" applyFill="1" applyBorder="1" applyAlignment="1">
      <alignment horizontal="center" wrapText="1"/>
    </xf>
    <xf numFmtId="38" fontId="6" fillId="5" borderId="10" xfId="0" applyNumberFormat="1" applyFont="1" applyFill="1" applyBorder="1" applyAlignment="1">
      <alignment horizontal="center"/>
    </xf>
    <xf numFmtId="38" fontId="6" fillId="5" borderId="18" xfId="0" applyNumberFormat="1" applyFont="1" applyFill="1" applyBorder="1" applyAlignment="1">
      <alignment horizontal="center"/>
    </xf>
    <xf numFmtId="38" fontId="8" fillId="0" borderId="10" xfId="0" applyNumberFormat="1" applyFont="1" applyBorder="1" applyAlignment="1">
      <alignment wrapText="1"/>
    </xf>
    <xf numFmtId="38" fontId="6" fillId="0" borderId="10" xfId="0" applyNumberFormat="1" applyFont="1" applyBorder="1" applyAlignment="1">
      <alignment horizontal="right"/>
    </xf>
    <xf numFmtId="38" fontId="6" fillId="2" borderId="18" xfId="0" applyNumberFormat="1" applyFont="1" applyFill="1" applyBorder="1" applyAlignment="1">
      <alignment horizontal="right"/>
    </xf>
    <xf numFmtId="0" fontId="9" fillId="2" borderId="0" xfId="0" applyFont="1" applyFill="1"/>
    <xf numFmtId="0" fontId="6" fillId="0" borderId="9" xfId="0" applyFont="1" applyBorder="1" applyAlignment="1">
      <alignment horizontal="left" wrapText="1"/>
    </xf>
    <xf numFmtId="38" fontId="6" fillId="7" borderId="10" xfId="2" applyNumberFormat="1" applyFont="1" applyFill="1" applyBorder="1" applyAlignment="1">
      <alignment horizontal="center" wrapText="1"/>
    </xf>
    <xf numFmtId="38" fontId="6" fillId="7" borderId="10" xfId="2" applyNumberFormat="1" applyFont="1" applyFill="1" applyBorder="1" applyAlignment="1">
      <alignment horizontal="right"/>
    </xf>
    <xf numFmtId="38" fontId="6" fillId="7" borderId="10" xfId="2" applyNumberFormat="1" applyFont="1" applyFill="1" applyBorder="1" applyAlignment="1">
      <alignment wrapText="1"/>
    </xf>
    <xf numFmtId="38" fontId="6" fillId="7" borderId="10" xfId="0" applyNumberFormat="1" applyFont="1" applyFill="1" applyBorder="1"/>
    <xf numFmtId="38" fontId="6" fillId="7" borderId="10" xfId="1" applyNumberFormat="1" applyFont="1" applyFill="1" applyBorder="1" applyAlignment="1">
      <alignment horizontal="center" wrapText="1"/>
    </xf>
    <xf numFmtId="38" fontId="6" fillId="7" borderId="10" xfId="1" applyNumberFormat="1" applyFont="1" applyFill="1" applyBorder="1" applyAlignment="1">
      <alignment horizontal="right"/>
    </xf>
    <xf numFmtId="38" fontId="6" fillId="5" borderId="18" xfId="1" applyNumberFormat="1" applyFont="1" applyFill="1" applyBorder="1" applyAlignment="1">
      <alignment horizontal="center"/>
    </xf>
    <xf numFmtId="38" fontId="6" fillId="7" borderId="18" xfId="1" applyNumberFormat="1" applyFont="1" applyFill="1" applyBorder="1" applyAlignment="1">
      <alignment horizontal="right"/>
    </xf>
    <xf numFmtId="38" fontId="6" fillId="7" borderId="18" xfId="1" applyNumberFormat="1" applyFont="1" applyFill="1" applyBorder="1" applyAlignment="1">
      <alignment horizontal="center"/>
    </xf>
    <xf numFmtId="2" fontId="3" fillId="8" borderId="13" xfId="0" applyNumberFormat="1" applyFont="1" applyFill="1" applyBorder="1"/>
    <xf numFmtId="0" fontId="6" fillId="5" borderId="9" xfId="0" applyFont="1" applyFill="1" applyBorder="1" applyAlignment="1">
      <alignment wrapText="1"/>
    </xf>
    <xf numFmtId="38" fontId="6" fillId="5" borderId="10" xfId="2" applyNumberFormat="1" applyFont="1" applyFill="1" applyBorder="1" applyAlignment="1">
      <alignment horizontal="center" wrapText="1"/>
    </xf>
    <xf numFmtId="38" fontId="6" fillId="5" borderId="10" xfId="2" applyNumberFormat="1" applyFont="1" applyFill="1" applyBorder="1" applyAlignment="1">
      <alignment horizontal="right"/>
    </xf>
    <xf numFmtId="0" fontId="6" fillId="5" borderId="10" xfId="0" applyFont="1" applyFill="1" applyBorder="1" applyAlignment="1">
      <alignment horizontal="center" wrapText="1"/>
    </xf>
    <xf numFmtId="0" fontId="6" fillId="5" borderId="10" xfId="0" applyFont="1" applyFill="1" applyBorder="1"/>
    <xf numFmtId="1" fontId="6" fillId="5" borderId="10" xfId="2" applyNumberFormat="1" applyFont="1" applyFill="1" applyBorder="1" applyAlignment="1">
      <alignment horizontal="center" wrapText="1"/>
    </xf>
    <xf numFmtId="1" fontId="6" fillId="5" borderId="10" xfId="2" applyNumberFormat="1" applyFont="1" applyFill="1" applyBorder="1" applyAlignment="1">
      <alignment horizontal="right"/>
    </xf>
    <xf numFmtId="38" fontId="6" fillId="5" borderId="10" xfId="0" applyNumberFormat="1" applyFont="1" applyFill="1" applyBorder="1"/>
    <xf numFmtId="38" fontId="6" fillId="5" borderId="10" xfId="0" applyNumberFormat="1" applyFont="1" applyFill="1" applyBorder="1" applyAlignment="1">
      <alignment horizontal="right"/>
    </xf>
    <xf numFmtId="38" fontId="6" fillId="5" borderId="18" xfId="0" applyNumberFormat="1" applyFont="1" applyFill="1" applyBorder="1" applyAlignment="1">
      <alignment horizontal="right"/>
    </xf>
    <xf numFmtId="2" fontId="0" fillId="5" borderId="13" xfId="0" applyNumberFormat="1" applyFill="1" applyBorder="1"/>
    <xf numFmtId="0" fontId="6" fillId="0" borderId="0" xfId="0" applyFont="1"/>
    <xf numFmtId="38" fontId="6" fillId="5" borderId="18" xfId="2" applyNumberFormat="1" applyFont="1" applyFill="1" applyBorder="1" applyAlignment="1">
      <alignment horizontal="center" wrapText="1"/>
    </xf>
    <xf numFmtId="38" fontId="6" fillId="2" borderId="18" xfId="2" applyNumberFormat="1" applyFont="1" applyFill="1" applyBorder="1" applyAlignment="1">
      <alignment horizontal="right" wrapText="1"/>
    </xf>
    <xf numFmtId="38" fontId="6" fillId="0" borderId="10" xfId="2" applyNumberFormat="1" applyFont="1" applyBorder="1" applyAlignment="1">
      <alignment wrapText="1"/>
    </xf>
    <xf numFmtId="38" fontId="6" fillId="0" borderId="18" xfId="2" applyNumberFormat="1" applyFont="1" applyBorder="1" applyAlignment="1">
      <alignment horizontal="right" wrapText="1"/>
    </xf>
    <xf numFmtId="38" fontId="6" fillId="7" borderId="10" xfId="0" applyNumberFormat="1" applyFont="1" applyFill="1" applyBorder="1" applyAlignment="1">
      <alignment horizontal="center" wrapText="1"/>
    </xf>
    <xf numFmtId="1" fontId="6" fillId="7" borderId="10" xfId="2" applyNumberFormat="1" applyFont="1" applyFill="1" applyBorder="1" applyAlignment="1">
      <alignment horizontal="center" wrapText="1"/>
    </xf>
    <xf numFmtId="1" fontId="6" fillId="7" borderId="10" xfId="2" applyNumberFormat="1" applyFont="1" applyFill="1" applyBorder="1" applyAlignment="1">
      <alignment horizontal="right"/>
    </xf>
    <xf numFmtId="38" fontId="6" fillId="7" borderId="10" xfId="0" applyNumberFormat="1" applyFont="1" applyFill="1" applyBorder="1" applyAlignment="1">
      <alignment horizontal="right"/>
    </xf>
    <xf numFmtId="38" fontId="6" fillId="7" borderId="18" xfId="0" applyNumberFormat="1" applyFont="1" applyFill="1" applyBorder="1" applyAlignment="1">
      <alignment horizontal="right"/>
    </xf>
    <xf numFmtId="38" fontId="6" fillId="7" borderId="18" xfId="0" applyNumberFormat="1" applyFont="1" applyFill="1" applyBorder="1" applyAlignment="1">
      <alignment horizontal="center"/>
    </xf>
    <xf numFmtId="38" fontId="6" fillId="9" borderId="10" xfId="0" applyNumberFormat="1" applyFont="1" applyFill="1" applyBorder="1" applyAlignment="1">
      <alignment horizontal="center" wrapText="1"/>
    </xf>
    <xf numFmtId="38" fontId="6" fillId="0" borderId="0" xfId="0" applyNumberFormat="1" applyFont="1" applyAlignment="1">
      <alignment horizontal="right"/>
    </xf>
    <xf numFmtId="38" fontId="6" fillId="2" borderId="10" xfId="0" applyNumberFormat="1" applyFont="1" applyFill="1" applyBorder="1" applyAlignment="1">
      <alignment horizontal="right" wrapText="1"/>
    </xf>
    <xf numFmtId="38" fontId="6" fillId="5" borderId="10" xfId="2" applyNumberFormat="1" applyFont="1" applyFill="1" applyBorder="1" applyAlignment="1"/>
    <xf numFmtId="0" fontId="6" fillId="7" borderId="9" xfId="0" applyFont="1" applyFill="1" applyBorder="1" applyAlignment="1">
      <alignment vertical="center" wrapText="1"/>
    </xf>
    <xf numFmtId="38" fontId="6" fillId="0" borderId="18" xfId="0" applyNumberFormat="1" applyFont="1" applyBorder="1" applyAlignment="1">
      <alignment horizontal="right" wrapText="1"/>
    </xf>
    <xf numFmtId="0" fontId="6" fillId="5" borderId="19" xfId="0" applyFont="1" applyFill="1" applyBorder="1" applyAlignment="1">
      <alignment wrapText="1"/>
    </xf>
    <xf numFmtId="38" fontId="6" fillId="5" borderId="20" xfId="2" applyNumberFormat="1" applyFont="1" applyFill="1" applyBorder="1" applyAlignment="1">
      <alignment horizontal="center" wrapText="1"/>
    </xf>
    <xf numFmtId="38" fontId="6" fillId="5" borderId="20" xfId="2" applyNumberFormat="1" applyFont="1" applyFill="1" applyBorder="1" applyAlignment="1">
      <alignment horizontal="right"/>
    </xf>
    <xf numFmtId="0" fontId="6" fillId="5" borderId="20" xfId="0" applyFont="1" applyFill="1" applyBorder="1" applyAlignment="1">
      <alignment horizontal="center" wrapText="1"/>
    </xf>
    <xf numFmtId="0" fontId="6" fillId="5" borderId="20" xfId="0" applyFont="1" applyFill="1" applyBorder="1"/>
    <xf numFmtId="1" fontId="6" fillId="5" borderId="20" xfId="2" applyNumberFormat="1" applyFont="1" applyFill="1" applyBorder="1" applyAlignment="1">
      <alignment horizontal="center" wrapText="1"/>
    </xf>
    <xf numFmtId="1" fontId="6" fillId="5" borderId="20" xfId="2" applyNumberFormat="1" applyFont="1" applyFill="1" applyBorder="1" applyAlignment="1">
      <alignment horizontal="right"/>
    </xf>
    <xf numFmtId="38" fontId="6" fillId="5" borderId="20" xfId="0" applyNumberFormat="1" applyFont="1" applyFill="1" applyBorder="1" applyAlignment="1">
      <alignment horizontal="center" wrapText="1"/>
    </xf>
    <xf numFmtId="38" fontId="6" fillId="5" borderId="20" xfId="0" applyNumberFormat="1" applyFont="1" applyFill="1" applyBorder="1"/>
    <xf numFmtId="38" fontId="6" fillId="5" borderId="20" xfId="0" applyNumberFormat="1" applyFont="1" applyFill="1" applyBorder="1" applyAlignment="1">
      <alignment horizontal="right"/>
    </xf>
    <xf numFmtId="38" fontId="6" fillId="5" borderId="21" xfId="0" applyNumberFormat="1" applyFont="1" applyFill="1" applyBorder="1" applyAlignment="1">
      <alignment horizontal="right"/>
    </xf>
    <xf numFmtId="38" fontId="6" fillId="5" borderId="21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vertical="center" wrapText="1"/>
    </xf>
    <xf numFmtId="38" fontId="6" fillId="0" borderId="4" xfId="2" applyNumberFormat="1" applyFont="1" applyBorder="1" applyAlignment="1">
      <alignment horizontal="center" wrapText="1"/>
    </xf>
    <xf numFmtId="38" fontId="6" fillId="0" borderId="4" xfId="2" applyNumberFormat="1" applyFont="1" applyBorder="1" applyAlignment="1">
      <alignment horizontal="right" wrapText="1"/>
    </xf>
    <xf numFmtId="1" fontId="6" fillId="0" borderId="4" xfId="2" applyNumberFormat="1" applyFont="1" applyFill="1" applyBorder="1" applyAlignment="1">
      <alignment horizontal="center" wrapText="1"/>
    </xf>
    <xf numFmtId="1" fontId="6" fillId="0" borderId="4" xfId="2" applyNumberFormat="1" applyFont="1" applyFill="1" applyBorder="1" applyAlignment="1">
      <alignment horizontal="right"/>
    </xf>
    <xf numFmtId="38" fontId="6" fillId="2" borderId="4" xfId="0" applyNumberFormat="1" applyFont="1" applyFill="1" applyBorder="1" applyAlignment="1">
      <alignment horizontal="center" wrapText="1"/>
    </xf>
    <xf numFmtId="38" fontId="6" fillId="2" borderId="4" xfId="0" applyNumberFormat="1" applyFont="1" applyFill="1" applyBorder="1" applyAlignment="1">
      <alignment horizontal="right" wrapText="1"/>
    </xf>
    <xf numFmtId="2" fontId="0" fillId="8" borderId="13" xfId="0" applyNumberFormat="1" applyFill="1" applyBorder="1"/>
    <xf numFmtId="38" fontId="6" fillId="2" borderId="10" xfId="0" applyNumberFormat="1" applyFont="1" applyFill="1" applyBorder="1" applyAlignment="1">
      <alignment horizontal="right"/>
    </xf>
    <xf numFmtId="38" fontId="6" fillId="2" borderId="10" xfId="2" applyNumberFormat="1" applyFont="1" applyFill="1" applyBorder="1" applyAlignment="1">
      <alignment horizontal="center" wrapText="1"/>
    </xf>
    <xf numFmtId="38" fontId="6" fillId="2" borderId="10" xfId="2" applyNumberFormat="1" applyFont="1" applyFill="1" applyBorder="1" applyAlignment="1">
      <alignment horizontal="right" wrapText="1"/>
    </xf>
    <xf numFmtId="0" fontId="3" fillId="0" borderId="10" xfId="0" applyFont="1" applyBorder="1" applyAlignment="1">
      <alignment horizontal="right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2" fillId="2" borderId="0" xfId="0" applyFont="1" applyFill="1"/>
    <xf numFmtId="0" fontId="6" fillId="2" borderId="9" xfId="0" applyFont="1" applyFill="1" applyBorder="1" applyAlignment="1">
      <alignment wrapText="1"/>
    </xf>
    <xf numFmtId="0" fontId="6" fillId="0" borderId="9" xfId="0" applyFont="1" applyBorder="1" applyAlignment="1">
      <alignment vertical="center" wrapText="1"/>
    </xf>
    <xf numFmtId="38" fontId="6" fillId="0" borderId="10" xfId="1" applyNumberFormat="1" applyFont="1" applyBorder="1" applyAlignment="1">
      <alignment horizontal="center" wrapText="1"/>
    </xf>
    <xf numFmtId="38" fontId="6" fillId="0" borderId="10" xfId="1" applyNumberFormat="1" applyFont="1" applyBorder="1" applyAlignment="1">
      <alignment horizontal="right"/>
    </xf>
    <xf numFmtId="0" fontId="6" fillId="0" borderId="0" xfId="0" applyFont="1" applyAlignment="1">
      <alignment horizontal="center" wrapText="1"/>
    </xf>
    <xf numFmtId="38" fontId="6" fillId="5" borderId="10" xfId="1" applyNumberFormat="1" applyFont="1" applyFill="1" applyBorder="1" applyAlignment="1">
      <alignment horizontal="center" wrapText="1"/>
    </xf>
    <xf numFmtId="38" fontId="6" fillId="2" borderId="13" xfId="2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6" fillId="0" borderId="12" xfId="2" applyNumberFormat="1" applyFont="1" applyFill="1" applyBorder="1" applyAlignment="1">
      <alignment horizontal="center" wrapText="1"/>
    </xf>
    <xf numFmtId="1" fontId="6" fillId="0" borderId="12" xfId="2" applyNumberFormat="1" applyFont="1" applyFill="1" applyBorder="1" applyAlignment="1">
      <alignment horizontal="right"/>
    </xf>
    <xf numFmtId="38" fontId="6" fillId="0" borderId="10" xfId="0" applyNumberFormat="1" applyFont="1" applyBorder="1" applyAlignment="1">
      <alignment horizontal="center"/>
    </xf>
    <xf numFmtId="38" fontId="6" fillId="0" borderId="10" xfId="2" applyNumberFormat="1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 wrapText="1"/>
    </xf>
    <xf numFmtId="0" fontId="6" fillId="5" borderId="22" xfId="0" applyFont="1" applyFill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6" fillId="0" borderId="10" xfId="2" applyNumberFormat="1" applyFont="1" applyFill="1" applyBorder="1" applyAlignment="1">
      <alignment horizontal="center" vertical="center" wrapText="1"/>
    </xf>
    <xf numFmtId="0" fontId="6" fillId="0" borderId="10" xfId="2" applyNumberFormat="1" applyFont="1" applyFill="1" applyBorder="1" applyAlignment="1">
      <alignment vertical="center"/>
    </xf>
    <xf numFmtId="1" fontId="6" fillId="0" borderId="10" xfId="2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0" fillId="0" borderId="10" xfId="0" applyBorder="1" applyAlignment="1">
      <alignment horizontal="right"/>
    </xf>
    <xf numFmtId="38" fontId="6" fillId="7" borderId="10" xfId="1" applyNumberFormat="1" applyFont="1" applyFill="1" applyBorder="1" applyAlignment="1"/>
    <xf numFmtId="0" fontId="0" fillId="5" borderId="1" xfId="0" applyFill="1" applyBorder="1"/>
    <xf numFmtId="0" fontId="6" fillId="5" borderId="10" xfId="0" applyFont="1" applyFill="1" applyBorder="1" applyAlignment="1">
      <alignment wrapText="1"/>
    </xf>
    <xf numFmtId="38" fontId="6" fillId="2" borderId="18" xfId="1" applyNumberFormat="1" applyFont="1" applyFill="1" applyBorder="1" applyAlignment="1">
      <alignment horizontal="right"/>
    </xf>
    <xf numFmtId="0" fontId="6" fillId="0" borderId="18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38" fontId="6" fillId="7" borderId="18" xfId="0" applyNumberFormat="1" applyFont="1" applyFill="1" applyBorder="1" applyAlignment="1">
      <alignment horizontal="right" wrapText="1"/>
    </xf>
    <xf numFmtId="38" fontId="6" fillId="7" borderId="18" xfId="0" applyNumberFormat="1" applyFont="1" applyFill="1" applyBorder="1" applyAlignment="1">
      <alignment horizontal="center" wrapText="1"/>
    </xf>
    <xf numFmtId="38" fontId="6" fillId="5" borderId="10" xfId="2" applyNumberFormat="1" applyFont="1" applyFill="1" applyBorder="1" applyAlignment="1">
      <alignment horizontal="right" wrapText="1"/>
    </xf>
    <xf numFmtId="2" fontId="3" fillId="0" borderId="13" xfId="0" applyNumberFormat="1" applyFont="1" applyBorder="1"/>
    <xf numFmtId="164" fontId="6" fillId="0" borderId="18" xfId="0" applyNumberFormat="1" applyFont="1" applyBorder="1" applyAlignment="1">
      <alignment horizontal="right"/>
    </xf>
    <xf numFmtId="38" fontId="6" fillId="5" borderId="10" xfId="2" applyNumberFormat="1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1" fontId="6" fillId="5" borderId="10" xfId="2" applyNumberFormat="1" applyFont="1" applyFill="1" applyBorder="1" applyAlignment="1">
      <alignment horizontal="center"/>
    </xf>
    <xf numFmtId="38" fontId="6" fillId="5" borderId="18" xfId="2" applyNumberFormat="1" applyFont="1" applyFill="1" applyBorder="1" applyAlignment="1">
      <alignment horizontal="center"/>
    </xf>
    <xf numFmtId="0" fontId="0" fillId="5" borderId="24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2" xfId="0" applyFill="1" applyBorder="1"/>
    <xf numFmtId="38" fontId="0" fillId="0" borderId="0" xfId="0" applyNumberFormat="1"/>
    <xf numFmtId="165" fontId="3" fillId="0" borderId="13" xfId="0" applyNumberFormat="1" applyFont="1" applyBorder="1"/>
    <xf numFmtId="1" fontId="3" fillId="8" borderId="13" xfId="0" applyNumberFormat="1" applyFont="1" applyFill="1" applyBorder="1"/>
    <xf numFmtId="0" fontId="6" fillId="10" borderId="9" xfId="0" applyFont="1" applyFill="1" applyBorder="1" applyAlignment="1">
      <alignment wrapText="1"/>
    </xf>
    <xf numFmtId="1" fontId="6" fillId="0" borderId="10" xfId="2" applyNumberFormat="1" applyFont="1" applyFill="1" applyBorder="1" applyAlignment="1">
      <alignment horizontal="right" wrapText="1"/>
    </xf>
    <xf numFmtId="38" fontId="6" fillId="0" borderId="12" xfId="2" applyNumberFormat="1" applyFont="1" applyFill="1" applyBorder="1" applyAlignment="1">
      <alignment horizontal="right" wrapText="1"/>
    </xf>
    <xf numFmtId="38" fontId="6" fillId="5" borderId="18" xfId="2" applyNumberFormat="1" applyFont="1" applyFill="1" applyBorder="1" applyAlignment="1">
      <alignment horizontal="right" wrapText="1"/>
    </xf>
    <xf numFmtId="38" fontId="6" fillId="5" borderId="18" xfId="0" applyNumberFormat="1" applyFont="1" applyFill="1" applyBorder="1" applyAlignment="1">
      <alignment horizontal="right" wrapText="1"/>
    </xf>
    <xf numFmtId="38" fontId="6" fillId="7" borderId="10" xfId="2" applyNumberFormat="1" applyFont="1" applyFill="1" applyBorder="1" applyAlignment="1">
      <alignment horizontal="right" wrapText="1"/>
    </xf>
    <xf numFmtId="38" fontId="6" fillId="7" borderId="10" xfId="0" applyNumberFormat="1" applyFont="1" applyFill="1" applyBorder="1" applyAlignment="1">
      <alignment horizontal="right" wrapText="1"/>
    </xf>
    <xf numFmtId="38" fontId="6" fillId="5" borderId="10" xfId="0" applyNumberFormat="1" applyFont="1" applyFill="1" applyBorder="1" applyAlignment="1">
      <alignment horizontal="right" wrapText="1"/>
    </xf>
    <xf numFmtId="38" fontId="8" fillId="2" borderId="10" xfId="0" applyNumberFormat="1" applyFont="1" applyFill="1" applyBorder="1" applyAlignment="1">
      <alignment horizontal="center" wrapText="1"/>
    </xf>
    <xf numFmtId="38" fontId="6" fillId="0" borderId="18" xfId="0" applyNumberFormat="1" applyFont="1" applyBorder="1" applyAlignment="1">
      <alignment horizontal="right"/>
    </xf>
    <xf numFmtId="2" fontId="3" fillId="7" borderId="13" xfId="0" applyNumberFormat="1" applyFont="1" applyFill="1" applyBorder="1"/>
    <xf numFmtId="0" fontId="6" fillId="5" borderId="1" xfId="0" applyFont="1" applyFill="1" applyBorder="1" applyAlignment="1">
      <alignment wrapText="1"/>
    </xf>
    <xf numFmtId="38" fontId="6" fillId="5" borderId="20" xfId="2" applyNumberFormat="1" applyFont="1" applyFill="1" applyBorder="1" applyAlignment="1">
      <alignment horizontal="right" wrapText="1"/>
    </xf>
    <xf numFmtId="38" fontId="6" fillId="5" borderId="0" xfId="2" applyNumberFormat="1" applyFont="1" applyFill="1" applyBorder="1" applyAlignment="1">
      <alignment horizontal="right"/>
    </xf>
    <xf numFmtId="38" fontId="10" fillId="5" borderId="0" xfId="2" applyNumberFormat="1" applyFont="1" applyFill="1" applyBorder="1" applyAlignment="1">
      <alignment horizontal="right"/>
    </xf>
    <xf numFmtId="0" fontId="6" fillId="2" borderId="19" xfId="0" applyFont="1" applyFill="1" applyBorder="1" applyAlignment="1">
      <alignment wrapText="1"/>
    </xf>
    <xf numFmtId="38" fontId="6" fillId="0" borderId="20" xfId="2" applyNumberFormat="1" applyFont="1" applyBorder="1" applyAlignment="1">
      <alignment horizontal="center" wrapText="1"/>
    </xf>
    <xf numFmtId="38" fontId="6" fillId="2" borderId="20" xfId="2" applyNumberFormat="1" applyFont="1" applyFill="1" applyBorder="1" applyAlignment="1">
      <alignment horizontal="right" wrapText="1"/>
    </xf>
    <xf numFmtId="38" fontId="6" fillId="2" borderId="20" xfId="2" applyNumberFormat="1" applyFont="1" applyFill="1" applyBorder="1" applyAlignment="1">
      <alignment horizontal="center" wrapText="1"/>
    </xf>
    <xf numFmtId="1" fontId="6" fillId="2" borderId="20" xfId="2" applyNumberFormat="1" applyFont="1" applyFill="1" applyBorder="1" applyAlignment="1">
      <alignment horizontal="center" wrapText="1"/>
    </xf>
    <xf numFmtId="1" fontId="6" fillId="2" borderId="20" xfId="2" applyNumberFormat="1" applyFont="1" applyFill="1" applyBorder="1" applyAlignment="1">
      <alignment horizontal="right"/>
    </xf>
    <xf numFmtId="38" fontId="6" fillId="2" borderId="20" xfId="0" applyNumberFormat="1" applyFont="1" applyFill="1" applyBorder="1" applyAlignment="1">
      <alignment horizontal="center" wrapText="1"/>
    </xf>
    <xf numFmtId="38" fontId="6" fillId="2" borderId="20" xfId="0" applyNumberFormat="1" applyFont="1" applyFill="1" applyBorder="1" applyAlignment="1">
      <alignment horizontal="right"/>
    </xf>
    <xf numFmtId="38" fontId="6" fillId="5" borderId="20" xfId="0" applyNumberFormat="1" applyFont="1" applyFill="1" applyBorder="1" applyAlignment="1">
      <alignment horizontal="center"/>
    </xf>
    <xf numFmtId="38" fontId="6" fillId="0" borderId="20" xfId="2" applyNumberFormat="1" applyFont="1" applyBorder="1" applyAlignment="1">
      <alignment horizontal="right" wrapText="1"/>
    </xf>
    <xf numFmtId="38" fontId="6" fillId="5" borderId="21" xfId="0" applyNumberFormat="1" applyFont="1" applyFill="1" applyBorder="1" applyAlignment="1">
      <alignment horizontal="center" wrapText="1"/>
    </xf>
    <xf numFmtId="38" fontId="6" fillId="2" borderId="21" xfId="0" applyNumberFormat="1" applyFont="1" applyFill="1" applyBorder="1" applyAlignment="1">
      <alignment horizontal="center" wrapText="1"/>
    </xf>
    <xf numFmtId="38" fontId="6" fillId="2" borderId="20" xfId="0" applyNumberFormat="1" applyFont="1" applyFill="1" applyBorder="1" applyAlignment="1">
      <alignment horizontal="right" wrapText="1"/>
    </xf>
    <xf numFmtId="37" fontId="3" fillId="0" borderId="10" xfId="1" applyNumberFormat="1" applyFont="1" applyBorder="1"/>
    <xf numFmtId="38" fontId="6" fillId="5" borderId="16" xfId="0" applyNumberFormat="1" applyFont="1" applyFill="1" applyBorder="1" applyAlignment="1">
      <alignment horizontal="right" wrapText="1"/>
    </xf>
    <xf numFmtId="166" fontId="3" fillId="5" borderId="16" xfId="1" applyNumberFormat="1" applyFont="1" applyFill="1" applyBorder="1"/>
    <xf numFmtId="2" fontId="3" fillId="5" borderId="17" xfId="0" applyNumberFormat="1" applyFont="1" applyFill="1" applyBorder="1"/>
    <xf numFmtId="0" fontId="6" fillId="5" borderId="25" xfId="0" applyFont="1" applyFill="1" applyBorder="1" applyAlignment="1">
      <alignment wrapText="1"/>
    </xf>
    <xf numFmtId="1" fontId="3" fillId="5" borderId="16" xfId="1" applyNumberFormat="1" applyFont="1" applyFill="1" applyBorder="1"/>
    <xf numFmtId="0" fontId="6" fillId="2" borderId="10" xfId="0" applyFont="1" applyFill="1" applyBorder="1" applyAlignment="1">
      <alignment wrapText="1"/>
    </xf>
    <xf numFmtId="38" fontId="6" fillId="2" borderId="16" xfId="0" applyNumberFormat="1" applyFont="1" applyFill="1" applyBorder="1" applyAlignment="1">
      <alignment horizontal="right" wrapText="1"/>
    </xf>
    <xf numFmtId="1" fontId="3" fillId="0" borderId="10" xfId="1" applyNumberFormat="1" applyFont="1" applyBorder="1"/>
    <xf numFmtId="38" fontId="6" fillId="5" borderId="15" xfId="2" applyNumberFormat="1" applyFont="1" applyFill="1" applyBorder="1" applyAlignment="1">
      <alignment horizontal="right" wrapText="1"/>
    </xf>
    <xf numFmtId="0" fontId="6" fillId="11" borderId="19" xfId="0" applyFont="1" applyFill="1" applyBorder="1"/>
    <xf numFmtId="38" fontId="6" fillId="11" borderId="20" xfId="0" applyNumberFormat="1" applyFont="1" applyFill="1" applyBorder="1" applyAlignment="1">
      <alignment horizontal="center" wrapText="1"/>
    </xf>
    <xf numFmtId="38" fontId="6" fillId="11" borderId="20" xfId="0" applyNumberFormat="1" applyFont="1" applyFill="1" applyBorder="1" applyAlignment="1">
      <alignment horizontal="right"/>
    </xf>
    <xf numFmtId="0" fontId="0" fillId="5" borderId="10" xfId="0" applyFill="1" applyBorder="1"/>
    <xf numFmtId="166" fontId="6" fillId="5" borderId="10" xfId="1" applyNumberFormat="1" applyFont="1" applyFill="1" applyBorder="1"/>
    <xf numFmtId="38" fontId="6" fillId="11" borderId="26" xfId="2" applyNumberFormat="1" applyFont="1" applyFill="1" applyBorder="1" applyAlignment="1">
      <alignment horizontal="right"/>
    </xf>
    <xf numFmtId="38" fontId="6" fillId="11" borderId="20" xfId="2" applyNumberFormat="1" applyFont="1" applyFill="1" applyBorder="1" applyAlignment="1">
      <alignment horizontal="right"/>
    </xf>
    <xf numFmtId="38" fontId="6" fillId="11" borderId="20" xfId="0" applyNumberFormat="1" applyFont="1" applyFill="1" applyBorder="1" applyAlignment="1">
      <alignment horizontal="center"/>
    </xf>
    <xf numFmtId="166" fontId="6" fillId="11" borderId="26" xfId="1" applyNumberFormat="1" applyFont="1" applyFill="1" applyBorder="1" applyAlignment="1">
      <alignment horizontal="right"/>
    </xf>
    <xf numFmtId="2" fontId="3" fillId="11" borderId="27" xfId="0" applyNumberFormat="1" applyFont="1" applyFill="1" applyBorder="1"/>
    <xf numFmtId="0" fontId="6" fillId="12" borderId="9" xfId="0" applyFont="1" applyFill="1" applyBorder="1" applyAlignment="1">
      <alignment horizontal="left"/>
    </xf>
    <xf numFmtId="38" fontId="6" fillId="12" borderId="10" xfId="2" applyNumberFormat="1" applyFont="1" applyFill="1" applyBorder="1" applyAlignment="1">
      <alignment horizontal="center" wrapText="1"/>
    </xf>
    <xf numFmtId="40" fontId="8" fillId="12" borderId="10" xfId="2" applyNumberFormat="1" applyFont="1" applyFill="1" applyBorder="1" applyAlignment="1">
      <alignment horizontal="right"/>
    </xf>
    <xf numFmtId="40" fontId="6" fillId="12" borderId="10" xfId="2" applyNumberFormat="1" applyFont="1" applyFill="1" applyBorder="1" applyAlignment="1">
      <alignment horizontal="right"/>
    </xf>
    <xf numFmtId="164" fontId="6" fillId="12" borderId="10" xfId="2" applyNumberFormat="1" applyFont="1" applyFill="1" applyBorder="1" applyAlignment="1">
      <alignment horizontal="right"/>
    </xf>
    <xf numFmtId="0" fontId="3" fillId="5" borderId="10" xfId="0" applyFont="1" applyFill="1" applyBorder="1"/>
    <xf numFmtId="38" fontId="6" fillId="12" borderId="25" xfId="2" applyNumberFormat="1" applyFont="1" applyFill="1" applyBorder="1" applyAlignment="1">
      <alignment horizontal="right"/>
    </xf>
    <xf numFmtId="38" fontId="6" fillId="12" borderId="10" xfId="2" applyNumberFormat="1" applyFont="1" applyFill="1" applyBorder="1" applyAlignment="1">
      <alignment horizontal="right"/>
    </xf>
    <xf numFmtId="164" fontId="6" fillId="5" borderId="10" xfId="2" applyNumberFormat="1" applyFont="1" applyFill="1" applyBorder="1" applyAlignment="1">
      <alignment horizontal="center"/>
    </xf>
    <xf numFmtId="164" fontId="6" fillId="12" borderId="10" xfId="2" applyNumberFormat="1" applyFont="1" applyFill="1" applyBorder="1" applyAlignment="1">
      <alignment horizontal="center"/>
    </xf>
    <xf numFmtId="2" fontId="3" fillId="12" borderId="10" xfId="0" applyNumberFormat="1" applyFont="1" applyFill="1" applyBorder="1"/>
    <xf numFmtId="0" fontId="0" fillId="12" borderId="13" xfId="0" applyFill="1" applyBorder="1"/>
    <xf numFmtId="0" fontId="6" fillId="0" borderId="1" xfId="0" applyFont="1" applyBorder="1" applyAlignment="1">
      <alignment horizontal="left"/>
    </xf>
    <xf numFmtId="38" fontId="6" fillId="0" borderId="0" xfId="2" applyNumberFormat="1" applyFont="1" applyFill="1" applyBorder="1" applyAlignment="1">
      <alignment horizontal="center" wrapText="1"/>
    </xf>
    <xf numFmtId="40" fontId="8" fillId="0" borderId="0" xfId="2" applyNumberFormat="1" applyFont="1" applyFill="1" applyBorder="1" applyAlignment="1">
      <alignment horizontal="right"/>
    </xf>
    <xf numFmtId="40" fontId="6" fillId="0" borderId="0" xfId="2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38" fontId="6" fillId="0" borderId="0" xfId="2" applyNumberFormat="1" applyFont="1" applyFill="1" applyBorder="1" applyAlignment="1">
      <alignment horizontal="right"/>
    </xf>
    <xf numFmtId="165" fontId="3" fillId="0" borderId="0" xfId="0" applyNumberFormat="1" applyFont="1"/>
    <xf numFmtId="0" fontId="0" fillId="0" borderId="2" xfId="0" applyBorder="1"/>
    <xf numFmtId="0" fontId="6" fillId="0" borderId="0" xfId="0" applyFont="1" applyAlignment="1">
      <alignment horizontal="left"/>
    </xf>
    <xf numFmtId="38" fontId="5" fillId="0" borderId="0" xfId="2" applyNumberFormat="1" applyFont="1" applyFill="1" applyBorder="1" applyAlignment="1">
      <alignment horizontal="center" vertical="center" wrapText="1"/>
    </xf>
    <xf numFmtId="38" fontId="6" fillId="2" borderId="0" xfId="0" applyNumberFormat="1" applyFont="1" applyFill="1" applyAlignment="1">
      <alignment horizontal="center"/>
    </xf>
    <xf numFmtId="38" fontId="8" fillId="2" borderId="0" xfId="2" applyNumberFormat="1" applyFont="1" applyFill="1" applyBorder="1" applyAlignment="1">
      <alignment horizontal="right"/>
    </xf>
    <xf numFmtId="38" fontId="6" fillId="2" borderId="0" xfId="2" applyNumberFormat="1" applyFont="1" applyFill="1" applyBorder="1" applyAlignment="1">
      <alignment horizontal="center" wrapText="1"/>
    </xf>
    <xf numFmtId="40" fontId="8" fillId="2" borderId="0" xfId="2" applyNumberFormat="1" applyFont="1" applyFill="1" applyBorder="1" applyAlignment="1">
      <alignment horizontal="right"/>
    </xf>
    <xf numFmtId="164" fontId="6" fillId="2" borderId="0" xfId="2" applyNumberFormat="1" applyFont="1" applyFill="1" applyBorder="1" applyAlignment="1">
      <alignment horizontal="center"/>
    </xf>
    <xf numFmtId="38" fontId="6" fillId="2" borderId="0" xfId="2" applyNumberFormat="1" applyFont="1" applyFill="1" applyBorder="1" applyAlignment="1">
      <alignment horizontal="right"/>
    </xf>
    <xf numFmtId="166" fontId="3" fillId="2" borderId="0" xfId="1" applyNumberFormat="1" applyFont="1" applyFill="1" applyBorder="1"/>
    <xf numFmtId="0" fontId="6" fillId="2" borderId="0" xfId="0" applyFont="1" applyFill="1" applyAlignment="1">
      <alignment horizontal="left"/>
    </xf>
    <xf numFmtId="164" fontId="6" fillId="2" borderId="0" xfId="2" applyNumberFormat="1" applyFont="1" applyFill="1" applyBorder="1" applyAlignment="1">
      <alignment horizontal="right"/>
    </xf>
    <xf numFmtId="165" fontId="3" fillId="2" borderId="0" xfId="0" applyNumberFormat="1" applyFont="1" applyFill="1"/>
    <xf numFmtId="38" fontId="7" fillId="2" borderId="0" xfId="2" applyNumberFormat="1" applyFont="1" applyFill="1" applyBorder="1" applyAlignment="1">
      <alignment horizontal="right"/>
    </xf>
    <xf numFmtId="6" fontId="7" fillId="2" borderId="0" xfId="2" applyNumberFormat="1" applyFont="1" applyFill="1" applyBorder="1" applyAlignment="1">
      <alignment horizontal="center" wrapText="1"/>
    </xf>
    <xf numFmtId="1" fontId="6" fillId="2" borderId="0" xfId="2" applyNumberFormat="1" applyFont="1" applyFill="1" applyBorder="1" applyAlignment="1"/>
    <xf numFmtId="1" fontId="7" fillId="2" borderId="0" xfId="2" applyNumberFormat="1" applyFont="1" applyFill="1" applyBorder="1" applyAlignment="1">
      <alignment horizontal="center" wrapText="1"/>
    </xf>
    <xf numFmtId="1" fontId="7" fillId="2" borderId="0" xfId="2" applyNumberFormat="1" applyFont="1" applyFill="1" applyBorder="1" applyAlignment="1">
      <alignment horizontal="right"/>
    </xf>
    <xf numFmtId="164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" fontId="10" fillId="0" borderId="22" xfId="2" applyNumberFormat="1" applyFont="1" applyFill="1" applyBorder="1" applyAlignment="1">
      <alignment horizontal="right"/>
    </xf>
    <xf numFmtId="0" fontId="6" fillId="6" borderId="9" xfId="0" applyFont="1" applyFill="1" applyBorder="1" applyAlignment="1">
      <alignment wrapText="1"/>
    </xf>
    <xf numFmtId="38" fontId="6" fillId="6" borderId="10" xfId="2" applyNumberFormat="1" applyFont="1" applyFill="1" applyBorder="1" applyAlignment="1">
      <alignment horizontal="right" wrapText="1"/>
    </xf>
    <xf numFmtId="38" fontId="6" fillId="6" borderId="10" xfId="0" applyNumberFormat="1" applyFont="1" applyFill="1" applyBorder="1" applyAlignment="1">
      <alignment horizontal="center" wrapText="1"/>
    </xf>
    <xf numFmtId="38" fontId="6" fillId="6" borderId="10" xfId="0" applyNumberFormat="1" applyFont="1" applyFill="1" applyBorder="1" applyAlignment="1">
      <alignment horizontal="right"/>
    </xf>
    <xf numFmtId="38" fontId="6" fillId="6" borderId="10" xfId="2" applyNumberFormat="1" applyFont="1" applyFill="1" applyBorder="1" applyAlignment="1">
      <alignment horizontal="center" wrapText="1"/>
    </xf>
    <xf numFmtId="1" fontId="6" fillId="6" borderId="10" xfId="2" applyNumberFormat="1" applyFont="1" applyFill="1" applyBorder="1" applyAlignment="1">
      <alignment horizontal="center" wrapText="1"/>
    </xf>
    <xf numFmtId="38" fontId="6" fillId="6" borderId="18" xfId="0" applyNumberFormat="1" applyFont="1" applyFill="1" applyBorder="1" applyAlignment="1">
      <alignment horizontal="right" wrapText="1"/>
    </xf>
    <xf numFmtId="38" fontId="6" fillId="6" borderId="18" xfId="0" applyNumberFormat="1" applyFont="1" applyFill="1" applyBorder="1" applyAlignment="1">
      <alignment horizontal="center" wrapText="1"/>
    </xf>
    <xf numFmtId="38" fontId="6" fillId="6" borderId="10" xfId="2" applyNumberFormat="1" applyFont="1" applyFill="1" applyBorder="1" applyAlignment="1">
      <alignment horizontal="right"/>
    </xf>
    <xf numFmtId="0" fontId="0" fillId="6" borderId="0" xfId="0" applyFill="1"/>
    <xf numFmtId="0" fontId="6" fillId="0" borderId="9" xfId="0" applyFont="1" applyFill="1" applyBorder="1" applyAlignment="1">
      <alignment wrapText="1"/>
    </xf>
    <xf numFmtId="38" fontId="6" fillId="0" borderId="10" xfId="2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right"/>
    </xf>
    <xf numFmtId="38" fontId="6" fillId="0" borderId="10" xfId="2" applyNumberFormat="1" applyFont="1" applyFill="1" applyBorder="1" applyAlignment="1">
      <alignment horizontal="right" wrapText="1"/>
    </xf>
    <xf numFmtId="38" fontId="6" fillId="0" borderId="10" xfId="0" applyNumberFormat="1" applyFont="1" applyFill="1" applyBorder="1" applyAlignment="1">
      <alignment horizontal="center" wrapText="1"/>
    </xf>
    <xf numFmtId="38" fontId="6" fillId="0" borderId="10" xfId="0" applyNumberFormat="1" applyFont="1" applyFill="1" applyBorder="1" applyAlignment="1">
      <alignment horizontal="right"/>
    </xf>
    <xf numFmtId="38" fontId="6" fillId="0" borderId="10" xfId="2" applyNumberFormat="1" applyFont="1" applyFill="1" applyBorder="1" applyAlignment="1">
      <alignment horizontal="center" wrapText="1"/>
    </xf>
    <xf numFmtId="38" fontId="6" fillId="0" borderId="18" xfId="2" applyNumberFormat="1" applyFont="1" applyFill="1" applyBorder="1" applyAlignment="1">
      <alignment horizontal="center" wrapText="1"/>
    </xf>
    <xf numFmtId="38" fontId="6" fillId="0" borderId="18" xfId="0" applyNumberFormat="1" applyFont="1" applyFill="1" applyBorder="1" applyAlignment="1">
      <alignment horizontal="right" wrapText="1"/>
    </xf>
    <xf numFmtId="38" fontId="6" fillId="0" borderId="18" xfId="0" applyNumberFormat="1" applyFont="1" applyFill="1" applyBorder="1" applyAlignment="1">
      <alignment horizontal="center" wrapText="1"/>
    </xf>
    <xf numFmtId="2" fontId="0" fillId="0" borderId="13" xfId="0" applyNumberFormat="1" applyFill="1" applyBorder="1"/>
    <xf numFmtId="0" fontId="0" fillId="0" borderId="0" xfId="0" applyFill="1"/>
    <xf numFmtId="1" fontId="6" fillId="6" borderId="10" xfId="2" applyNumberFormat="1" applyFont="1" applyFill="1" applyBorder="1" applyAlignment="1">
      <alignment horizontal="right"/>
    </xf>
    <xf numFmtId="38" fontId="6" fillId="6" borderId="10" xfId="0" applyNumberFormat="1" applyFont="1" applyFill="1" applyBorder="1" applyAlignment="1">
      <alignment horizontal="center"/>
    </xf>
    <xf numFmtId="38" fontId="6" fillId="6" borderId="18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right"/>
    </xf>
    <xf numFmtId="2" fontId="3" fillId="6" borderId="13" xfId="0" applyNumberFormat="1" applyFont="1" applyFill="1" applyBorder="1"/>
    <xf numFmtId="0" fontId="3" fillId="6" borderId="13" xfId="0" applyFont="1" applyFill="1" applyBorder="1"/>
    <xf numFmtId="38" fontId="5" fillId="4" borderId="5" xfId="2" applyNumberFormat="1" applyFont="1" applyFill="1" applyBorder="1" applyAlignment="1">
      <alignment horizontal="center" vertical="center" wrapText="1"/>
    </xf>
    <xf numFmtId="38" fontId="5" fillId="4" borderId="6" xfId="2" applyNumberFormat="1" applyFont="1" applyFill="1" applyBorder="1" applyAlignment="1">
      <alignment horizontal="center" vertical="center" wrapText="1"/>
    </xf>
    <xf numFmtId="38" fontId="5" fillId="4" borderId="7" xfId="2" applyNumberFormat="1" applyFont="1" applyFill="1" applyBorder="1" applyAlignment="1">
      <alignment horizontal="center" wrapText="1"/>
    </xf>
    <xf numFmtId="38" fontId="5" fillId="4" borderId="12" xfId="2" applyNumberFormat="1" applyFont="1" applyFill="1" applyBorder="1" applyAlignment="1">
      <alignment horizontal="center" wrapText="1"/>
    </xf>
    <xf numFmtId="2" fontId="0" fillId="6" borderId="8" xfId="0" applyNumberFormat="1" applyFill="1" applyBorder="1" applyAlignment="1">
      <alignment horizontal="center"/>
    </xf>
    <xf numFmtId="2" fontId="0" fillId="6" borderId="13" xfId="0" applyNumberFormat="1" applyFill="1" applyBorder="1" applyAlignment="1">
      <alignment horizontal="center"/>
    </xf>
    <xf numFmtId="0" fontId="5" fillId="3" borderId="3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6" fontId="5" fillId="4" borderId="4" xfId="2" applyNumberFormat="1" applyFont="1" applyFill="1" applyBorder="1" applyAlignment="1">
      <alignment horizontal="center" vertical="center" wrapText="1"/>
    </xf>
    <xf numFmtId="6" fontId="5" fillId="5" borderId="4" xfId="2" applyNumberFormat="1" applyFont="1" applyFill="1" applyBorder="1" applyAlignment="1">
      <alignment horizontal="center" vertical="center" wrapText="1"/>
    </xf>
    <xf numFmtId="6" fontId="5" fillId="4" borderId="5" xfId="2" applyNumberFormat="1" applyFont="1" applyFill="1" applyBorder="1" applyAlignment="1">
      <alignment horizontal="center" vertical="center" wrapText="1"/>
    </xf>
    <xf numFmtId="6" fontId="5" fillId="4" borderId="6" xfId="2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B737-42BE-4251-9E52-ADE56659E5B2}">
  <dimension ref="A1:AX148"/>
  <sheetViews>
    <sheetView tabSelected="1" workbookViewId="0">
      <pane ySplit="1" topLeftCell="A70" activePane="bottomLeft" state="frozen"/>
      <selection pane="bottomLeft" activeCell="G72" sqref="G72"/>
    </sheetView>
  </sheetViews>
  <sheetFormatPr defaultRowHeight="14.4" x14ac:dyDescent="0.3"/>
  <cols>
    <col min="1" max="1" width="16.44140625" customWidth="1"/>
    <col min="2" max="2" width="9.5546875" style="246" customWidth="1"/>
    <col min="3" max="3" width="9.5546875" style="245" customWidth="1"/>
    <col min="4" max="4" width="9.5546875" style="246" customWidth="1"/>
    <col min="5" max="5" width="9.5546875" customWidth="1"/>
    <col min="6" max="6" width="9.5546875" style="246" customWidth="1"/>
    <col min="7" max="7" width="9.5546875" customWidth="1"/>
    <col min="8" max="8" width="9.5546875" style="246" customWidth="1"/>
    <col min="9" max="9" width="9.5546875" customWidth="1"/>
    <col min="10" max="10" width="9.5546875" style="246" customWidth="1"/>
    <col min="11" max="11" width="9.5546875" style="245" customWidth="1"/>
    <col min="12" max="12" width="9.5546875" style="246" customWidth="1"/>
    <col min="13" max="19" width="9.5546875" style="245" customWidth="1"/>
    <col min="20" max="27" width="9.5546875" customWidth="1"/>
    <col min="28" max="28" width="11.109375" customWidth="1"/>
    <col min="29" max="30" width="9.5546875" customWidth="1"/>
  </cols>
  <sheetData>
    <row r="1" spans="1:50" ht="72.599999999999994" x14ac:dyDescent="0.3">
      <c r="A1" s="282" t="s">
        <v>0</v>
      </c>
      <c r="B1" s="284" t="s">
        <v>1</v>
      </c>
      <c r="C1" s="284"/>
      <c r="D1" s="284" t="s">
        <v>2</v>
      </c>
      <c r="E1" s="284"/>
      <c r="F1" s="284" t="s">
        <v>3</v>
      </c>
      <c r="G1" s="284"/>
      <c r="H1" s="284" t="s">
        <v>4</v>
      </c>
      <c r="I1" s="284"/>
      <c r="J1" s="284" t="s">
        <v>5</v>
      </c>
      <c r="K1" s="284"/>
      <c r="L1" s="284" t="s">
        <v>6</v>
      </c>
      <c r="M1" s="284"/>
      <c r="N1" s="285" t="s">
        <v>7</v>
      </c>
      <c r="O1" s="285"/>
      <c r="P1" s="286" t="s">
        <v>8</v>
      </c>
      <c r="Q1" s="287"/>
      <c r="R1" s="2" t="s">
        <v>9</v>
      </c>
      <c r="S1" s="3" t="s">
        <v>10</v>
      </c>
      <c r="T1" s="276" t="s">
        <v>11</v>
      </c>
      <c r="U1" s="277"/>
      <c r="V1" s="276" t="s">
        <v>12</v>
      </c>
      <c r="W1" s="277"/>
      <c r="X1" s="276" t="s">
        <v>13</v>
      </c>
      <c r="Y1" s="277"/>
      <c r="Z1" s="276" t="s">
        <v>14</v>
      </c>
      <c r="AA1" s="277"/>
      <c r="AB1" s="278" t="s">
        <v>15</v>
      </c>
      <c r="AC1" s="280" t="s">
        <v>16</v>
      </c>
      <c r="AD1" s="4"/>
    </row>
    <row r="2" spans="1:50" s="9" customFormat="1" ht="40.5" customHeight="1" thickBot="1" x14ac:dyDescent="0.35">
      <c r="A2" s="283"/>
      <c r="B2" s="5" t="s">
        <v>17</v>
      </c>
      <c r="C2" s="5" t="s">
        <v>18</v>
      </c>
      <c r="D2" s="5" t="s">
        <v>17</v>
      </c>
      <c r="E2" s="5" t="s">
        <v>19</v>
      </c>
      <c r="F2" s="5" t="s">
        <v>17</v>
      </c>
      <c r="G2" s="5" t="s">
        <v>19</v>
      </c>
      <c r="H2" s="5" t="s">
        <v>17</v>
      </c>
      <c r="I2" s="5" t="s">
        <v>19</v>
      </c>
      <c r="J2" s="5" t="s">
        <v>17</v>
      </c>
      <c r="K2" s="5" t="s">
        <v>19</v>
      </c>
      <c r="L2" s="5" t="s">
        <v>17</v>
      </c>
      <c r="M2" s="5" t="s">
        <v>19</v>
      </c>
      <c r="N2" s="6" t="s">
        <v>17</v>
      </c>
      <c r="O2" s="6" t="s">
        <v>19</v>
      </c>
      <c r="P2" s="5" t="s">
        <v>17</v>
      </c>
      <c r="Q2" s="5" t="s">
        <v>19</v>
      </c>
      <c r="R2" s="7" t="s">
        <v>19</v>
      </c>
      <c r="S2" s="8" t="s">
        <v>19</v>
      </c>
      <c r="T2" s="5" t="s">
        <v>17</v>
      </c>
      <c r="U2" s="5" t="s">
        <v>19</v>
      </c>
      <c r="V2" s="5" t="s">
        <v>17</v>
      </c>
      <c r="W2" s="5" t="s">
        <v>19</v>
      </c>
      <c r="X2" s="5" t="s">
        <v>17</v>
      </c>
      <c r="Y2" s="5" t="s">
        <v>19</v>
      </c>
      <c r="Z2" s="5" t="s">
        <v>17</v>
      </c>
      <c r="AA2" s="5" t="s">
        <v>19</v>
      </c>
      <c r="AB2" s="279"/>
      <c r="AC2" s="281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ht="8.1" customHeight="1" x14ac:dyDescent="0.3">
      <c r="A3" s="10"/>
      <c r="B3" s="11"/>
      <c r="C3" s="12"/>
      <c r="D3" s="13"/>
      <c r="E3" s="14"/>
      <c r="F3" s="15"/>
      <c r="G3" s="16"/>
      <c r="H3" s="17"/>
      <c r="I3" s="18"/>
      <c r="J3" s="17"/>
      <c r="K3" s="19"/>
      <c r="L3" s="17"/>
      <c r="M3" s="19"/>
      <c r="N3" s="20"/>
      <c r="O3" s="20"/>
      <c r="P3" s="20"/>
      <c r="Q3" s="20"/>
      <c r="R3" s="21"/>
      <c r="S3" s="21"/>
      <c r="T3" s="20"/>
      <c r="U3" s="20"/>
      <c r="V3" s="20"/>
      <c r="W3" s="20"/>
      <c r="X3" s="20"/>
      <c r="Y3" s="20"/>
      <c r="Z3" s="20"/>
      <c r="AA3" s="20"/>
      <c r="AB3" s="22"/>
      <c r="AC3" s="23"/>
    </row>
    <row r="4" spans="1:50" ht="45" customHeight="1" x14ac:dyDescent="0.3">
      <c r="A4" s="24" t="s">
        <v>20</v>
      </c>
      <c r="B4" s="25" t="s">
        <v>21</v>
      </c>
      <c r="C4" s="26">
        <v>3200</v>
      </c>
      <c r="D4" s="25" t="s">
        <v>21</v>
      </c>
      <c r="E4" s="27">
        <v>3200</v>
      </c>
      <c r="F4" s="28" t="s">
        <v>21</v>
      </c>
      <c r="G4" s="29">
        <v>0</v>
      </c>
      <c r="H4" s="30" t="s">
        <v>21</v>
      </c>
      <c r="I4" s="31">
        <v>1600</v>
      </c>
      <c r="J4" s="30" t="s">
        <v>21</v>
      </c>
      <c r="K4" s="31">
        <v>3200</v>
      </c>
      <c r="L4" s="30" t="s">
        <v>22</v>
      </c>
      <c r="M4" s="31">
        <v>1600</v>
      </c>
      <c r="N4" s="32" t="s">
        <v>21</v>
      </c>
      <c r="O4" s="33">
        <v>0</v>
      </c>
      <c r="P4" s="28" t="s">
        <v>23</v>
      </c>
      <c r="Q4" s="34">
        <v>0</v>
      </c>
      <c r="R4" s="33">
        <v>0</v>
      </c>
      <c r="S4" s="35">
        <v>0</v>
      </c>
      <c r="T4" s="36"/>
      <c r="U4" s="34"/>
      <c r="V4" s="35" t="s">
        <v>23</v>
      </c>
      <c r="W4" s="35">
        <v>0</v>
      </c>
      <c r="X4" s="35" t="s">
        <v>23</v>
      </c>
      <c r="Y4" s="35">
        <v>0</v>
      </c>
      <c r="Z4" s="35" t="s">
        <v>23</v>
      </c>
      <c r="AA4" s="35">
        <v>0</v>
      </c>
      <c r="AB4" s="37">
        <f>C4+E4+G4+I4+K4+M4+O4+U4</f>
        <v>12800</v>
      </c>
      <c r="AC4" s="38">
        <f>SUM(AB4/1600)</f>
        <v>8</v>
      </c>
      <c r="AD4" s="1"/>
    </row>
    <row r="5" spans="1:50" ht="40.200000000000003" x14ac:dyDescent="0.3">
      <c r="A5" s="39" t="s">
        <v>25</v>
      </c>
      <c r="B5" s="25" t="s">
        <v>26</v>
      </c>
      <c r="C5" s="40">
        <v>1600</v>
      </c>
      <c r="D5" s="25" t="s">
        <v>26</v>
      </c>
      <c r="E5" s="27">
        <v>1600</v>
      </c>
      <c r="F5" s="28" t="s">
        <v>26</v>
      </c>
      <c r="G5" s="29">
        <v>0</v>
      </c>
      <c r="H5" s="30" t="s">
        <v>26</v>
      </c>
      <c r="I5" s="31">
        <v>1600</v>
      </c>
      <c r="J5" s="41" t="s">
        <v>26</v>
      </c>
      <c r="K5" s="31">
        <v>800</v>
      </c>
      <c r="L5" s="30" t="s">
        <v>22</v>
      </c>
      <c r="M5" s="31">
        <v>800</v>
      </c>
      <c r="N5" s="42" t="s">
        <v>23</v>
      </c>
      <c r="O5" s="43">
        <v>0</v>
      </c>
      <c r="P5" s="28" t="s">
        <v>23</v>
      </c>
      <c r="Q5" s="34">
        <v>0</v>
      </c>
      <c r="R5" s="33">
        <v>0</v>
      </c>
      <c r="S5" s="35">
        <v>0</v>
      </c>
      <c r="T5" s="28" t="s">
        <v>23</v>
      </c>
      <c r="U5" s="34">
        <v>0</v>
      </c>
      <c r="V5" s="35" t="s">
        <v>23</v>
      </c>
      <c r="W5" s="35">
        <v>0</v>
      </c>
      <c r="X5" s="35" t="s">
        <v>23</v>
      </c>
      <c r="Y5" s="35">
        <v>0</v>
      </c>
      <c r="Z5" s="35" t="s">
        <v>23</v>
      </c>
      <c r="AA5" s="35">
        <v>0</v>
      </c>
      <c r="AB5" s="37">
        <f t="shared" ref="AB5:AB8" si="0">C5+E5+G5+I5+K5+M5+O5+U5</f>
        <v>6400</v>
      </c>
      <c r="AC5" s="38">
        <f>SUM(AB5/1600)</f>
        <v>4</v>
      </c>
      <c r="AD5" s="1"/>
    </row>
    <row r="6" spans="1:50" ht="40.200000000000003" x14ac:dyDescent="0.3">
      <c r="A6" s="258" t="s">
        <v>27</v>
      </c>
      <c r="B6" s="30" t="s">
        <v>28</v>
      </c>
      <c r="C6" s="31">
        <v>1600</v>
      </c>
      <c r="D6" s="30" t="s">
        <v>28</v>
      </c>
      <c r="E6" s="44">
        <v>1600</v>
      </c>
      <c r="F6" s="28" t="s">
        <v>28</v>
      </c>
      <c r="G6" s="29">
        <v>0</v>
      </c>
      <c r="H6" s="30" t="s">
        <v>28</v>
      </c>
      <c r="I6" s="31">
        <v>1600</v>
      </c>
      <c r="J6" s="30" t="s">
        <v>28</v>
      </c>
      <c r="K6" s="31">
        <v>800</v>
      </c>
      <c r="L6" s="30">
        <v>0</v>
      </c>
      <c r="M6" s="45">
        <v>0</v>
      </c>
      <c r="N6" s="42" t="s">
        <v>23</v>
      </c>
      <c r="O6" s="33">
        <v>0</v>
      </c>
      <c r="P6" s="28" t="s">
        <v>23</v>
      </c>
      <c r="Q6" s="34">
        <v>0</v>
      </c>
      <c r="R6" s="33">
        <v>0</v>
      </c>
      <c r="S6" s="35">
        <v>0</v>
      </c>
      <c r="T6" s="28" t="s">
        <v>23</v>
      </c>
      <c r="U6" s="46">
        <v>0</v>
      </c>
      <c r="V6" s="35" t="s">
        <v>23</v>
      </c>
      <c r="W6" s="35">
        <v>0</v>
      </c>
      <c r="X6" s="35" t="s">
        <v>23</v>
      </c>
      <c r="Y6" s="35">
        <v>0</v>
      </c>
      <c r="Z6" s="35" t="s">
        <v>23</v>
      </c>
      <c r="AA6" s="35">
        <v>0</v>
      </c>
      <c r="AB6" s="37">
        <f t="shared" si="0"/>
        <v>5600</v>
      </c>
      <c r="AC6" s="38">
        <f>SUM(AB6/1600)</f>
        <v>3.5</v>
      </c>
      <c r="AD6" s="47"/>
    </row>
    <row r="7" spans="1:50" ht="40.200000000000003" x14ac:dyDescent="0.3">
      <c r="A7" s="48" t="s">
        <v>29</v>
      </c>
      <c r="B7" s="25" t="s">
        <v>30</v>
      </c>
      <c r="C7" s="26">
        <v>800</v>
      </c>
      <c r="D7" s="25" t="s">
        <v>30</v>
      </c>
      <c r="E7" s="27">
        <v>0</v>
      </c>
      <c r="F7" s="28" t="s">
        <v>30</v>
      </c>
      <c r="G7" s="29">
        <v>0</v>
      </c>
      <c r="H7" s="30" t="s">
        <v>30</v>
      </c>
      <c r="I7" s="31">
        <v>800</v>
      </c>
      <c r="J7" s="30" t="s">
        <v>30</v>
      </c>
      <c r="K7" s="45">
        <v>0</v>
      </c>
      <c r="L7" s="30">
        <v>0</v>
      </c>
      <c r="M7" s="45">
        <v>0</v>
      </c>
      <c r="N7" s="42" t="s">
        <v>23</v>
      </c>
      <c r="O7" s="43">
        <v>0</v>
      </c>
      <c r="P7" s="28" t="s">
        <v>23</v>
      </c>
      <c r="Q7" s="34">
        <v>0</v>
      </c>
      <c r="R7" s="33">
        <v>0</v>
      </c>
      <c r="S7" s="35">
        <v>0</v>
      </c>
      <c r="T7" s="28" t="s">
        <v>23</v>
      </c>
      <c r="U7" s="46">
        <v>0</v>
      </c>
      <c r="V7" s="35" t="s">
        <v>23</v>
      </c>
      <c r="W7" s="35">
        <v>0</v>
      </c>
      <c r="X7" s="35" t="s">
        <v>23</v>
      </c>
      <c r="Y7" s="35">
        <v>0</v>
      </c>
      <c r="Z7" s="35" t="s">
        <v>23</v>
      </c>
      <c r="AA7" s="35">
        <v>0</v>
      </c>
      <c r="AB7" s="37">
        <f t="shared" si="0"/>
        <v>1600</v>
      </c>
      <c r="AC7" s="38">
        <f>SUM(AB7/1600)</f>
        <v>1</v>
      </c>
    </row>
    <row r="8" spans="1:50" ht="27" x14ac:dyDescent="0.3">
      <c r="A8" s="24" t="s">
        <v>31</v>
      </c>
      <c r="B8" s="49"/>
      <c r="C8" s="50">
        <f>SUM(C4:C7)</f>
        <v>7200</v>
      </c>
      <c r="D8" s="51"/>
      <c r="E8" s="52">
        <f>SUM(E4:E7)</f>
        <v>6400</v>
      </c>
      <c r="F8" s="53"/>
      <c r="G8" s="54">
        <f>SUM(G4:G7)</f>
        <v>0</v>
      </c>
      <c r="H8" s="53"/>
      <c r="I8" s="54">
        <f>SUM(I4:I7)</f>
        <v>5600</v>
      </c>
      <c r="J8" s="53"/>
      <c r="K8" s="54">
        <f>SUM(K4:K7)</f>
        <v>4800</v>
      </c>
      <c r="L8" s="53"/>
      <c r="M8" s="54">
        <f>SUM(M4:M7)</f>
        <v>2400</v>
      </c>
      <c r="N8" s="55"/>
      <c r="O8" s="55">
        <f>SUM(O4:O7)</f>
        <v>0</v>
      </c>
      <c r="P8" s="56"/>
      <c r="Q8" s="56"/>
      <c r="R8" s="55"/>
      <c r="S8" s="57"/>
      <c r="T8" s="56"/>
      <c r="U8" s="56">
        <f>SUM(U4:U7)</f>
        <v>0</v>
      </c>
      <c r="V8" s="57"/>
      <c r="W8" s="56"/>
      <c r="X8" s="56"/>
      <c r="Y8" s="56"/>
      <c r="Z8" s="56"/>
      <c r="AA8" s="56"/>
      <c r="AB8" s="50">
        <f t="shared" si="0"/>
        <v>26400</v>
      </c>
      <c r="AC8" s="58">
        <f>SUM(AB8/1600)</f>
        <v>16.5</v>
      </c>
    </row>
    <row r="9" spans="1:50" ht="8.1" customHeight="1" x14ac:dyDescent="0.3">
      <c r="A9" s="59"/>
      <c r="B9" s="60"/>
      <c r="C9" s="61"/>
      <c r="D9" s="62"/>
      <c r="E9" s="63"/>
      <c r="F9" s="64"/>
      <c r="G9" s="65"/>
      <c r="H9" s="32"/>
      <c r="I9" s="66"/>
      <c r="J9" s="32"/>
      <c r="K9" s="67"/>
      <c r="L9" s="32"/>
      <c r="M9" s="67"/>
      <c r="N9" s="43"/>
      <c r="O9" s="43"/>
      <c r="P9" s="68"/>
      <c r="Q9" s="68"/>
      <c r="R9" s="43"/>
      <c r="S9" s="43"/>
      <c r="T9" s="68"/>
      <c r="U9" s="68"/>
      <c r="V9" s="43"/>
      <c r="W9" s="68"/>
      <c r="X9" s="68"/>
      <c r="Y9" s="68"/>
      <c r="Z9" s="68"/>
      <c r="AA9" s="68"/>
      <c r="AB9" s="61">
        <f>C9+E9+G9+I9+K9+M9</f>
        <v>0</v>
      </c>
      <c r="AC9" s="69"/>
    </row>
    <row r="10" spans="1:50" ht="40.200000000000003" x14ac:dyDescent="0.3">
      <c r="A10" s="24" t="s">
        <v>32</v>
      </c>
      <c r="B10" s="25" t="s">
        <v>26</v>
      </c>
      <c r="C10" s="26">
        <v>4000</v>
      </c>
      <c r="D10" s="30" t="s">
        <v>26</v>
      </c>
      <c r="E10" s="70">
        <v>6400</v>
      </c>
      <c r="F10" s="28" t="s">
        <v>23</v>
      </c>
      <c r="G10" s="29">
        <v>0</v>
      </c>
      <c r="H10" s="30" t="s">
        <v>26</v>
      </c>
      <c r="I10" s="26">
        <v>3200</v>
      </c>
      <c r="J10" s="30" t="s">
        <v>26</v>
      </c>
      <c r="K10" s="26">
        <v>4000</v>
      </c>
      <c r="L10" s="30" t="s">
        <v>26</v>
      </c>
      <c r="M10" s="26">
        <v>1600</v>
      </c>
      <c r="N10" s="32" t="s">
        <v>26</v>
      </c>
      <c r="O10" s="71">
        <v>0</v>
      </c>
      <c r="P10" s="28" t="s">
        <v>23</v>
      </c>
      <c r="Q10" s="34">
        <v>0</v>
      </c>
      <c r="R10" s="33">
        <v>0</v>
      </c>
      <c r="S10" s="35">
        <v>0</v>
      </c>
      <c r="T10" s="28" t="s">
        <v>23</v>
      </c>
      <c r="U10" s="72">
        <v>0</v>
      </c>
      <c r="V10" s="35" t="s">
        <v>23</v>
      </c>
      <c r="W10" s="35">
        <v>0</v>
      </c>
      <c r="X10" s="35" t="s">
        <v>23</v>
      </c>
      <c r="Y10" s="35">
        <v>0</v>
      </c>
      <c r="Z10" s="35" t="s">
        <v>23</v>
      </c>
      <c r="AA10" s="35">
        <v>0</v>
      </c>
      <c r="AB10" s="37">
        <f t="shared" ref="AB10:AB12" si="1">C10+E10+G10+I10+K10+M10+O10+U10</f>
        <v>19200</v>
      </c>
      <c r="AC10" s="38">
        <f>SUM(AB10/1600)</f>
        <v>12</v>
      </c>
    </row>
    <row r="11" spans="1:50" ht="40.200000000000003" x14ac:dyDescent="0.3">
      <c r="A11" s="39" t="s">
        <v>33</v>
      </c>
      <c r="B11" s="25" t="s">
        <v>23</v>
      </c>
      <c r="C11" s="26">
        <v>0</v>
      </c>
      <c r="D11" s="25" t="s">
        <v>23</v>
      </c>
      <c r="E11" s="73">
        <v>0</v>
      </c>
      <c r="F11" s="28" t="s">
        <v>23</v>
      </c>
      <c r="G11" s="29">
        <v>0</v>
      </c>
      <c r="H11" s="25" t="s">
        <v>23</v>
      </c>
      <c r="I11" s="26">
        <v>0</v>
      </c>
      <c r="J11" s="25" t="s">
        <v>23</v>
      </c>
      <c r="K11" s="26">
        <v>0</v>
      </c>
      <c r="L11" s="25">
        <v>0</v>
      </c>
      <c r="M11" s="26">
        <v>0</v>
      </c>
      <c r="N11" s="42" t="s">
        <v>23</v>
      </c>
      <c r="O11" s="71">
        <v>0</v>
      </c>
      <c r="P11" s="28" t="s">
        <v>23</v>
      </c>
      <c r="Q11" s="34">
        <v>0</v>
      </c>
      <c r="R11" s="33">
        <v>0</v>
      </c>
      <c r="S11" s="35">
        <v>0</v>
      </c>
      <c r="T11" s="28" t="s">
        <v>23</v>
      </c>
      <c r="U11" s="74">
        <v>0</v>
      </c>
      <c r="V11" s="35" t="s">
        <v>23</v>
      </c>
      <c r="W11" s="35">
        <v>0</v>
      </c>
      <c r="X11" s="35" t="s">
        <v>23</v>
      </c>
      <c r="Y11" s="35">
        <v>0</v>
      </c>
      <c r="Z11" s="35" t="s">
        <v>23</v>
      </c>
      <c r="AA11" s="35">
        <v>0</v>
      </c>
      <c r="AB11" s="37">
        <f t="shared" si="1"/>
        <v>0</v>
      </c>
      <c r="AC11" s="38">
        <f>SUM(AB11/1600)</f>
        <v>0</v>
      </c>
    </row>
    <row r="12" spans="1:50" x14ac:dyDescent="0.3">
      <c r="A12" s="24" t="s">
        <v>34</v>
      </c>
      <c r="B12" s="49" t="s">
        <v>23</v>
      </c>
      <c r="C12" s="50">
        <f>SUM(C10:C11)</f>
        <v>4000</v>
      </c>
      <c r="D12" s="75"/>
      <c r="E12" s="52">
        <f>SUM(E10:E11)</f>
        <v>6400</v>
      </c>
      <c r="F12" s="76"/>
      <c r="G12" s="77">
        <f>SUM(G10:G11)</f>
        <v>0</v>
      </c>
      <c r="H12" s="75"/>
      <c r="I12" s="78">
        <f>SUM(I10:I11)</f>
        <v>3200</v>
      </c>
      <c r="J12" s="75"/>
      <c r="K12" s="78">
        <f>SUM(K10:K11)</f>
        <v>4000</v>
      </c>
      <c r="L12" s="75"/>
      <c r="M12" s="78">
        <f>SUM(M10:M11)</f>
        <v>1600</v>
      </c>
      <c r="N12" s="43"/>
      <c r="O12" s="43">
        <f>SUM(O10:O11)</f>
        <v>0</v>
      </c>
      <c r="P12" s="79"/>
      <c r="Q12" s="79"/>
      <c r="R12" s="43"/>
      <c r="S12" s="80"/>
      <c r="T12" s="79"/>
      <c r="U12" s="79">
        <f>SUM(U10:U11)</f>
        <v>0</v>
      </c>
      <c r="V12" s="80"/>
      <c r="W12" s="79"/>
      <c r="X12" s="79"/>
      <c r="Y12" s="79"/>
      <c r="Z12" s="79"/>
      <c r="AA12" s="79"/>
      <c r="AB12" s="50">
        <f t="shared" si="1"/>
        <v>19200</v>
      </c>
      <c r="AC12" s="58">
        <f>SUM(AB12/1600)</f>
        <v>12</v>
      </c>
    </row>
    <row r="13" spans="1:50" ht="8.1" customHeight="1" x14ac:dyDescent="0.3">
      <c r="A13" s="59"/>
      <c r="B13" s="60"/>
      <c r="C13" s="61"/>
      <c r="D13" s="62"/>
      <c r="E13" s="63"/>
      <c r="F13" s="64"/>
      <c r="G13" s="65"/>
      <c r="H13" s="32"/>
      <c r="I13" s="66"/>
      <c r="J13" s="32"/>
      <c r="K13" s="67"/>
      <c r="L13" s="32"/>
      <c r="M13" s="67"/>
      <c r="N13" s="43"/>
      <c r="O13" s="43"/>
      <c r="P13" s="68"/>
      <c r="Q13" s="68"/>
      <c r="R13" s="43"/>
      <c r="S13" s="43"/>
      <c r="T13" s="68"/>
      <c r="U13" s="68"/>
      <c r="V13" s="43"/>
      <c r="W13" s="68"/>
      <c r="X13" s="68"/>
      <c r="Y13" s="68"/>
      <c r="Z13" s="68"/>
      <c r="AA13" s="68"/>
      <c r="AB13" s="61"/>
      <c r="AC13" s="69"/>
    </row>
    <row r="14" spans="1:50" ht="40.200000000000003" x14ac:dyDescent="0.3">
      <c r="A14" s="39" t="s">
        <v>35</v>
      </c>
      <c r="B14" s="25" t="s">
        <v>24</v>
      </c>
      <c r="C14" s="26">
        <v>3600</v>
      </c>
      <c r="D14" s="25" t="s">
        <v>24</v>
      </c>
      <c r="E14" s="73">
        <v>11200</v>
      </c>
      <c r="F14" s="28" t="s">
        <v>23</v>
      </c>
      <c r="G14" s="29">
        <v>0</v>
      </c>
      <c r="H14" s="30" t="s">
        <v>26</v>
      </c>
      <c r="I14" s="26">
        <v>12800</v>
      </c>
      <c r="J14" s="81" t="s">
        <v>36</v>
      </c>
      <c r="K14" s="82">
        <v>0</v>
      </c>
      <c r="L14" s="30" t="s">
        <v>24</v>
      </c>
      <c r="M14" s="83">
        <v>1600</v>
      </c>
      <c r="N14" s="60" t="s">
        <v>23</v>
      </c>
      <c r="O14" s="43">
        <v>0</v>
      </c>
      <c r="P14" s="28" t="s">
        <v>23</v>
      </c>
      <c r="Q14" s="34">
        <v>0</v>
      </c>
      <c r="R14" s="33">
        <v>0</v>
      </c>
      <c r="S14" s="35">
        <v>0</v>
      </c>
      <c r="T14" s="36"/>
      <c r="U14" s="46"/>
      <c r="V14" s="35" t="s">
        <v>23</v>
      </c>
      <c r="W14" s="35">
        <v>0</v>
      </c>
      <c r="X14" s="35" t="s">
        <v>23</v>
      </c>
      <c r="Y14" s="35">
        <v>0</v>
      </c>
      <c r="Z14" s="35" t="s">
        <v>23</v>
      </c>
      <c r="AA14" s="35">
        <v>0</v>
      </c>
      <c r="AB14" s="37">
        <f>C14+E14+G14+I14+K14+M14+O14+U14</f>
        <v>29200</v>
      </c>
      <c r="AC14" s="58">
        <f>SUM(AB14/1600)</f>
        <v>18.25</v>
      </c>
    </row>
    <row r="15" spans="1:50" ht="8.1" customHeight="1" x14ac:dyDescent="0.3">
      <c r="A15" s="59"/>
      <c r="B15" s="60" t="s">
        <v>37</v>
      </c>
      <c r="C15" s="61"/>
      <c r="D15" s="60"/>
      <c r="E15" s="84"/>
      <c r="F15" s="64"/>
      <c r="G15" s="65"/>
      <c r="H15" s="32"/>
      <c r="I15" s="66"/>
      <c r="J15" s="32"/>
      <c r="K15" s="67"/>
      <c r="L15" s="32"/>
      <c r="M15" s="67"/>
      <c r="N15" s="43"/>
      <c r="O15" s="43"/>
      <c r="P15" s="68"/>
      <c r="Q15" s="68"/>
      <c r="R15" s="43"/>
      <c r="S15" s="43"/>
      <c r="T15" s="68"/>
      <c r="U15" s="68"/>
      <c r="V15" s="43"/>
      <c r="W15" s="68"/>
      <c r="X15" s="68"/>
      <c r="Y15" s="68"/>
      <c r="Z15" s="68"/>
      <c r="AA15" s="68"/>
      <c r="AB15" s="61"/>
      <c r="AC15" s="69"/>
    </row>
    <row r="16" spans="1:50" ht="40.200000000000003" x14ac:dyDescent="0.3">
      <c r="A16" s="85" t="s">
        <v>38</v>
      </c>
      <c r="B16" s="25" t="s">
        <v>39</v>
      </c>
      <c r="C16" s="26">
        <v>6400</v>
      </c>
      <c r="D16" s="25" t="s">
        <v>40</v>
      </c>
      <c r="E16" s="73">
        <v>14400</v>
      </c>
      <c r="F16" s="28">
        <v>0</v>
      </c>
      <c r="G16" s="29">
        <v>0</v>
      </c>
      <c r="H16" s="25" t="s">
        <v>40</v>
      </c>
      <c r="I16" s="26">
        <v>3200</v>
      </c>
      <c r="J16" s="25" t="s">
        <v>40</v>
      </c>
      <c r="K16" s="31">
        <v>4000</v>
      </c>
      <c r="L16" s="41" t="s">
        <v>41</v>
      </c>
      <c r="M16" s="31">
        <v>3200</v>
      </c>
      <c r="N16" s="42" t="s">
        <v>23</v>
      </c>
      <c r="O16" s="33">
        <v>0</v>
      </c>
      <c r="P16" s="28" t="s">
        <v>23</v>
      </c>
      <c r="Q16" s="34">
        <v>0</v>
      </c>
      <c r="R16" s="33">
        <v>0</v>
      </c>
      <c r="S16" s="35">
        <v>0</v>
      </c>
      <c r="T16" s="36"/>
      <c r="U16" s="34"/>
      <c r="V16" s="35" t="s">
        <v>23</v>
      </c>
      <c r="W16" s="35">
        <v>0</v>
      </c>
      <c r="X16" s="35" t="s">
        <v>23</v>
      </c>
      <c r="Y16" s="35">
        <v>0</v>
      </c>
      <c r="Z16" s="35" t="s">
        <v>23</v>
      </c>
      <c r="AA16" s="35">
        <v>0</v>
      </c>
      <c r="AB16" s="37">
        <f t="shared" ref="AB16:AB18" si="2">C16+E16+G16+I16+K16+M16+O16+U16</f>
        <v>31200</v>
      </c>
      <c r="AC16" s="38">
        <f>SUM(AB16/1600)</f>
        <v>19.5</v>
      </c>
    </row>
    <row r="17" spans="1:31" ht="40.200000000000003" x14ac:dyDescent="0.3">
      <c r="A17" s="39" t="s">
        <v>42</v>
      </c>
      <c r="B17" s="25" t="s">
        <v>23</v>
      </c>
      <c r="C17" s="40">
        <v>0</v>
      </c>
      <c r="D17" s="25" t="s">
        <v>23</v>
      </c>
      <c r="E17" s="27">
        <v>0</v>
      </c>
      <c r="F17" s="28" t="s">
        <v>23</v>
      </c>
      <c r="G17" s="29">
        <v>0</v>
      </c>
      <c r="H17" s="30" t="s">
        <v>24</v>
      </c>
      <c r="I17" s="31">
        <v>800</v>
      </c>
      <c r="J17" s="30" t="s">
        <v>23</v>
      </c>
      <c r="K17" s="45">
        <v>400</v>
      </c>
      <c r="L17" s="30" t="s">
        <v>43</v>
      </c>
      <c r="M17" s="31">
        <v>800</v>
      </c>
      <c r="N17" s="42" t="s">
        <v>23</v>
      </c>
      <c r="O17" s="33">
        <v>0</v>
      </c>
      <c r="P17" s="28" t="s">
        <v>23</v>
      </c>
      <c r="Q17" s="34">
        <v>0</v>
      </c>
      <c r="R17" s="33">
        <v>0</v>
      </c>
      <c r="S17" s="35">
        <v>0</v>
      </c>
      <c r="T17" s="28" t="s">
        <v>23</v>
      </c>
      <c r="U17" s="86">
        <v>0</v>
      </c>
      <c r="V17" s="35" t="s">
        <v>23</v>
      </c>
      <c r="W17" s="35">
        <v>0</v>
      </c>
      <c r="X17" s="35" t="s">
        <v>23</v>
      </c>
      <c r="Y17" s="35">
        <v>0</v>
      </c>
      <c r="Z17" s="35" t="s">
        <v>23</v>
      </c>
      <c r="AA17" s="35">
        <v>0</v>
      </c>
      <c r="AB17" s="37">
        <f t="shared" si="2"/>
        <v>2000</v>
      </c>
      <c r="AC17" s="38">
        <f>SUM(AB17/1600)</f>
        <v>1.25</v>
      </c>
    </row>
    <row r="18" spans="1:31" ht="27" x14ac:dyDescent="0.3">
      <c r="A18" s="24" t="s">
        <v>44</v>
      </c>
      <c r="B18" s="49"/>
      <c r="C18" s="50">
        <f>SUM(C16:C17)</f>
        <v>6400</v>
      </c>
      <c r="D18" s="75"/>
      <c r="E18" s="52">
        <f>SUM(E16:E17)</f>
        <v>14400</v>
      </c>
      <c r="F18" s="53"/>
      <c r="G18" s="54">
        <v>0</v>
      </c>
      <c r="H18" s="53"/>
      <c r="I18" s="54">
        <f>SUM(I16:I17)</f>
        <v>4000</v>
      </c>
      <c r="J18" s="53"/>
      <c r="K18" s="54">
        <f>SUM(K16:K17)</f>
        <v>4400</v>
      </c>
      <c r="L18" s="53"/>
      <c r="M18" s="54">
        <f>SUM(M16:M17)</f>
        <v>4000</v>
      </c>
      <c r="N18" s="55"/>
      <c r="O18" s="55">
        <f>SUM(O16:O17)</f>
        <v>0</v>
      </c>
      <c r="P18" s="56"/>
      <c r="Q18" s="56"/>
      <c r="R18" s="55"/>
      <c r="S18" s="57"/>
      <c r="T18" s="56"/>
      <c r="U18" s="56">
        <f>SUM(U16:U17)</f>
        <v>0</v>
      </c>
      <c r="V18" s="57"/>
      <c r="W18" s="56"/>
      <c r="X18" s="56"/>
      <c r="Y18" s="56"/>
      <c r="Z18" s="56"/>
      <c r="AA18" s="56"/>
      <c r="AB18" s="50">
        <f t="shared" si="2"/>
        <v>33200</v>
      </c>
      <c r="AC18" s="58">
        <f>SUM(AB18/1600)</f>
        <v>20.75</v>
      </c>
    </row>
    <row r="19" spans="1:31" ht="8.1" customHeight="1" thickBot="1" x14ac:dyDescent="0.35">
      <c r="A19" s="87"/>
      <c r="B19" s="88"/>
      <c r="C19" s="89">
        <f>SUM(C16:C17)</f>
        <v>6400</v>
      </c>
      <c r="D19" s="90"/>
      <c r="E19" s="91"/>
      <c r="F19" s="92"/>
      <c r="G19" s="93"/>
      <c r="H19" s="94"/>
      <c r="I19" s="95"/>
      <c r="J19" s="94"/>
      <c r="K19" s="96"/>
      <c r="L19" s="94"/>
      <c r="M19" s="96"/>
      <c r="N19" s="43"/>
      <c r="O19" s="43"/>
      <c r="P19" s="97"/>
      <c r="Q19" s="97"/>
      <c r="R19" s="43"/>
      <c r="S19" s="43"/>
      <c r="T19" s="97"/>
      <c r="U19" s="97"/>
      <c r="V19" s="98"/>
      <c r="W19" s="97"/>
      <c r="X19" s="97"/>
      <c r="Y19" s="97"/>
      <c r="Z19" s="97"/>
      <c r="AA19" s="97"/>
      <c r="AB19" s="61"/>
      <c r="AC19" s="69"/>
    </row>
    <row r="20" spans="1:31" ht="66.599999999999994" x14ac:dyDescent="0.3">
      <c r="A20" s="99" t="s">
        <v>45</v>
      </c>
      <c r="B20" s="100" t="s">
        <v>46</v>
      </c>
      <c r="C20" s="101">
        <v>4000</v>
      </c>
      <c r="D20" s="100" t="s">
        <v>26</v>
      </c>
      <c r="E20" s="101">
        <v>4800</v>
      </c>
      <c r="F20" s="102" t="s">
        <v>23</v>
      </c>
      <c r="G20" s="103">
        <v>0</v>
      </c>
      <c r="H20" s="100" t="s">
        <v>47</v>
      </c>
      <c r="I20" s="101">
        <v>4000</v>
      </c>
      <c r="J20" s="100" t="s">
        <v>48</v>
      </c>
      <c r="K20" s="101">
        <v>3200</v>
      </c>
      <c r="L20" s="104" t="s">
        <v>49</v>
      </c>
      <c r="M20" s="105">
        <v>3200</v>
      </c>
      <c r="N20" s="60" t="s">
        <v>26</v>
      </c>
      <c r="O20" s="33">
        <v>0</v>
      </c>
      <c r="P20" s="28" t="s">
        <v>23</v>
      </c>
      <c r="Q20" s="34">
        <v>0</v>
      </c>
      <c r="R20" s="33">
        <v>0</v>
      </c>
      <c r="S20" s="35">
        <v>0</v>
      </c>
      <c r="T20" s="36"/>
      <c r="U20" s="105">
        <v>0</v>
      </c>
      <c r="V20" s="35" t="s">
        <v>23</v>
      </c>
      <c r="W20" s="35">
        <v>0</v>
      </c>
      <c r="X20" s="35" t="s">
        <v>23</v>
      </c>
      <c r="Y20" s="35">
        <v>0</v>
      </c>
      <c r="Z20" s="35" t="s">
        <v>23</v>
      </c>
      <c r="AA20" s="35">
        <v>0</v>
      </c>
      <c r="AB20" s="37">
        <f t="shared" ref="AB20:AB21" si="3">C20+E20+G20+I20+K20+M20+O20+U20</f>
        <v>19200</v>
      </c>
      <c r="AC20" s="38">
        <f>SUM(AB20/1600)</f>
        <v>12</v>
      </c>
      <c r="AD20" s="47"/>
    </row>
    <row r="21" spans="1:31" ht="27" x14ac:dyDescent="0.3">
      <c r="A21" s="24" t="s">
        <v>50</v>
      </c>
      <c r="B21" s="49"/>
      <c r="C21" s="50">
        <f>SUM(C20:C20)</f>
        <v>4000</v>
      </c>
      <c r="D21" s="53"/>
      <c r="E21" s="54">
        <f>SUM(E20:E20)</f>
        <v>4800</v>
      </c>
      <c r="F21" s="53"/>
      <c r="G21" s="54">
        <v>0</v>
      </c>
      <c r="H21" s="53"/>
      <c r="I21" s="54">
        <f>SUM(I20:I20)</f>
        <v>4000</v>
      </c>
      <c r="J21" s="53"/>
      <c r="K21" s="54">
        <f>SUM(K20:K20)</f>
        <v>3200</v>
      </c>
      <c r="L21" s="53"/>
      <c r="M21" s="54">
        <f>SUM(M20:M20)</f>
        <v>3200</v>
      </c>
      <c r="N21" s="55"/>
      <c r="O21" s="55">
        <f>SUM(O20:O20)</f>
        <v>0</v>
      </c>
      <c r="P21" s="56"/>
      <c r="Q21" s="56">
        <f>SUM(Q20:Q20)</f>
        <v>0</v>
      </c>
      <c r="R21" s="55"/>
      <c r="S21" s="57"/>
      <c r="T21" s="56"/>
      <c r="U21" s="57">
        <f>SUM(U20:U20)</f>
        <v>0</v>
      </c>
      <c r="V21" s="57"/>
      <c r="W21" s="57"/>
      <c r="X21" s="57"/>
      <c r="Y21" s="57"/>
      <c r="Z21" s="57"/>
      <c r="AA21" s="57"/>
      <c r="AB21" s="50">
        <f t="shared" si="3"/>
        <v>19200</v>
      </c>
      <c r="AC21" s="106">
        <f>SUM(AB21/1600)</f>
        <v>12</v>
      </c>
    </row>
    <row r="22" spans="1:31" ht="8.1" customHeight="1" x14ac:dyDescent="0.3">
      <c r="A22" s="59"/>
      <c r="B22" s="60" t="s">
        <v>23</v>
      </c>
      <c r="C22" s="61">
        <f>SUM(C20:C20)</f>
        <v>4000</v>
      </c>
      <c r="D22" s="62"/>
      <c r="E22" s="63"/>
      <c r="F22" s="64"/>
      <c r="G22" s="65"/>
      <c r="H22" s="32"/>
      <c r="I22" s="66"/>
      <c r="J22" s="32"/>
      <c r="K22" s="67"/>
      <c r="L22" s="32"/>
      <c r="M22" s="67">
        <f>SUM(M20:M20)</f>
        <v>3200</v>
      </c>
      <c r="N22" s="43"/>
      <c r="O22" s="43"/>
      <c r="P22" s="68"/>
      <c r="Q22" s="68"/>
      <c r="R22" s="43"/>
      <c r="S22" s="43"/>
      <c r="T22" s="68"/>
      <c r="U22" s="68"/>
      <c r="V22" s="43"/>
      <c r="W22" s="68"/>
      <c r="X22" s="68"/>
      <c r="Y22" s="68"/>
      <c r="Z22" s="68"/>
      <c r="AA22" s="68"/>
      <c r="AB22" s="61"/>
      <c r="AC22" s="69"/>
    </row>
    <row r="23" spans="1:31" ht="40.200000000000003" x14ac:dyDescent="0.3">
      <c r="A23" s="39" t="s">
        <v>51</v>
      </c>
      <c r="B23" s="25" t="s">
        <v>52</v>
      </c>
      <c r="C23" s="26">
        <v>1600</v>
      </c>
      <c r="D23" s="25" t="s">
        <v>23</v>
      </c>
      <c r="E23" s="40">
        <v>1600</v>
      </c>
      <c r="F23" s="28" t="s">
        <v>23</v>
      </c>
      <c r="G23" s="29">
        <v>0</v>
      </c>
      <c r="H23" s="30" t="s">
        <v>23</v>
      </c>
      <c r="I23" s="45">
        <v>800</v>
      </c>
      <c r="J23" s="41" t="s">
        <v>53</v>
      </c>
      <c r="K23" s="83">
        <v>1600</v>
      </c>
      <c r="L23" s="41" t="s">
        <v>54</v>
      </c>
      <c r="M23" s="107">
        <v>0</v>
      </c>
      <c r="N23" s="42" t="s">
        <v>23</v>
      </c>
      <c r="O23" s="43">
        <v>0</v>
      </c>
      <c r="P23" s="28" t="s">
        <v>23</v>
      </c>
      <c r="Q23" s="34">
        <v>0</v>
      </c>
      <c r="R23" s="33">
        <v>0</v>
      </c>
      <c r="S23" s="35">
        <v>0</v>
      </c>
      <c r="T23" s="28" t="s">
        <v>23</v>
      </c>
      <c r="U23" s="107">
        <v>0</v>
      </c>
      <c r="V23" s="35" t="s">
        <v>23</v>
      </c>
      <c r="W23" s="35">
        <v>0</v>
      </c>
      <c r="X23" s="35" t="s">
        <v>23</v>
      </c>
      <c r="Y23" s="35">
        <v>0</v>
      </c>
      <c r="Z23" s="35" t="s">
        <v>23</v>
      </c>
      <c r="AA23" s="35">
        <v>0</v>
      </c>
      <c r="AB23" s="37">
        <f t="shared" ref="AB23:AB25" si="4">C23+E23+G23+I23+K23+M23+O23+U23</f>
        <v>5600</v>
      </c>
      <c r="AC23" s="106">
        <f>SUM(AB23/1600)</f>
        <v>3.5</v>
      </c>
      <c r="AD23" s="1"/>
      <c r="AE23" s="1"/>
    </row>
    <row r="24" spans="1:31" ht="40.200000000000003" x14ac:dyDescent="0.3">
      <c r="A24" s="39" t="s">
        <v>55</v>
      </c>
      <c r="B24" s="108" t="s">
        <v>54</v>
      </c>
      <c r="C24" s="26">
        <v>1600</v>
      </c>
      <c r="D24" s="108" t="s">
        <v>54</v>
      </c>
      <c r="E24" s="40">
        <v>3200</v>
      </c>
      <c r="F24" s="108"/>
      <c r="G24" s="26"/>
      <c r="H24" s="108" t="s">
        <v>54</v>
      </c>
      <c r="I24" s="109">
        <v>1600</v>
      </c>
      <c r="J24" s="108" t="s">
        <v>54</v>
      </c>
      <c r="K24" s="109">
        <v>1600</v>
      </c>
      <c r="L24" s="41" t="s">
        <v>57</v>
      </c>
      <c r="M24" s="83">
        <v>1600</v>
      </c>
      <c r="N24" s="60" t="s">
        <v>54</v>
      </c>
      <c r="O24" s="43">
        <v>0</v>
      </c>
      <c r="P24" s="28" t="s">
        <v>23</v>
      </c>
      <c r="Q24" s="34">
        <v>0</v>
      </c>
      <c r="R24" s="33">
        <v>0</v>
      </c>
      <c r="S24" s="35">
        <v>0</v>
      </c>
      <c r="T24" s="36"/>
      <c r="U24" s="110"/>
      <c r="V24" s="35" t="s">
        <v>23</v>
      </c>
      <c r="W24" s="35">
        <v>0</v>
      </c>
      <c r="X24" s="35" t="s">
        <v>23</v>
      </c>
      <c r="Y24" s="35">
        <v>0</v>
      </c>
      <c r="Z24" s="35" t="s">
        <v>23</v>
      </c>
      <c r="AA24" s="35">
        <v>0</v>
      </c>
      <c r="AB24" s="37">
        <f t="shared" si="4"/>
        <v>9600</v>
      </c>
      <c r="AC24" s="106">
        <f>SUM(AB24/1600)</f>
        <v>6</v>
      </c>
      <c r="AD24" s="111"/>
      <c r="AE24" s="112"/>
    </row>
    <row r="25" spans="1:31" ht="93" x14ac:dyDescent="0.3">
      <c r="A25" s="39" t="s">
        <v>59</v>
      </c>
      <c r="B25" s="25" t="s">
        <v>26</v>
      </c>
      <c r="C25" s="26">
        <v>8000</v>
      </c>
      <c r="D25" s="25" t="s">
        <v>26</v>
      </c>
      <c r="E25" s="40">
        <v>12800</v>
      </c>
      <c r="F25" s="25"/>
      <c r="G25" s="26"/>
      <c r="H25" s="30" t="s">
        <v>24</v>
      </c>
      <c r="I25" s="31">
        <v>4000</v>
      </c>
      <c r="J25" s="30" t="s">
        <v>24</v>
      </c>
      <c r="K25" s="31">
        <v>4000</v>
      </c>
      <c r="L25" s="41" t="s">
        <v>60</v>
      </c>
      <c r="M25" s="31">
        <v>6400</v>
      </c>
      <c r="N25" s="60" t="s">
        <v>26</v>
      </c>
      <c r="O25" s="43">
        <v>0</v>
      </c>
      <c r="P25" s="28" t="s">
        <v>23</v>
      </c>
      <c r="Q25" s="34">
        <v>0</v>
      </c>
      <c r="R25" s="33">
        <v>0</v>
      </c>
      <c r="S25" s="35">
        <v>0</v>
      </c>
      <c r="T25" s="36"/>
      <c r="U25" s="83"/>
      <c r="V25" s="35" t="s">
        <v>23</v>
      </c>
      <c r="W25" s="35">
        <v>0</v>
      </c>
      <c r="X25" s="35" t="s">
        <v>23</v>
      </c>
      <c r="Y25" s="35">
        <v>0</v>
      </c>
      <c r="Z25" s="35" t="s">
        <v>23</v>
      </c>
      <c r="AA25" s="35">
        <v>0</v>
      </c>
      <c r="AB25" s="37">
        <f t="shared" si="4"/>
        <v>35200</v>
      </c>
      <c r="AC25" s="106">
        <f>SUM(AB25/1600)</f>
        <v>22</v>
      </c>
      <c r="AD25" s="113"/>
      <c r="AE25" s="1"/>
    </row>
    <row r="26" spans="1:31" ht="8.1" customHeight="1" x14ac:dyDescent="0.3">
      <c r="A26" s="59"/>
      <c r="B26" s="60" t="s">
        <v>52</v>
      </c>
      <c r="C26" s="61"/>
      <c r="D26" s="60"/>
      <c r="E26" s="84"/>
      <c r="F26" s="64"/>
      <c r="G26" s="65"/>
      <c r="H26" s="32"/>
      <c r="I26" s="66"/>
      <c r="J26" s="32"/>
      <c r="K26" s="67"/>
      <c r="L26" s="32"/>
      <c r="M26" s="67"/>
      <c r="N26" s="43"/>
      <c r="O26" s="43"/>
      <c r="P26" s="68"/>
      <c r="Q26" s="68"/>
      <c r="R26" s="43"/>
      <c r="S26" s="43"/>
      <c r="T26" s="68"/>
      <c r="U26" s="68"/>
      <c r="V26" s="43"/>
      <c r="W26" s="68"/>
      <c r="X26" s="68"/>
      <c r="Y26" s="68"/>
      <c r="Z26" s="35" t="s">
        <v>23</v>
      </c>
      <c r="AA26" s="68"/>
      <c r="AB26" s="61"/>
      <c r="AC26" s="69"/>
      <c r="AD26" s="1"/>
      <c r="AE26" s="1"/>
    </row>
    <row r="27" spans="1:31" ht="39" customHeight="1" x14ac:dyDescent="0.3">
      <c r="A27" s="114" t="s">
        <v>61</v>
      </c>
      <c r="B27" s="30" t="s">
        <v>23</v>
      </c>
      <c r="C27" s="40">
        <v>2400</v>
      </c>
      <c r="D27" s="25" t="s">
        <v>23</v>
      </c>
      <c r="E27" s="40">
        <v>1600</v>
      </c>
      <c r="F27" s="28" t="s">
        <v>23</v>
      </c>
      <c r="G27" s="29">
        <v>0</v>
      </c>
      <c r="H27" s="30" t="s">
        <v>62</v>
      </c>
      <c r="I27" s="31">
        <v>2000</v>
      </c>
      <c r="J27" s="81" t="s">
        <v>36</v>
      </c>
      <c r="K27" s="45">
        <v>1600</v>
      </c>
      <c r="L27" s="41" t="s">
        <v>63</v>
      </c>
      <c r="M27" s="83">
        <v>400</v>
      </c>
      <c r="N27" s="33" t="s">
        <v>64</v>
      </c>
      <c r="O27" s="33">
        <v>0</v>
      </c>
      <c r="P27" s="28" t="s">
        <v>23</v>
      </c>
      <c r="Q27" s="34">
        <v>0</v>
      </c>
      <c r="R27" s="33">
        <v>0</v>
      </c>
      <c r="S27" s="35">
        <v>0</v>
      </c>
      <c r="T27" s="28" t="s">
        <v>23</v>
      </c>
      <c r="U27" s="110">
        <v>0</v>
      </c>
      <c r="V27" s="35" t="s">
        <v>23</v>
      </c>
      <c r="W27" s="35">
        <v>0</v>
      </c>
      <c r="X27" s="35" t="s">
        <v>23</v>
      </c>
      <c r="Y27" s="35">
        <v>0</v>
      </c>
      <c r="Z27" s="35" t="s">
        <v>23</v>
      </c>
      <c r="AA27" s="35">
        <v>0</v>
      </c>
      <c r="AB27" s="37">
        <f t="shared" ref="AB27:AB29" si="5">C27+E27+G27+I27+K27+M27+O27+U27</f>
        <v>8000</v>
      </c>
      <c r="AC27" s="38">
        <f>SUM(AB27/1600)</f>
        <v>5</v>
      </c>
      <c r="AD27" s="1"/>
      <c r="AE27" s="1"/>
    </row>
    <row r="28" spans="1:31" ht="40.200000000000003" x14ac:dyDescent="0.3">
      <c r="A28" s="115" t="s">
        <v>65</v>
      </c>
      <c r="B28" s="25" t="s">
        <v>66</v>
      </c>
      <c r="C28" s="40">
        <v>800</v>
      </c>
      <c r="D28" s="25" t="s">
        <v>23</v>
      </c>
      <c r="E28" s="40">
        <v>0</v>
      </c>
      <c r="F28" s="28" t="s">
        <v>23</v>
      </c>
      <c r="G28" s="29">
        <v>0</v>
      </c>
      <c r="H28" s="41" t="s">
        <v>67</v>
      </c>
      <c r="I28" s="31">
        <v>400</v>
      </c>
      <c r="J28" s="81" t="s">
        <v>36</v>
      </c>
      <c r="K28" s="45">
        <v>0</v>
      </c>
      <c r="L28" s="41" t="s">
        <v>68</v>
      </c>
      <c r="M28" s="83">
        <v>400</v>
      </c>
      <c r="N28" s="42" t="s">
        <v>23</v>
      </c>
      <c r="O28" s="33">
        <v>0</v>
      </c>
      <c r="P28" s="28" t="s">
        <v>23</v>
      </c>
      <c r="Q28" s="34">
        <v>0</v>
      </c>
      <c r="R28" s="33">
        <v>0</v>
      </c>
      <c r="S28" s="35">
        <v>0</v>
      </c>
      <c r="T28" s="28" t="s">
        <v>23</v>
      </c>
      <c r="U28" s="110">
        <v>0</v>
      </c>
      <c r="V28" s="35" t="s">
        <v>23</v>
      </c>
      <c r="W28" s="35">
        <v>0</v>
      </c>
      <c r="X28" s="35" t="s">
        <v>23</v>
      </c>
      <c r="Y28" s="35">
        <v>0</v>
      </c>
      <c r="Z28" s="35" t="s">
        <v>23</v>
      </c>
      <c r="AA28" s="35">
        <v>0</v>
      </c>
      <c r="AB28" s="37">
        <f t="shared" si="5"/>
        <v>1600</v>
      </c>
      <c r="AC28" s="38">
        <f>SUM(AB28/1600)</f>
        <v>1</v>
      </c>
      <c r="AD28" s="1"/>
      <c r="AE28" s="1"/>
    </row>
    <row r="29" spans="1:31" ht="27" x14ac:dyDescent="0.3">
      <c r="A29" s="24" t="s">
        <v>69</v>
      </c>
      <c r="B29" s="49"/>
      <c r="C29" s="50">
        <f>SUM(C27:C28)</f>
        <v>3200</v>
      </c>
      <c r="D29" s="53" t="s">
        <v>23</v>
      </c>
      <c r="E29" s="54">
        <v>0</v>
      </c>
      <c r="F29" s="53" t="s">
        <v>23</v>
      </c>
      <c r="G29" s="54">
        <v>0</v>
      </c>
      <c r="H29" s="53" t="s">
        <v>23</v>
      </c>
      <c r="I29" s="54">
        <f>SUM(I27:I28)</f>
        <v>2400</v>
      </c>
      <c r="J29" s="53" t="s">
        <v>23</v>
      </c>
      <c r="K29" s="54">
        <v>0</v>
      </c>
      <c r="L29" s="53"/>
      <c r="M29" s="54">
        <f>SUM(M27:M28)</f>
        <v>800</v>
      </c>
      <c r="N29" s="55"/>
      <c r="O29" s="55">
        <f>SUM(O27:O28)</f>
        <v>0</v>
      </c>
      <c r="P29" s="56"/>
      <c r="Q29" s="56">
        <f>SUM(Q27:Q28)</f>
        <v>0</v>
      </c>
      <c r="R29" s="55"/>
      <c r="S29" s="57"/>
      <c r="T29" s="56"/>
      <c r="U29" s="56">
        <f>SUM(U27:U28)</f>
        <v>0</v>
      </c>
      <c r="V29" s="57"/>
      <c r="W29" s="56"/>
      <c r="X29" s="56"/>
      <c r="Y29" s="56"/>
      <c r="Z29" s="56"/>
      <c r="AA29" s="56"/>
      <c r="AB29" s="50">
        <f t="shared" si="5"/>
        <v>6400</v>
      </c>
      <c r="AC29" s="106">
        <f>SUM(AB29/1600)</f>
        <v>4</v>
      </c>
    </row>
    <row r="30" spans="1:31" ht="8.1" customHeight="1" x14ac:dyDescent="0.3">
      <c r="A30" s="59"/>
      <c r="B30" s="60" t="s">
        <v>23</v>
      </c>
      <c r="C30" s="61"/>
      <c r="D30" s="62"/>
      <c r="E30" s="63"/>
      <c r="F30" s="64"/>
      <c r="G30" s="65"/>
      <c r="H30" s="32"/>
      <c r="I30" s="66"/>
      <c r="J30" s="32"/>
      <c r="K30" s="67"/>
      <c r="L30" s="32"/>
      <c r="M30" s="67">
        <f>SUM(M27:M29)</f>
        <v>1600</v>
      </c>
      <c r="N30" s="43"/>
      <c r="O30" s="43"/>
      <c r="P30" s="68"/>
      <c r="Q30" s="68"/>
      <c r="R30" s="43"/>
      <c r="S30" s="43"/>
      <c r="T30" s="68"/>
      <c r="U30" s="68"/>
      <c r="V30" s="43"/>
      <c r="W30" s="68"/>
      <c r="X30" s="68"/>
      <c r="Y30" s="68"/>
      <c r="Z30" s="68"/>
      <c r="AA30" s="68"/>
      <c r="AB30" s="61"/>
      <c r="AC30" s="69"/>
    </row>
    <row r="31" spans="1:31" ht="27" x14ac:dyDescent="0.3">
      <c r="A31" s="39" t="s">
        <v>70</v>
      </c>
      <c r="B31" s="116" t="s">
        <v>71</v>
      </c>
      <c r="C31" s="117">
        <v>0</v>
      </c>
      <c r="D31" s="116" t="s">
        <v>71</v>
      </c>
      <c r="E31" s="117">
        <v>0</v>
      </c>
      <c r="F31" s="116">
        <v>0</v>
      </c>
      <c r="G31" s="117">
        <v>0</v>
      </c>
      <c r="H31" s="41" t="s">
        <v>71</v>
      </c>
      <c r="I31" s="31">
        <v>0</v>
      </c>
      <c r="J31" s="30">
        <v>0</v>
      </c>
      <c r="K31" s="45">
        <v>0</v>
      </c>
      <c r="L31" s="30">
        <v>0</v>
      </c>
      <c r="M31" s="45">
        <v>0</v>
      </c>
      <c r="N31" s="42" t="s">
        <v>23</v>
      </c>
      <c r="O31" s="33">
        <v>0</v>
      </c>
      <c r="P31" s="28" t="s">
        <v>23</v>
      </c>
      <c r="Q31" s="34">
        <v>0</v>
      </c>
      <c r="R31" s="33">
        <v>0</v>
      </c>
      <c r="S31" s="35">
        <v>0</v>
      </c>
      <c r="T31" s="28" t="s">
        <v>23</v>
      </c>
      <c r="U31" s="34">
        <v>0</v>
      </c>
      <c r="V31" s="35" t="s">
        <v>23</v>
      </c>
      <c r="W31" s="35">
        <v>0</v>
      </c>
      <c r="X31" s="35" t="s">
        <v>23</v>
      </c>
      <c r="Y31" s="35">
        <v>0</v>
      </c>
      <c r="Z31" s="35" t="s">
        <v>23</v>
      </c>
      <c r="AA31" s="35">
        <v>0</v>
      </c>
      <c r="AB31" s="37">
        <f t="shared" ref="AB31:AB39" si="6">C31+E31+G31+I31+K31+M31+O31+U31</f>
        <v>0</v>
      </c>
      <c r="AC31" s="106">
        <f t="shared" ref="AC31:AC39" si="7">SUM(AB31/1600)</f>
        <v>0</v>
      </c>
    </row>
    <row r="32" spans="1:31" ht="40.200000000000003" x14ac:dyDescent="0.3">
      <c r="A32" s="115" t="s">
        <v>72</v>
      </c>
      <c r="B32" s="25" t="s">
        <v>71</v>
      </c>
      <c r="C32" s="26">
        <v>1600</v>
      </c>
      <c r="D32" s="116" t="s">
        <v>71</v>
      </c>
      <c r="E32" s="26">
        <v>3200</v>
      </c>
      <c r="F32" s="28" t="s">
        <v>23</v>
      </c>
      <c r="G32" s="29">
        <v>0</v>
      </c>
      <c r="H32" s="118" t="s">
        <v>23</v>
      </c>
      <c r="I32" s="247">
        <v>1600</v>
      </c>
      <c r="J32" s="81" t="s">
        <v>36</v>
      </c>
      <c r="K32" s="45">
        <v>0</v>
      </c>
      <c r="L32" s="116" t="s">
        <v>71</v>
      </c>
      <c r="M32" s="26">
        <v>1600</v>
      </c>
      <c r="N32" s="119" t="s">
        <v>40</v>
      </c>
      <c r="O32" s="33">
        <v>0</v>
      </c>
      <c r="P32" s="28" t="s">
        <v>23</v>
      </c>
      <c r="Q32" s="34">
        <v>0</v>
      </c>
      <c r="R32" s="33">
        <v>0</v>
      </c>
      <c r="S32" s="35">
        <v>0</v>
      </c>
      <c r="T32" s="36"/>
      <c r="U32" s="34"/>
      <c r="V32" s="35" t="s">
        <v>23</v>
      </c>
      <c r="W32" s="35">
        <v>0</v>
      </c>
      <c r="X32" s="35" t="s">
        <v>23</v>
      </c>
      <c r="Y32" s="35">
        <v>0</v>
      </c>
      <c r="Z32" s="35" t="s">
        <v>23</v>
      </c>
      <c r="AA32" s="35">
        <v>0</v>
      </c>
      <c r="AB32" s="37">
        <f t="shared" si="6"/>
        <v>8000</v>
      </c>
      <c r="AC32" s="106">
        <f t="shared" si="7"/>
        <v>5</v>
      </c>
    </row>
    <row r="33" spans="1:30" ht="40.200000000000003" x14ac:dyDescent="0.3">
      <c r="A33" s="115" t="s">
        <v>73</v>
      </c>
      <c r="B33" s="25" t="s">
        <v>74</v>
      </c>
      <c r="C33" s="26">
        <v>1600</v>
      </c>
      <c r="D33" s="116" t="s">
        <v>75</v>
      </c>
      <c r="E33" s="26">
        <v>3200</v>
      </c>
      <c r="F33" s="116" t="s">
        <v>23</v>
      </c>
      <c r="G33" s="29">
        <v>0</v>
      </c>
      <c r="H33" s="25" t="s">
        <v>40</v>
      </c>
      <c r="I33" s="26">
        <v>1600</v>
      </c>
      <c r="J33" s="81" t="s">
        <v>76</v>
      </c>
      <c r="K33" s="45">
        <v>800</v>
      </c>
      <c r="L33" s="25" t="s">
        <v>77</v>
      </c>
      <c r="M33" s="26">
        <v>1200</v>
      </c>
      <c r="N33" s="42" t="s">
        <v>23</v>
      </c>
      <c r="O33" s="33">
        <v>0</v>
      </c>
      <c r="P33" s="28" t="s">
        <v>23</v>
      </c>
      <c r="Q33" s="34">
        <v>0</v>
      </c>
      <c r="R33" s="33">
        <v>0</v>
      </c>
      <c r="S33" s="35">
        <v>0</v>
      </c>
      <c r="T33" s="36"/>
      <c r="U33" s="34"/>
      <c r="V33" s="35" t="s">
        <v>23</v>
      </c>
      <c r="W33" s="35">
        <v>0</v>
      </c>
      <c r="X33" s="35" t="s">
        <v>23</v>
      </c>
      <c r="Y33" s="35">
        <v>0</v>
      </c>
      <c r="Z33" s="35" t="s">
        <v>23</v>
      </c>
      <c r="AA33" s="35">
        <v>0</v>
      </c>
      <c r="AB33" s="37">
        <f t="shared" si="6"/>
        <v>8400</v>
      </c>
      <c r="AC33" s="106">
        <f t="shared" si="7"/>
        <v>5.25</v>
      </c>
    </row>
    <row r="34" spans="1:30" ht="40.200000000000003" x14ac:dyDescent="0.3">
      <c r="A34" s="39" t="s">
        <v>78</v>
      </c>
      <c r="B34" s="25" t="s">
        <v>26</v>
      </c>
      <c r="C34" s="26">
        <v>3200</v>
      </c>
      <c r="D34" s="25" t="s">
        <v>23</v>
      </c>
      <c r="E34" s="26">
        <v>1600</v>
      </c>
      <c r="F34" s="116" t="s">
        <v>23</v>
      </c>
      <c r="G34" s="29">
        <v>0</v>
      </c>
      <c r="H34" s="25" t="s">
        <v>26</v>
      </c>
      <c r="I34" s="26">
        <v>800</v>
      </c>
      <c r="J34" s="81" t="s">
        <v>36</v>
      </c>
      <c r="K34" s="45">
        <v>1600</v>
      </c>
      <c r="L34" s="25" t="s">
        <v>26</v>
      </c>
      <c r="M34" s="26">
        <v>1600</v>
      </c>
      <c r="N34" s="42" t="s">
        <v>23</v>
      </c>
      <c r="O34" s="33">
        <v>0</v>
      </c>
      <c r="P34" s="28" t="s">
        <v>23</v>
      </c>
      <c r="Q34" s="34">
        <v>0</v>
      </c>
      <c r="R34" s="33">
        <v>0</v>
      </c>
      <c r="S34" s="35">
        <v>0</v>
      </c>
      <c r="T34" s="28" t="s">
        <v>23</v>
      </c>
      <c r="U34" s="34">
        <v>0</v>
      </c>
      <c r="V34" s="35" t="s">
        <v>23</v>
      </c>
      <c r="W34" s="35">
        <v>0</v>
      </c>
      <c r="X34" s="35" t="s">
        <v>23</v>
      </c>
      <c r="Y34" s="35">
        <v>0</v>
      </c>
      <c r="Z34" s="35" t="s">
        <v>23</v>
      </c>
      <c r="AA34" s="35">
        <v>0</v>
      </c>
      <c r="AB34" s="37">
        <f t="shared" si="6"/>
        <v>8800</v>
      </c>
      <c r="AC34" s="106">
        <f t="shared" si="7"/>
        <v>5.5</v>
      </c>
      <c r="AD34" s="112"/>
    </row>
    <row r="35" spans="1:30" ht="66.599999999999994" x14ac:dyDescent="0.3">
      <c r="A35" s="39" t="s">
        <v>79</v>
      </c>
      <c r="B35" s="25" t="s">
        <v>26</v>
      </c>
      <c r="C35" s="26">
        <v>0</v>
      </c>
      <c r="D35" s="25" t="s">
        <v>80</v>
      </c>
      <c r="E35" s="26">
        <v>2000</v>
      </c>
      <c r="F35" s="28" t="s">
        <v>23</v>
      </c>
      <c r="G35" s="29">
        <v>0</v>
      </c>
      <c r="H35" s="25" t="s">
        <v>81</v>
      </c>
      <c r="I35" s="26">
        <v>800</v>
      </c>
      <c r="J35" s="81" t="s">
        <v>36</v>
      </c>
      <c r="K35" s="45">
        <v>0</v>
      </c>
      <c r="L35" s="120" t="s">
        <v>23</v>
      </c>
      <c r="M35" s="45">
        <v>0</v>
      </c>
      <c r="N35" s="33" t="s">
        <v>26</v>
      </c>
      <c r="O35" s="33">
        <v>0</v>
      </c>
      <c r="P35" s="28" t="s">
        <v>23</v>
      </c>
      <c r="Q35" s="34">
        <v>0</v>
      </c>
      <c r="R35" s="33">
        <v>0</v>
      </c>
      <c r="S35" s="35">
        <v>0</v>
      </c>
      <c r="T35" s="36"/>
      <c r="U35" s="34"/>
      <c r="V35" s="35" t="s">
        <v>23</v>
      </c>
      <c r="W35" s="35">
        <v>0</v>
      </c>
      <c r="X35" s="35" t="s">
        <v>23</v>
      </c>
      <c r="Y35" s="35">
        <v>0</v>
      </c>
      <c r="Z35" s="35" t="s">
        <v>23</v>
      </c>
      <c r="AA35" s="35">
        <v>0</v>
      </c>
      <c r="AB35" s="37">
        <f t="shared" si="6"/>
        <v>2800</v>
      </c>
      <c r="AC35" s="106">
        <f t="shared" si="7"/>
        <v>1.75</v>
      </c>
    </row>
    <row r="36" spans="1:30" ht="40.200000000000003" x14ac:dyDescent="0.3">
      <c r="A36" s="39" t="s">
        <v>82</v>
      </c>
      <c r="B36" s="25" t="s">
        <v>83</v>
      </c>
      <c r="C36" s="26">
        <v>1600</v>
      </c>
      <c r="D36" s="25" t="s">
        <v>83</v>
      </c>
      <c r="E36" s="26">
        <v>1600</v>
      </c>
      <c r="F36" s="28" t="s">
        <v>23</v>
      </c>
      <c r="G36" s="29">
        <v>0</v>
      </c>
      <c r="H36" s="30" t="s">
        <v>84</v>
      </c>
      <c r="I36" s="31">
        <v>1600</v>
      </c>
      <c r="J36" s="41" t="s">
        <v>85</v>
      </c>
      <c r="K36" s="83">
        <v>1600</v>
      </c>
      <c r="L36" s="41" t="s">
        <v>86</v>
      </c>
      <c r="M36" s="83">
        <v>800</v>
      </c>
      <c r="N36" s="60" t="s">
        <v>83</v>
      </c>
      <c r="O36" s="33">
        <v>0</v>
      </c>
      <c r="P36" s="28" t="s">
        <v>23</v>
      </c>
      <c r="Q36" s="34">
        <v>0</v>
      </c>
      <c r="R36" s="33">
        <v>0</v>
      </c>
      <c r="S36" s="35">
        <v>0</v>
      </c>
      <c r="T36" s="36"/>
      <c r="U36" s="34"/>
      <c r="V36" s="35" t="s">
        <v>23</v>
      </c>
      <c r="W36" s="35">
        <v>0</v>
      </c>
      <c r="X36" s="35" t="s">
        <v>23</v>
      </c>
      <c r="Y36" s="35">
        <v>0</v>
      </c>
      <c r="Z36" s="35" t="s">
        <v>23</v>
      </c>
      <c r="AA36" s="35">
        <v>0</v>
      </c>
      <c r="AB36" s="37">
        <f t="shared" si="6"/>
        <v>7200</v>
      </c>
      <c r="AC36" s="106">
        <f t="shared" si="7"/>
        <v>4.5</v>
      </c>
      <c r="AD36" s="121"/>
    </row>
    <row r="37" spans="1:30" ht="40.200000000000003" x14ac:dyDescent="0.3">
      <c r="A37" s="39" t="s">
        <v>87</v>
      </c>
      <c r="B37" s="25" t="s">
        <v>28</v>
      </c>
      <c r="C37" s="26">
        <v>1600</v>
      </c>
      <c r="D37" s="25" t="s">
        <v>28</v>
      </c>
      <c r="E37" s="26">
        <v>3200</v>
      </c>
      <c r="F37" s="122" t="s">
        <v>23</v>
      </c>
      <c r="G37" s="123">
        <v>0</v>
      </c>
      <c r="H37" s="25" t="s">
        <v>28</v>
      </c>
      <c r="I37" s="26">
        <v>1600</v>
      </c>
      <c r="J37" s="30" t="s">
        <v>28</v>
      </c>
      <c r="K37" s="31">
        <v>1600</v>
      </c>
      <c r="L37" s="30" t="s">
        <v>28</v>
      </c>
      <c r="M37" s="31">
        <v>1600</v>
      </c>
      <c r="N37" s="60" t="s">
        <v>28</v>
      </c>
      <c r="O37" s="33">
        <v>0</v>
      </c>
      <c r="P37" s="28" t="s">
        <v>23</v>
      </c>
      <c r="Q37" s="34">
        <v>0</v>
      </c>
      <c r="R37" s="33">
        <v>0</v>
      </c>
      <c r="S37" s="35">
        <v>0</v>
      </c>
      <c r="T37" s="28" t="s">
        <v>23</v>
      </c>
      <c r="U37" s="34">
        <v>0</v>
      </c>
      <c r="V37" s="35" t="s">
        <v>23</v>
      </c>
      <c r="W37" s="35">
        <v>0</v>
      </c>
      <c r="X37" s="35" t="s">
        <v>23</v>
      </c>
      <c r="Y37" s="35">
        <v>0</v>
      </c>
      <c r="Z37" s="35" t="s">
        <v>23</v>
      </c>
      <c r="AA37" s="35">
        <v>0</v>
      </c>
      <c r="AB37" s="37">
        <f t="shared" si="6"/>
        <v>9600</v>
      </c>
      <c r="AC37" s="106">
        <f t="shared" si="7"/>
        <v>6</v>
      </c>
    </row>
    <row r="38" spans="1:30" ht="40.200000000000003" x14ac:dyDescent="0.3">
      <c r="A38" s="39" t="s">
        <v>88</v>
      </c>
      <c r="B38" s="25" t="s">
        <v>89</v>
      </c>
      <c r="C38" s="26">
        <v>4000</v>
      </c>
      <c r="D38" s="25" t="s">
        <v>90</v>
      </c>
      <c r="E38" s="26">
        <v>4800</v>
      </c>
      <c r="F38" s="28" t="s">
        <v>26</v>
      </c>
      <c r="G38" s="29">
        <v>0</v>
      </c>
      <c r="H38" s="28" t="s">
        <v>26</v>
      </c>
      <c r="I38" s="26">
        <v>2000</v>
      </c>
      <c r="J38" s="81" t="s">
        <v>36</v>
      </c>
      <c r="K38" s="31">
        <v>0</v>
      </c>
      <c r="L38" s="30" t="s">
        <v>91</v>
      </c>
      <c r="M38" s="31">
        <v>1600</v>
      </c>
      <c r="N38" s="64" t="s">
        <v>26</v>
      </c>
      <c r="O38" s="33">
        <v>0</v>
      </c>
      <c r="P38" s="28" t="s">
        <v>23</v>
      </c>
      <c r="Q38" s="34">
        <v>0</v>
      </c>
      <c r="R38" s="33">
        <v>0</v>
      </c>
      <c r="S38" s="35">
        <v>0</v>
      </c>
      <c r="T38" s="36"/>
      <c r="U38" s="110"/>
      <c r="V38" s="35" t="s">
        <v>23</v>
      </c>
      <c r="W38" s="35">
        <v>0</v>
      </c>
      <c r="X38" s="35" t="s">
        <v>23</v>
      </c>
      <c r="Y38" s="35">
        <v>0</v>
      </c>
      <c r="Z38" s="35" t="s">
        <v>23</v>
      </c>
      <c r="AA38" s="35">
        <v>0</v>
      </c>
      <c r="AB38" s="37">
        <f t="shared" si="6"/>
        <v>12400</v>
      </c>
      <c r="AC38" s="106">
        <f t="shared" si="7"/>
        <v>7.75</v>
      </c>
      <c r="AD38" s="1"/>
    </row>
    <row r="39" spans="1:30" ht="27" customHeight="1" x14ac:dyDescent="0.3">
      <c r="A39" s="39" t="s">
        <v>92</v>
      </c>
      <c r="B39" s="25" t="s">
        <v>64</v>
      </c>
      <c r="C39" s="26">
        <v>4000</v>
      </c>
      <c r="D39" s="25" t="s">
        <v>64</v>
      </c>
      <c r="E39" s="26">
        <v>0</v>
      </c>
      <c r="F39" s="28" t="s">
        <v>23</v>
      </c>
      <c r="G39" s="29">
        <v>0</v>
      </c>
      <c r="H39" s="25" t="s">
        <v>64</v>
      </c>
      <c r="I39" s="26">
        <v>800</v>
      </c>
      <c r="J39" s="30" t="s">
        <v>37</v>
      </c>
      <c r="K39" s="31">
        <v>1600</v>
      </c>
      <c r="L39" s="124" t="s">
        <v>23</v>
      </c>
      <c r="M39" s="45">
        <v>1200</v>
      </c>
      <c r="N39" s="60" t="s">
        <v>64</v>
      </c>
      <c r="O39" s="33">
        <v>0</v>
      </c>
      <c r="P39" s="28" t="s">
        <v>23</v>
      </c>
      <c r="Q39" s="34">
        <v>0</v>
      </c>
      <c r="R39" s="33">
        <v>0</v>
      </c>
      <c r="S39" s="35">
        <v>0</v>
      </c>
      <c r="T39" s="28" t="s">
        <v>23</v>
      </c>
      <c r="U39" s="34">
        <v>0</v>
      </c>
      <c r="V39" s="35" t="s">
        <v>23</v>
      </c>
      <c r="W39" s="35">
        <v>0</v>
      </c>
      <c r="X39" s="35" t="s">
        <v>23</v>
      </c>
      <c r="Y39" s="35">
        <v>0</v>
      </c>
      <c r="Z39" s="35" t="s">
        <v>23</v>
      </c>
      <c r="AA39" s="35">
        <v>0</v>
      </c>
      <c r="AB39" s="37">
        <f t="shared" si="6"/>
        <v>7600</v>
      </c>
      <c r="AC39" s="106">
        <f t="shared" si="7"/>
        <v>4.75</v>
      </c>
    </row>
    <row r="40" spans="1:30" ht="8.1" customHeight="1" x14ac:dyDescent="0.3">
      <c r="A40" s="59"/>
      <c r="B40" s="60" t="s">
        <v>64</v>
      </c>
      <c r="C40" s="61"/>
      <c r="D40" s="60"/>
      <c r="E40" s="84"/>
      <c r="F40" s="64"/>
      <c r="G40" s="65"/>
      <c r="H40" s="32"/>
      <c r="I40" s="66"/>
      <c r="J40" s="32"/>
      <c r="K40" s="67"/>
      <c r="L40" s="32"/>
      <c r="M40" s="67"/>
      <c r="N40" s="43"/>
      <c r="O40" s="43">
        <v>0</v>
      </c>
      <c r="P40" s="68"/>
      <c r="Q40" s="68"/>
      <c r="R40" s="43"/>
      <c r="S40" s="43"/>
      <c r="T40" s="68"/>
      <c r="U40" s="68"/>
      <c r="V40" s="43"/>
      <c r="W40" s="68"/>
      <c r="X40" s="68"/>
      <c r="Y40" s="68"/>
      <c r="Z40" s="68"/>
      <c r="AA40" s="68"/>
      <c r="AB40" s="67"/>
      <c r="AC40" s="69"/>
    </row>
    <row r="41" spans="1:30" ht="79.8" x14ac:dyDescent="0.3">
      <c r="A41" s="24" t="s">
        <v>93</v>
      </c>
      <c r="B41" s="25" t="s">
        <v>26</v>
      </c>
      <c r="C41" s="26">
        <v>3200</v>
      </c>
      <c r="D41" s="25" t="s">
        <v>94</v>
      </c>
      <c r="E41" s="26">
        <v>4800</v>
      </c>
      <c r="F41" s="25"/>
      <c r="G41" s="26"/>
      <c r="H41" s="25" t="s">
        <v>95</v>
      </c>
      <c r="I41" s="26">
        <v>3200</v>
      </c>
      <c r="J41" s="81" t="s">
        <v>36</v>
      </c>
      <c r="K41" s="45">
        <v>0</v>
      </c>
      <c r="L41" s="25" t="s">
        <v>96</v>
      </c>
      <c r="M41" s="26">
        <v>4800</v>
      </c>
      <c r="N41" s="60" t="s">
        <v>26</v>
      </c>
      <c r="O41" s="71">
        <v>0</v>
      </c>
      <c r="P41" s="28" t="s">
        <v>23</v>
      </c>
      <c r="Q41" s="34">
        <v>0</v>
      </c>
      <c r="R41" s="33">
        <v>0</v>
      </c>
      <c r="S41" s="35">
        <v>0</v>
      </c>
      <c r="T41" s="36"/>
      <c r="U41" s="109"/>
      <c r="V41" s="35" t="s">
        <v>23</v>
      </c>
      <c r="W41" s="35">
        <v>0</v>
      </c>
      <c r="X41" s="35" t="s">
        <v>23</v>
      </c>
      <c r="Y41" s="35">
        <v>0</v>
      </c>
      <c r="Z41" s="35" t="s">
        <v>23</v>
      </c>
      <c r="AA41" s="35">
        <v>0</v>
      </c>
      <c r="AB41" s="37">
        <f t="shared" ref="AB41:AB47" si="8">C41+E41+G41+I41+K41+M41+O41+U41</f>
        <v>16000</v>
      </c>
      <c r="AC41" s="38">
        <f t="shared" ref="AC41:AC46" si="9">SUM(AB41/1600)</f>
        <v>10</v>
      </c>
    </row>
    <row r="42" spans="1:30" ht="39.6" x14ac:dyDescent="0.3">
      <c r="A42" s="39" t="s">
        <v>97</v>
      </c>
      <c r="B42" s="125" t="s">
        <v>26</v>
      </c>
      <c r="C42" s="40">
        <v>0</v>
      </c>
      <c r="D42" s="125" t="s">
        <v>26</v>
      </c>
      <c r="E42" s="26">
        <v>1600</v>
      </c>
      <c r="F42" s="125" t="s">
        <v>26</v>
      </c>
      <c r="G42" s="29">
        <v>0</v>
      </c>
      <c r="H42" s="30" t="s">
        <v>23</v>
      </c>
      <c r="I42" s="45">
        <v>0</v>
      </c>
      <c r="J42" s="126" t="s">
        <v>23</v>
      </c>
      <c r="K42" s="127">
        <v>0</v>
      </c>
      <c r="L42" s="128" t="s">
        <v>23</v>
      </c>
      <c r="M42" s="127">
        <v>0</v>
      </c>
      <c r="N42" s="42" t="s">
        <v>23</v>
      </c>
      <c r="O42" s="129">
        <v>0</v>
      </c>
      <c r="P42" s="28" t="s">
        <v>23</v>
      </c>
      <c r="Q42" s="34">
        <v>0</v>
      </c>
      <c r="R42" s="33">
        <v>0</v>
      </c>
      <c r="S42" s="35">
        <v>0</v>
      </c>
      <c r="T42" s="28" t="s">
        <v>23</v>
      </c>
      <c r="U42" s="109">
        <v>0</v>
      </c>
      <c r="V42" s="35" t="s">
        <v>23</v>
      </c>
      <c r="W42" s="35">
        <v>0</v>
      </c>
      <c r="X42" s="35" t="s">
        <v>23</v>
      </c>
      <c r="Y42" s="35">
        <v>0</v>
      </c>
      <c r="Z42" s="35" t="s">
        <v>23</v>
      </c>
      <c r="AA42" s="35">
        <v>0</v>
      </c>
      <c r="AB42" s="37">
        <f t="shared" si="8"/>
        <v>1600</v>
      </c>
      <c r="AC42" s="38">
        <f t="shared" si="9"/>
        <v>1</v>
      </c>
    </row>
    <row r="43" spans="1:30" ht="39" customHeight="1" x14ac:dyDescent="0.3">
      <c r="A43" s="39" t="s">
        <v>98</v>
      </c>
      <c r="B43" s="125" t="s">
        <v>26</v>
      </c>
      <c r="C43" s="26">
        <v>1600</v>
      </c>
      <c r="D43" s="125" t="s">
        <v>26</v>
      </c>
      <c r="E43" s="26">
        <v>1600</v>
      </c>
      <c r="F43" s="28" t="s">
        <v>85</v>
      </c>
      <c r="G43" s="29">
        <v>0</v>
      </c>
      <c r="H43" s="30" t="s">
        <v>99</v>
      </c>
      <c r="I43" s="26">
        <v>800</v>
      </c>
      <c r="J43" s="81" t="s">
        <v>180</v>
      </c>
      <c r="K43" s="45">
        <v>1600</v>
      </c>
      <c r="L43" s="125" t="s">
        <v>26</v>
      </c>
      <c r="M43" s="26">
        <v>1600</v>
      </c>
      <c r="N43" s="60" t="s">
        <v>26</v>
      </c>
      <c r="O43" s="71">
        <v>0</v>
      </c>
      <c r="P43" s="28" t="s">
        <v>23</v>
      </c>
      <c r="Q43" s="34">
        <v>0</v>
      </c>
      <c r="R43" s="33">
        <v>0</v>
      </c>
      <c r="S43" s="35">
        <v>0</v>
      </c>
      <c r="T43" s="28" t="s">
        <v>23</v>
      </c>
      <c r="U43" s="45">
        <v>0</v>
      </c>
      <c r="V43" s="35" t="s">
        <v>23</v>
      </c>
      <c r="W43" s="35">
        <v>0</v>
      </c>
      <c r="X43" s="35" t="s">
        <v>23</v>
      </c>
      <c r="Y43" s="35">
        <v>0</v>
      </c>
      <c r="Z43" s="35" t="s">
        <v>23</v>
      </c>
      <c r="AA43" s="35">
        <v>0</v>
      </c>
      <c r="AB43" s="37">
        <f t="shared" si="8"/>
        <v>7200</v>
      </c>
      <c r="AC43" s="38">
        <f t="shared" si="9"/>
        <v>4.5</v>
      </c>
    </row>
    <row r="44" spans="1:30" s="269" customFormat="1" ht="93" x14ac:dyDescent="0.3">
      <c r="A44" s="258" t="s">
        <v>100</v>
      </c>
      <c r="B44" s="259" t="s">
        <v>26</v>
      </c>
      <c r="C44" s="260">
        <v>0</v>
      </c>
      <c r="D44" s="259" t="s">
        <v>94</v>
      </c>
      <c r="E44" s="261">
        <v>1600</v>
      </c>
      <c r="F44" s="131" t="s">
        <v>85</v>
      </c>
      <c r="G44" s="132">
        <v>0</v>
      </c>
      <c r="H44" s="133" t="s">
        <v>99</v>
      </c>
      <c r="I44" s="261">
        <v>1200</v>
      </c>
      <c r="J44" s="262" t="s">
        <v>36</v>
      </c>
      <c r="K44" s="263">
        <v>0</v>
      </c>
      <c r="L44" s="264" t="s">
        <v>101</v>
      </c>
      <c r="M44" s="261">
        <v>0</v>
      </c>
      <c r="N44" s="264"/>
      <c r="O44" s="265">
        <v>0</v>
      </c>
      <c r="P44" s="28" t="s">
        <v>23</v>
      </c>
      <c r="Q44" s="266">
        <v>0</v>
      </c>
      <c r="R44" s="267">
        <v>0</v>
      </c>
      <c r="S44" s="267">
        <v>0</v>
      </c>
      <c r="T44" s="28" t="s">
        <v>23</v>
      </c>
      <c r="U44" s="263">
        <v>0</v>
      </c>
      <c r="V44" s="267" t="s">
        <v>23</v>
      </c>
      <c r="W44" s="267">
        <v>0</v>
      </c>
      <c r="X44" s="267" t="s">
        <v>23</v>
      </c>
      <c r="Y44" s="267">
        <v>0</v>
      </c>
      <c r="Z44" s="267" t="s">
        <v>23</v>
      </c>
      <c r="AA44" s="267">
        <v>0</v>
      </c>
      <c r="AB44" s="37">
        <f t="shared" si="8"/>
        <v>2800</v>
      </c>
      <c r="AC44" s="268">
        <f t="shared" si="9"/>
        <v>1.75</v>
      </c>
    </row>
    <row r="45" spans="1:30" ht="40.200000000000003" x14ac:dyDescent="0.3">
      <c r="A45" s="39" t="s">
        <v>102</v>
      </c>
      <c r="B45" s="134" t="s">
        <v>26</v>
      </c>
      <c r="C45" s="130">
        <v>0</v>
      </c>
      <c r="D45" s="108" t="s">
        <v>26</v>
      </c>
      <c r="E45" s="26">
        <v>1600</v>
      </c>
      <c r="F45" s="28" t="s">
        <v>23</v>
      </c>
      <c r="G45" s="29">
        <v>0</v>
      </c>
      <c r="H45" s="108" t="s">
        <v>23</v>
      </c>
      <c r="I45" s="26">
        <v>0</v>
      </c>
      <c r="J45" s="30" t="s">
        <v>23</v>
      </c>
      <c r="K45" s="45">
        <v>0</v>
      </c>
      <c r="L45" s="30" t="s">
        <v>23</v>
      </c>
      <c r="M45" s="45">
        <v>0</v>
      </c>
      <c r="N45" s="42" t="s">
        <v>23</v>
      </c>
      <c r="O45" s="43">
        <v>0</v>
      </c>
      <c r="P45" s="28" t="s">
        <v>23</v>
      </c>
      <c r="Q45" s="34">
        <v>0</v>
      </c>
      <c r="R45" s="33">
        <v>0</v>
      </c>
      <c r="S45" s="35">
        <v>0</v>
      </c>
      <c r="T45" s="28" t="s">
        <v>23</v>
      </c>
      <c r="U45" s="135">
        <v>0</v>
      </c>
      <c r="V45" s="35" t="s">
        <v>23</v>
      </c>
      <c r="W45" s="35">
        <v>0</v>
      </c>
      <c r="X45" s="35" t="s">
        <v>23</v>
      </c>
      <c r="Y45" s="35">
        <v>0</v>
      </c>
      <c r="Z45" s="35" t="s">
        <v>23</v>
      </c>
      <c r="AA45" s="35">
        <v>0</v>
      </c>
      <c r="AB45" s="37">
        <f t="shared" si="8"/>
        <v>1600</v>
      </c>
      <c r="AC45" s="38">
        <f t="shared" si="9"/>
        <v>1</v>
      </c>
    </row>
    <row r="46" spans="1:30" ht="40.200000000000003" x14ac:dyDescent="0.3">
      <c r="A46" s="258" t="s">
        <v>103</v>
      </c>
      <c r="B46" s="25" t="s">
        <v>26</v>
      </c>
      <c r="C46" s="40">
        <v>0</v>
      </c>
      <c r="D46" s="108" t="s">
        <v>26</v>
      </c>
      <c r="E46" s="26">
        <v>1600</v>
      </c>
      <c r="F46" s="28" t="s">
        <v>23</v>
      </c>
      <c r="G46" s="29">
        <v>0</v>
      </c>
      <c r="H46" s="30" t="s">
        <v>23</v>
      </c>
      <c r="I46" s="45">
        <v>0</v>
      </c>
      <c r="J46" s="30" t="s">
        <v>23</v>
      </c>
      <c r="K46" s="45">
        <v>0</v>
      </c>
      <c r="L46" s="30" t="s">
        <v>23</v>
      </c>
      <c r="M46" s="45">
        <v>0</v>
      </c>
      <c r="N46" s="42" t="s">
        <v>23</v>
      </c>
      <c r="O46" s="43">
        <v>0</v>
      </c>
      <c r="P46" s="28" t="s">
        <v>23</v>
      </c>
      <c r="Q46" s="34">
        <v>0</v>
      </c>
      <c r="R46" s="33">
        <v>0</v>
      </c>
      <c r="S46" s="35">
        <v>0</v>
      </c>
      <c r="T46" s="28" t="s">
        <v>23</v>
      </c>
      <c r="U46" s="135">
        <v>0</v>
      </c>
      <c r="V46" s="35" t="s">
        <v>23</v>
      </c>
      <c r="W46" s="35">
        <v>0</v>
      </c>
      <c r="X46" s="35" t="s">
        <v>23</v>
      </c>
      <c r="Y46" s="35">
        <v>0</v>
      </c>
      <c r="Z46" s="35" t="s">
        <v>23</v>
      </c>
      <c r="AA46" s="35">
        <v>0</v>
      </c>
      <c r="AB46" s="37">
        <f t="shared" si="8"/>
        <v>1600</v>
      </c>
      <c r="AC46" s="38">
        <f t="shared" si="9"/>
        <v>1</v>
      </c>
    </row>
    <row r="47" spans="1:30" ht="27" x14ac:dyDescent="0.3">
      <c r="A47" s="24" t="s">
        <v>104</v>
      </c>
      <c r="B47" s="49" t="s">
        <v>23</v>
      </c>
      <c r="C47" s="50">
        <f>SUM(C41:C46)</f>
        <v>4800</v>
      </c>
      <c r="D47" s="53"/>
      <c r="E47" s="54">
        <f>SUM(E41:E46)</f>
        <v>12800</v>
      </c>
      <c r="F47" s="53"/>
      <c r="G47" s="54">
        <f>SUM(G41:G46)</f>
        <v>0</v>
      </c>
      <c r="H47" s="53"/>
      <c r="I47" s="136">
        <f>SUM(I41:I46)</f>
        <v>5200</v>
      </c>
      <c r="J47" s="53"/>
      <c r="K47" s="54">
        <f>SUM(K41:K46)</f>
        <v>1600</v>
      </c>
      <c r="L47" s="53"/>
      <c r="M47" s="54">
        <f>SUM(M41:M46)</f>
        <v>6400</v>
      </c>
      <c r="N47" s="55"/>
      <c r="O47" s="55">
        <f>SUM(O41:O46)</f>
        <v>0</v>
      </c>
      <c r="P47" s="56"/>
      <c r="Q47" s="56"/>
      <c r="R47" s="55"/>
      <c r="S47" s="57"/>
      <c r="T47" s="56"/>
      <c r="U47" s="56">
        <f>SUM(U41:U46)</f>
        <v>0</v>
      </c>
      <c r="V47" s="57"/>
      <c r="W47" s="56"/>
      <c r="X47" s="56"/>
      <c r="Y47" s="56"/>
      <c r="Z47" s="56"/>
      <c r="AA47" s="56"/>
      <c r="AB47" s="50">
        <f t="shared" si="8"/>
        <v>30800</v>
      </c>
      <c r="AC47" s="106">
        <f>SUM(AC41:AC46)</f>
        <v>19.25</v>
      </c>
    </row>
    <row r="48" spans="1:30" x14ac:dyDescent="0.3">
      <c r="A48" s="137"/>
      <c r="B48" s="60" t="s">
        <v>23</v>
      </c>
      <c r="C48" s="61"/>
      <c r="D48" s="62"/>
      <c r="E48" s="63"/>
      <c r="F48" s="64"/>
      <c r="G48" s="65"/>
      <c r="H48" s="62"/>
      <c r="I48" s="138"/>
      <c r="J48" s="32"/>
      <c r="K48" s="67"/>
      <c r="L48" s="32"/>
      <c r="M48" s="67"/>
      <c r="N48" s="43"/>
      <c r="O48" s="43"/>
      <c r="P48" s="68"/>
      <c r="Q48" s="68"/>
      <c r="R48" s="43"/>
      <c r="S48" s="43"/>
      <c r="T48" s="68"/>
      <c r="U48" s="68"/>
      <c r="V48" s="43"/>
      <c r="W48" s="68"/>
      <c r="X48" s="68"/>
      <c r="Y48" s="68"/>
      <c r="Z48" s="68"/>
      <c r="AA48" s="68"/>
      <c r="AB48" s="61"/>
      <c r="AC48" s="69"/>
    </row>
    <row r="49" spans="1:30" ht="40.200000000000003" x14ac:dyDescent="0.3">
      <c r="A49" s="24" t="s">
        <v>105</v>
      </c>
      <c r="B49" s="25" t="s">
        <v>106</v>
      </c>
      <c r="C49" s="26">
        <v>1600</v>
      </c>
      <c r="D49" s="25" t="s">
        <v>23</v>
      </c>
      <c r="E49" s="40">
        <v>1600</v>
      </c>
      <c r="F49" s="25"/>
      <c r="G49" s="26"/>
      <c r="H49" s="30" t="s">
        <v>56</v>
      </c>
      <c r="I49" s="26">
        <v>1200</v>
      </c>
      <c r="J49" s="30" t="s">
        <v>85</v>
      </c>
      <c r="K49" s="31">
        <v>800</v>
      </c>
      <c r="L49" s="41" t="s">
        <v>107</v>
      </c>
      <c r="M49" s="26">
        <v>1600</v>
      </c>
      <c r="N49" s="33" t="s">
        <v>106</v>
      </c>
      <c r="O49" s="33">
        <v>0</v>
      </c>
      <c r="P49" s="28" t="s">
        <v>23</v>
      </c>
      <c r="Q49" s="34">
        <v>0</v>
      </c>
      <c r="R49" s="33">
        <v>0</v>
      </c>
      <c r="S49" s="35">
        <v>0</v>
      </c>
      <c r="T49" s="28" t="s">
        <v>23</v>
      </c>
      <c r="U49" s="139">
        <v>0</v>
      </c>
      <c r="V49" s="35" t="s">
        <v>23</v>
      </c>
      <c r="W49" s="35">
        <v>0</v>
      </c>
      <c r="X49" s="35" t="s">
        <v>23</v>
      </c>
      <c r="Y49" s="35">
        <v>0</v>
      </c>
      <c r="Z49" s="35" t="s">
        <v>23</v>
      </c>
      <c r="AA49" s="35">
        <v>0</v>
      </c>
      <c r="AB49" s="37">
        <f t="shared" ref="AB49:AB51" si="10">C49+E49+G49+I49+K49+M49+O49+U49</f>
        <v>6800</v>
      </c>
      <c r="AC49" s="38">
        <f>SUM(AB49/1600)</f>
        <v>4.25</v>
      </c>
    </row>
    <row r="50" spans="1:30" ht="40.200000000000003" x14ac:dyDescent="0.3">
      <c r="A50" s="39" t="s">
        <v>108</v>
      </c>
      <c r="B50" s="25" t="s">
        <v>56</v>
      </c>
      <c r="C50" s="26">
        <v>1600</v>
      </c>
      <c r="D50" s="25" t="s">
        <v>56</v>
      </c>
      <c r="E50" s="26">
        <v>1600</v>
      </c>
      <c r="F50" s="140" t="s">
        <v>23</v>
      </c>
      <c r="G50" s="141">
        <v>0</v>
      </c>
      <c r="H50" s="108" t="s">
        <v>109</v>
      </c>
      <c r="I50" s="26">
        <v>1600</v>
      </c>
      <c r="J50" s="30" t="s">
        <v>85</v>
      </c>
      <c r="K50" s="31">
        <v>800</v>
      </c>
      <c r="L50" s="25" t="s">
        <v>56</v>
      </c>
      <c r="M50" s="26">
        <v>1600</v>
      </c>
      <c r="N50" s="32" t="s">
        <v>110</v>
      </c>
      <c r="O50" s="71">
        <v>0</v>
      </c>
      <c r="P50" s="28" t="s">
        <v>23</v>
      </c>
      <c r="Q50" s="34">
        <v>0</v>
      </c>
      <c r="R50" s="33">
        <v>0</v>
      </c>
      <c r="S50" s="35">
        <v>0</v>
      </c>
      <c r="T50" s="28" t="s">
        <v>23</v>
      </c>
      <c r="U50" s="46">
        <v>0</v>
      </c>
      <c r="V50" s="35" t="s">
        <v>23</v>
      </c>
      <c r="W50" s="35">
        <v>0</v>
      </c>
      <c r="X50" s="35" t="s">
        <v>23</v>
      </c>
      <c r="Y50" s="35">
        <v>0</v>
      </c>
      <c r="Z50" s="35" t="s">
        <v>23</v>
      </c>
      <c r="AA50" s="35">
        <v>0</v>
      </c>
      <c r="AB50" s="37">
        <f t="shared" si="10"/>
        <v>7200</v>
      </c>
      <c r="AC50" s="38">
        <f>SUM(AB50/1600)</f>
        <v>4.5</v>
      </c>
    </row>
    <row r="51" spans="1:30" x14ac:dyDescent="0.3">
      <c r="A51" s="24" t="s">
        <v>111</v>
      </c>
      <c r="B51" s="49"/>
      <c r="C51" s="50">
        <f>SUM(C49:C50)</f>
        <v>3200</v>
      </c>
      <c r="D51" s="53"/>
      <c r="E51" s="50">
        <f>SUM(E49:E50)</f>
        <v>3200</v>
      </c>
      <c r="F51" s="53"/>
      <c r="G51" s="54">
        <f>SUM(G49:G50)</f>
        <v>0</v>
      </c>
      <c r="H51" s="53"/>
      <c r="I51" s="54">
        <f>SUM(I49:I50)</f>
        <v>2800</v>
      </c>
      <c r="J51" s="53"/>
      <c r="K51" s="54">
        <f>SUM(K49:K50)</f>
        <v>1600</v>
      </c>
      <c r="L51" s="53"/>
      <c r="M51" s="54">
        <f>SUM(M49:M50)</f>
        <v>3200</v>
      </c>
      <c r="N51" s="55"/>
      <c r="O51" s="55">
        <f>SUM(O49:O50)</f>
        <v>0</v>
      </c>
      <c r="P51" s="142"/>
      <c r="Q51" s="142">
        <f>SUM(Q49:Q50)</f>
        <v>0</v>
      </c>
      <c r="R51" s="55"/>
      <c r="S51" s="57"/>
      <c r="T51" s="142"/>
      <c r="U51" s="142">
        <f>SUM(U49:U50)</f>
        <v>0</v>
      </c>
      <c r="V51" s="143"/>
      <c r="W51" s="142"/>
      <c r="X51" s="142"/>
      <c r="Y51" s="142"/>
      <c r="Z51" s="142"/>
      <c r="AA51" s="142"/>
      <c r="AB51" s="50">
        <f t="shared" si="10"/>
        <v>14000</v>
      </c>
      <c r="AC51" s="106">
        <f>SUM(AB51/1600)</f>
        <v>8.75</v>
      </c>
    </row>
    <row r="52" spans="1:30" ht="8.1" customHeight="1" x14ac:dyDescent="0.3">
      <c r="A52" s="59"/>
      <c r="B52" s="60" t="s">
        <v>106</v>
      </c>
      <c r="C52" s="61"/>
      <c r="D52" s="62"/>
      <c r="E52" s="63"/>
      <c r="F52" s="64"/>
      <c r="G52" s="65"/>
      <c r="H52" s="32"/>
      <c r="I52" s="66"/>
      <c r="J52" s="32"/>
      <c r="K52" s="67"/>
      <c r="L52" s="32"/>
      <c r="M52" s="67"/>
      <c r="N52" s="43"/>
      <c r="O52" s="43"/>
      <c r="P52" s="68"/>
      <c r="Q52" s="68"/>
      <c r="R52" s="43"/>
      <c r="S52" s="43"/>
      <c r="T52" s="68"/>
      <c r="U52" s="68"/>
      <c r="V52" s="43"/>
      <c r="W52" s="68"/>
      <c r="X52" s="68"/>
      <c r="Y52" s="68"/>
      <c r="Z52" s="68"/>
      <c r="AA52" s="68"/>
      <c r="AB52" s="61"/>
      <c r="AC52" s="69"/>
    </row>
    <row r="53" spans="1:30" ht="40.200000000000003" x14ac:dyDescent="0.3">
      <c r="A53" s="258" t="s">
        <v>112</v>
      </c>
      <c r="B53" s="25" t="s">
        <v>26</v>
      </c>
      <c r="C53" s="26">
        <v>1600</v>
      </c>
      <c r="D53" s="25" t="s">
        <v>26</v>
      </c>
      <c r="E53" s="26">
        <v>8000</v>
      </c>
      <c r="F53" s="28"/>
      <c r="G53" s="26"/>
      <c r="H53" s="25" t="s">
        <v>113</v>
      </c>
      <c r="I53" s="26">
        <v>3200</v>
      </c>
      <c r="J53" s="108" t="s">
        <v>26</v>
      </c>
      <c r="K53" s="26">
        <v>6400</v>
      </c>
      <c r="L53" s="41" t="s">
        <v>114</v>
      </c>
      <c r="M53" s="26">
        <v>4000</v>
      </c>
      <c r="N53" s="60" t="s">
        <v>26</v>
      </c>
      <c r="O53" s="33">
        <v>0</v>
      </c>
      <c r="P53" s="28" t="s">
        <v>23</v>
      </c>
      <c r="Q53" s="34">
        <v>0</v>
      </c>
      <c r="R53" s="33">
        <v>0</v>
      </c>
      <c r="S53" s="35">
        <v>0</v>
      </c>
      <c r="T53" s="34">
        <v>0</v>
      </c>
      <c r="U53" s="72">
        <v>0</v>
      </c>
      <c r="V53" s="35" t="s">
        <v>23</v>
      </c>
      <c r="W53" s="35">
        <v>0</v>
      </c>
      <c r="X53" s="35" t="s">
        <v>23</v>
      </c>
      <c r="Y53" s="35">
        <v>0</v>
      </c>
      <c r="Z53" s="35" t="s">
        <v>23</v>
      </c>
      <c r="AA53" s="35">
        <v>0</v>
      </c>
      <c r="AB53" s="37">
        <f>C53+E53+G53+I53+K53+M53+O53+U53</f>
        <v>23200</v>
      </c>
      <c r="AC53" s="106">
        <f>SUM(AB53/1600)</f>
        <v>14.5</v>
      </c>
    </row>
    <row r="54" spans="1:30" ht="8.1" customHeight="1" x14ac:dyDescent="0.3">
      <c r="A54" s="59"/>
      <c r="B54" s="60" t="s">
        <v>56</v>
      </c>
      <c r="C54" s="61"/>
      <c r="D54" s="60"/>
      <c r="E54" s="84"/>
      <c r="F54" s="64"/>
      <c r="G54" s="65"/>
      <c r="H54" s="32"/>
      <c r="I54" s="66"/>
      <c r="J54" s="32"/>
      <c r="K54" s="67"/>
      <c r="L54" s="32"/>
      <c r="M54" s="144"/>
      <c r="N54" s="43"/>
      <c r="O54" s="43"/>
      <c r="P54" s="68"/>
      <c r="Q54" s="68"/>
      <c r="R54" s="43"/>
      <c r="S54" s="43"/>
      <c r="T54" s="68"/>
      <c r="U54" s="68"/>
      <c r="V54" s="43"/>
      <c r="W54" s="68"/>
      <c r="X54" s="68"/>
      <c r="Y54" s="68"/>
      <c r="Z54" s="68"/>
      <c r="AA54" s="68"/>
      <c r="AB54" s="61"/>
      <c r="AC54" s="69"/>
    </row>
    <row r="55" spans="1:30" ht="40.200000000000003" x14ac:dyDescent="0.3">
      <c r="A55" s="24" t="s">
        <v>115</v>
      </c>
      <c r="B55" s="25" t="s">
        <v>40</v>
      </c>
      <c r="C55" s="26">
        <v>1600</v>
      </c>
      <c r="D55" s="25" t="s">
        <v>23</v>
      </c>
      <c r="E55" s="26">
        <v>3200</v>
      </c>
      <c r="F55" s="28" t="s">
        <v>23</v>
      </c>
      <c r="G55" s="29">
        <v>0</v>
      </c>
      <c r="H55" s="25" t="s">
        <v>26</v>
      </c>
      <c r="I55" s="26">
        <v>1600</v>
      </c>
      <c r="J55" s="25" t="s">
        <v>40</v>
      </c>
      <c r="K55" s="31">
        <v>800</v>
      </c>
      <c r="L55" s="25" t="s">
        <v>40</v>
      </c>
      <c r="M55" s="26">
        <v>1600</v>
      </c>
      <c r="N55" s="60" t="s">
        <v>40</v>
      </c>
      <c r="O55" s="71">
        <v>0</v>
      </c>
      <c r="P55" s="28" t="s">
        <v>23</v>
      </c>
      <c r="Q55" s="34">
        <v>0</v>
      </c>
      <c r="R55" s="33">
        <v>0</v>
      </c>
      <c r="S55" s="35">
        <v>0</v>
      </c>
      <c r="T55" s="36"/>
      <c r="U55" s="34"/>
      <c r="V55" s="35" t="s">
        <v>23</v>
      </c>
      <c r="W55" s="35">
        <v>0</v>
      </c>
      <c r="X55" s="35" t="s">
        <v>23</v>
      </c>
      <c r="Y55" s="35">
        <v>0</v>
      </c>
      <c r="Z55" s="35" t="s">
        <v>23</v>
      </c>
      <c r="AA55" s="35">
        <v>0</v>
      </c>
      <c r="AB55" s="37">
        <f t="shared" ref="AB55:AB59" si="11">C55+E55+G55+I55+K55+M55+O55+U55</f>
        <v>8800</v>
      </c>
      <c r="AC55" s="145">
        <f>SUM(AB55/1600)</f>
        <v>5.5</v>
      </c>
      <c r="AD55" s="112"/>
    </row>
    <row r="56" spans="1:30" ht="40.200000000000003" x14ac:dyDescent="0.3">
      <c r="A56" s="39" t="s">
        <v>116</v>
      </c>
      <c r="B56" s="25" t="s">
        <v>117</v>
      </c>
      <c r="C56" s="26">
        <v>1600</v>
      </c>
      <c r="D56" s="25" t="s">
        <v>117</v>
      </c>
      <c r="E56" s="40">
        <v>1600</v>
      </c>
      <c r="F56" s="28" t="s">
        <v>23</v>
      </c>
      <c r="G56" s="29">
        <v>0</v>
      </c>
      <c r="H56" s="25" t="s">
        <v>118</v>
      </c>
      <c r="I56" s="26">
        <v>1600</v>
      </c>
      <c r="J56" s="41" t="s">
        <v>118</v>
      </c>
      <c r="K56" s="26">
        <v>800</v>
      </c>
      <c r="L56" s="25" t="s">
        <v>118</v>
      </c>
      <c r="M56" s="26">
        <v>1600</v>
      </c>
      <c r="N56" s="60" t="s">
        <v>118</v>
      </c>
      <c r="O56" s="71">
        <v>0</v>
      </c>
      <c r="P56" s="28" t="s">
        <v>23</v>
      </c>
      <c r="Q56" s="34">
        <v>0</v>
      </c>
      <c r="R56" s="33">
        <v>0</v>
      </c>
      <c r="S56" s="35">
        <v>0</v>
      </c>
      <c r="T56" s="28" t="s">
        <v>23</v>
      </c>
      <c r="U56" s="135">
        <v>0</v>
      </c>
      <c r="V56" s="35" t="s">
        <v>23</v>
      </c>
      <c r="W56" s="35">
        <v>0</v>
      </c>
      <c r="X56" s="35" t="s">
        <v>23</v>
      </c>
      <c r="Y56" s="35">
        <v>0</v>
      </c>
      <c r="Z56" s="35" t="s">
        <v>23</v>
      </c>
      <c r="AA56" s="35">
        <v>0</v>
      </c>
      <c r="AB56" s="37">
        <f t="shared" si="11"/>
        <v>7200</v>
      </c>
      <c r="AC56" s="145">
        <f>SUM(AB56/1600)</f>
        <v>4.5</v>
      </c>
    </row>
    <row r="57" spans="1:30" ht="40.200000000000003" x14ac:dyDescent="0.3">
      <c r="A57" s="39" t="s">
        <v>119</v>
      </c>
      <c r="B57" s="25" t="s">
        <v>40</v>
      </c>
      <c r="C57" s="26">
        <v>1600</v>
      </c>
      <c r="D57" s="25" t="s">
        <v>40</v>
      </c>
      <c r="E57" s="40">
        <v>1600</v>
      </c>
      <c r="F57" s="28" t="s">
        <v>23</v>
      </c>
      <c r="G57" s="29">
        <v>0</v>
      </c>
      <c r="H57" s="25" t="s">
        <v>40</v>
      </c>
      <c r="I57" s="26">
        <v>1600</v>
      </c>
      <c r="J57" s="25" t="s">
        <v>40</v>
      </c>
      <c r="K57" s="26">
        <v>800</v>
      </c>
      <c r="L57" s="25" t="s">
        <v>40</v>
      </c>
      <c r="M57" s="26">
        <v>1600</v>
      </c>
      <c r="N57" s="60" t="s">
        <v>40</v>
      </c>
      <c r="O57" s="33">
        <v>0</v>
      </c>
      <c r="P57" s="28" t="s">
        <v>23</v>
      </c>
      <c r="Q57" s="34">
        <v>0</v>
      </c>
      <c r="R57" s="33">
        <v>0</v>
      </c>
      <c r="S57" s="35">
        <v>0</v>
      </c>
      <c r="T57" s="28" t="s">
        <v>23</v>
      </c>
      <c r="U57" s="135">
        <v>0</v>
      </c>
      <c r="V57" s="35" t="s">
        <v>23</v>
      </c>
      <c r="W57" s="35">
        <v>0</v>
      </c>
      <c r="X57" s="35" t="s">
        <v>23</v>
      </c>
      <c r="Y57" s="35">
        <v>0</v>
      </c>
      <c r="Z57" s="35" t="s">
        <v>23</v>
      </c>
      <c r="AA57" s="35">
        <v>0</v>
      </c>
      <c r="AB57" s="37">
        <f t="shared" si="11"/>
        <v>7200</v>
      </c>
      <c r="AC57" s="145">
        <f>SUM(AB57/1600)</f>
        <v>4.5</v>
      </c>
    </row>
    <row r="58" spans="1:30" x14ac:dyDescent="0.3">
      <c r="A58" s="39" t="s">
        <v>120</v>
      </c>
      <c r="B58" s="25" t="s">
        <v>23</v>
      </c>
      <c r="C58" s="40">
        <v>0</v>
      </c>
      <c r="D58" s="25" t="s">
        <v>23</v>
      </c>
      <c r="E58" s="40">
        <v>0</v>
      </c>
      <c r="F58" s="28" t="s">
        <v>23</v>
      </c>
      <c r="G58" s="29">
        <v>0</v>
      </c>
      <c r="H58" s="30" t="s">
        <v>23</v>
      </c>
      <c r="I58" s="45">
        <v>0</v>
      </c>
      <c r="J58" s="30" t="s">
        <v>23</v>
      </c>
      <c r="K58" s="45">
        <v>0</v>
      </c>
      <c r="L58" s="30" t="s">
        <v>23</v>
      </c>
      <c r="M58" s="45">
        <v>0</v>
      </c>
      <c r="N58" s="42" t="s">
        <v>23</v>
      </c>
      <c r="O58" s="43">
        <v>0</v>
      </c>
      <c r="P58" s="28" t="s">
        <v>23</v>
      </c>
      <c r="Q58" s="34">
        <v>0</v>
      </c>
      <c r="R58" s="33">
        <v>0</v>
      </c>
      <c r="S58" s="35">
        <v>0</v>
      </c>
      <c r="T58" s="28" t="s">
        <v>23</v>
      </c>
      <c r="U58" s="86">
        <v>0</v>
      </c>
      <c r="V58" s="35" t="s">
        <v>23</v>
      </c>
      <c r="W58" s="35">
        <v>0</v>
      </c>
      <c r="X58" s="35" t="s">
        <v>23</v>
      </c>
      <c r="Y58" s="35">
        <v>0</v>
      </c>
      <c r="Z58" s="35" t="s">
        <v>23</v>
      </c>
      <c r="AA58" s="35">
        <v>0</v>
      </c>
      <c r="AB58" s="37">
        <f t="shared" si="11"/>
        <v>0</v>
      </c>
      <c r="AC58" s="145">
        <f>SUM(AB58/1600)</f>
        <v>0</v>
      </c>
    </row>
    <row r="59" spans="1:30" ht="27" x14ac:dyDescent="0.3">
      <c r="A59" s="24" t="s">
        <v>121</v>
      </c>
      <c r="B59" s="49"/>
      <c r="C59" s="50">
        <f>SUM(C55:C58)</f>
        <v>4800</v>
      </c>
      <c r="D59" s="53"/>
      <c r="E59" s="50">
        <f>SUM(E55:E58)</f>
        <v>6400</v>
      </c>
      <c r="F59" s="53"/>
      <c r="G59" s="54">
        <v>0</v>
      </c>
      <c r="H59" s="53"/>
      <c r="I59" s="54">
        <f>SUM(I55:I58)</f>
        <v>4800</v>
      </c>
      <c r="J59" s="53"/>
      <c r="K59" s="54">
        <f>SUM(K55:K58)</f>
        <v>2400</v>
      </c>
      <c r="L59" s="53"/>
      <c r="M59" s="54">
        <f>SUM(M55:M58)</f>
        <v>4800</v>
      </c>
      <c r="N59" s="55"/>
      <c r="O59" s="55">
        <f>SUM(O55:O58)</f>
        <v>0</v>
      </c>
      <c r="P59" s="56"/>
      <c r="Q59" s="56"/>
      <c r="R59" s="55"/>
      <c r="S59" s="57"/>
      <c r="T59" s="56"/>
      <c r="U59" s="56">
        <f>SUM(U55:U58)</f>
        <v>0</v>
      </c>
      <c r="V59" s="57"/>
      <c r="W59" s="56"/>
      <c r="X59" s="56"/>
      <c r="Y59" s="56"/>
      <c r="Z59" s="56"/>
      <c r="AA59" s="56"/>
      <c r="AB59" s="50">
        <f t="shared" si="11"/>
        <v>23200</v>
      </c>
      <c r="AC59" s="58">
        <f>SUM(AB59/1600)</f>
        <v>14.5</v>
      </c>
    </row>
    <row r="60" spans="1:30" ht="8.1" customHeight="1" x14ac:dyDescent="0.3">
      <c r="A60" s="59"/>
      <c r="B60" s="60" t="s">
        <v>122</v>
      </c>
      <c r="C60" s="61"/>
      <c r="D60" s="62"/>
      <c r="E60" s="63"/>
      <c r="F60" s="64"/>
      <c r="G60" s="65"/>
      <c r="H60" s="32"/>
      <c r="I60" s="66"/>
      <c r="J60" s="32"/>
      <c r="K60" s="67">
        <f>SUM(K55:K59)</f>
        <v>4800</v>
      </c>
      <c r="L60" s="32"/>
      <c r="M60" s="67"/>
      <c r="N60" s="43"/>
      <c r="O60" s="43"/>
      <c r="P60" s="68"/>
      <c r="Q60" s="68"/>
      <c r="R60" s="43"/>
      <c r="S60" s="43"/>
      <c r="T60" s="68"/>
      <c r="U60" s="68"/>
      <c r="V60" s="43"/>
      <c r="W60" s="68"/>
      <c r="X60" s="68"/>
      <c r="Y60" s="68"/>
      <c r="Z60" s="68"/>
      <c r="AA60" s="68"/>
      <c r="AB60" s="61"/>
      <c r="AC60" s="69"/>
    </row>
    <row r="61" spans="1:30" ht="40.200000000000003" x14ac:dyDescent="0.3">
      <c r="A61" s="258" t="s">
        <v>123</v>
      </c>
      <c r="B61" s="25" t="s">
        <v>26</v>
      </c>
      <c r="C61" s="26">
        <v>3200</v>
      </c>
      <c r="D61" s="25" t="s">
        <v>26</v>
      </c>
      <c r="E61" s="26">
        <v>3200</v>
      </c>
      <c r="F61" s="28"/>
      <c r="G61" s="29"/>
      <c r="H61" s="30" t="s">
        <v>124</v>
      </c>
      <c r="I61" s="26">
        <v>800</v>
      </c>
      <c r="J61" s="30" t="s">
        <v>125</v>
      </c>
      <c r="K61" s="31">
        <v>800</v>
      </c>
      <c r="L61" s="25" t="s">
        <v>124</v>
      </c>
      <c r="M61" s="26">
        <v>800</v>
      </c>
      <c r="N61" s="42" t="s">
        <v>23</v>
      </c>
      <c r="O61" s="33">
        <v>0</v>
      </c>
      <c r="P61" s="28" t="s">
        <v>23</v>
      </c>
      <c r="Q61" s="83">
        <v>0</v>
      </c>
      <c r="R61" s="33">
        <v>0</v>
      </c>
      <c r="S61" s="35">
        <v>0</v>
      </c>
      <c r="T61" s="28" t="s">
        <v>23</v>
      </c>
      <c r="U61" s="110">
        <v>0</v>
      </c>
      <c r="V61" s="35" t="s">
        <v>23</v>
      </c>
      <c r="W61" s="35">
        <v>0</v>
      </c>
      <c r="X61" s="35" t="s">
        <v>23</v>
      </c>
      <c r="Y61" s="35">
        <v>0</v>
      </c>
      <c r="Z61" s="35" t="s">
        <v>23</v>
      </c>
      <c r="AA61" s="35">
        <v>0</v>
      </c>
      <c r="AB61" s="37">
        <f t="shared" ref="AB61:AB63" si="12">C61+E61+G61+I61+K61+M61+O61+U61</f>
        <v>8800</v>
      </c>
      <c r="AC61" s="58">
        <f>SUM(AB61/1600)</f>
        <v>5.5</v>
      </c>
    </row>
    <row r="62" spans="1:30" ht="53.4" x14ac:dyDescent="0.3">
      <c r="A62" s="39" t="s">
        <v>126</v>
      </c>
      <c r="B62" s="108" t="s">
        <v>23</v>
      </c>
      <c r="C62" s="26">
        <v>1600</v>
      </c>
      <c r="D62" s="25" t="s">
        <v>23</v>
      </c>
      <c r="E62" s="40">
        <v>800</v>
      </c>
      <c r="F62" s="28" t="s">
        <v>23</v>
      </c>
      <c r="G62" s="29">
        <v>0</v>
      </c>
      <c r="H62" s="30" t="s">
        <v>127</v>
      </c>
      <c r="I62" s="31">
        <v>400</v>
      </c>
      <c r="J62" s="30" t="s">
        <v>23</v>
      </c>
      <c r="K62" s="45">
        <v>400</v>
      </c>
      <c r="L62" s="30" t="s">
        <v>23</v>
      </c>
      <c r="M62" s="45">
        <v>0</v>
      </c>
      <c r="N62" s="42" t="s">
        <v>23</v>
      </c>
      <c r="O62" s="33">
        <v>0</v>
      </c>
      <c r="P62" s="28" t="s">
        <v>23</v>
      </c>
      <c r="Q62" s="34">
        <v>0</v>
      </c>
      <c r="R62" s="33">
        <v>0</v>
      </c>
      <c r="S62" s="35">
        <v>0</v>
      </c>
      <c r="T62" s="28" t="s">
        <v>23</v>
      </c>
      <c r="U62" s="72">
        <v>0</v>
      </c>
      <c r="V62" s="35" t="s">
        <v>23</v>
      </c>
      <c r="W62" s="35">
        <v>0</v>
      </c>
      <c r="X62" s="35" t="s">
        <v>23</v>
      </c>
      <c r="Y62" s="35">
        <v>0</v>
      </c>
      <c r="Z62" s="35" t="s">
        <v>23</v>
      </c>
      <c r="AA62" s="35">
        <v>0</v>
      </c>
      <c r="AB62" s="26">
        <f t="shared" si="12"/>
        <v>3200</v>
      </c>
      <c r="AC62" s="58">
        <f>SUM(AB62/1600)</f>
        <v>2</v>
      </c>
    </row>
    <row r="63" spans="1:30" ht="40.200000000000003" x14ac:dyDescent="0.3">
      <c r="A63" s="39" t="s">
        <v>128</v>
      </c>
      <c r="B63" s="30" t="s">
        <v>56</v>
      </c>
      <c r="C63" s="26">
        <v>800</v>
      </c>
      <c r="D63" s="30" t="s">
        <v>56</v>
      </c>
      <c r="E63" s="40">
        <v>800</v>
      </c>
      <c r="F63" s="28">
        <v>0</v>
      </c>
      <c r="G63" s="29">
        <v>0</v>
      </c>
      <c r="H63" s="30" t="s">
        <v>56</v>
      </c>
      <c r="I63" s="31">
        <v>800</v>
      </c>
      <c r="J63" s="30">
        <v>0</v>
      </c>
      <c r="K63" s="45">
        <v>0</v>
      </c>
      <c r="L63" s="25" t="s">
        <v>129</v>
      </c>
      <c r="M63" s="26">
        <v>800</v>
      </c>
      <c r="N63" s="42" t="s">
        <v>23</v>
      </c>
      <c r="O63" s="33">
        <v>0</v>
      </c>
      <c r="P63" s="28" t="s">
        <v>23</v>
      </c>
      <c r="Q63" s="34">
        <v>0</v>
      </c>
      <c r="R63" s="33">
        <v>0</v>
      </c>
      <c r="S63" s="35">
        <v>0</v>
      </c>
      <c r="T63" s="36"/>
      <c r="U63" s="146"/>
      <c r="V63" s="35" t="s">
        <v>23</v>
      </c>
      <c r="W63" s="35">
        <v>0</v>
      </c>
      <c r="X63" s="35" t="s">
        <v>23</v>
      </c>
      <c r="Y63" s="35">
        <v>0</v>
      </c>
      <c r="Z63" s="35" t="s">
        <v>23</v>
      </c>
      <c r="AA63" s="35">
        <v>0</v>
      </c>
      <c r="AB63" s="37">
        <f t="shared" si="12"/>
        <v>3200</v>
      </c>
      <c r="AC63" s="58">
        <f>SUM(AB63/1600)</f>
        <v>2</v>
      </c>
    </row>
    <row r="64" spans="1:30" ht="8.1" customHeight="1" x14ac:dyDescent="0.3">
      <c r="A64" s="59"/>
      <c r="B64" s="60"/>
      <c r="C64" s="147"/>
      <c r="D64" s="148"/>
      <c r="E64" s="42">
        <v>2080</v>
      </c>
      <c r="F64" s="64"/>
      <c r="G64" s="149"/>
      <c r="H64" s="42"/>
      <c r="I64" s="42"/>
      <c r="J64" s="42"/>
      <c r="K64" s="42"/>
      <c r="L64" s="42"/>
      <c r="M64" s="42"/>
      <c r="N64" s="43"/>
      <c r="O64" s="43"/>
      <c r="P64" s="43"/>
      <c r="Q64" s="43"/>
      <c r="R64" s="43"/>
      <c r="S64" s="150"/>
      <c r="T64" s="151"/>
      <c r="U64" s="152"/>
      <c r="V64" s="153"/>
      <c r="W64" s="152"/>
      <c r="X64" s="152"/>
      <c r="Y64" s="152"/>
      <c r="Z64" s="152"/>
      <c r="AA64" s="152"/>
      <c r="AB64" s="152"/>
      <c r="AC64" s="154"/>
    </row>
    <row r="65" spans="1:31" ht="40.200000000000003" x14ac:dyDescent="0.3">
      <c r="A65" s="24" t="s">
        <v>130</v>
      </c>
      <c r="B65" s="25" t="s">
        <v>131</v>
      </c>
      <c r="C65" s="26">
        <v>2000</v>
      </c>
      <c r="D65" s="25" t="s">
        <v>23</v>
      </c>
      <c r="E65" s="40">
        <v>2400</v>
      </c>
      <c r="F65" s="28" t="s">
        <v>23</v>
      </c>
      <c r="G65" s="29">
        <v>0</v>
      </c>
      <c r="H65" s="41" t="s">
        <v>132</v>
      </c>
      <c r="I65" s="31">
        <v>2800</v>
      </c>
      <c r="J65" s="30" t="s">
        <v>133</v>
      </c>
      <c r="K65" s="31">
        <v>1600</v>
      </c>
      <c r="L65" s="30" t="s">
        <v>23</v>
      </c>
      <c r="M65" s="45">
        <v>0</v>
      </c>
      <c r="N65" s="60" t="s">
        <v>40</v>
      </c>
      <c r="O65" s="71">
        <v>0</v>
      </c>
      <c r="P65" s="28" t="s">
        <v>23</v>
      </c>
      <c r="Q65" s="34">
        <v>0</v>
      </c>
      <c r="R65" s="33">
        <v>0</v>
      </c>
      <c r="S65" s="35">
        <v>0</v>
      </c>
      <c r="T65" s="36"/>
      <c r="U65" s="45"/>
      <c r="V65" s="35" t="s">
        <v>23</v>
      </c>
      <c r="W65" s="35">
        <v>0</v>
      </c>
      <c r="X65" s="35" t="s">
        <v>23</v>
      </c>
      <c r="Y65" s="35">
        <v>0</v>
      </c>
      <c r="Z65" s="35" t="s">
        <v>23</v>
      </c>
      <c r="AA65" s="35">
        <v>0</v>
      </c>
      <c r="AB65" s="37">
        <f t="shared" ref="AB65:AB70" si="13">C65+E65+G65+I65+K65+M65+O65+U65</f>
        <v>8800</v>
      </c>
      <c r="AC65" s="145">
        <f t="shared" ref="AC65:AC70" si="14">SUM(AB65/1600)</f>
        <v>5.5</v>
      </c>
    </row>
    <row r="66" spans="1:31" ht="40.200000000000003" x14ac:dyDescent="0.3">
      <c r="A66" s="39" t="s">
        <v>134</v>
      </c>
      <c r="B66" s="25" t="s">
        <v>23</v>
      </c>
      <c r="C66" s="40">
        <v>800</v>
      </c>
      <c r="D66" s="25" t="s">
        <v>135</v>
      </c>
      <c r="E66" s="26">
        <v>800</v>
      </c>
      <c r="F66" s="28" t="s">
        <v>23</v>
      </c>
      <c r="G66" s="29">
        <v>0</v>
      </c>
      <c r="H66" s="30" t="s">
        <v>136</v>
      </c>
      <c r="I66" s="31">
        <v>800</v>
      </c>
      <c r="J66" s="30"/>
      <c r="K66" s="31"/>
      <c r="L66" s="30" t="s">
        <v>23</v>
      </c>
      <c r="M66" s="45">
        <v>0</v>
      </c>
      <c r="N66" s="42" t="s">
        <v>23</v>
      </c>
      <c r="O66" s="43">
        <v>0</v>
      </c>
      <c r="P66" s="28" t="s">
        <v>23</v>
      </c>
      <c r="Q66" s="34">
        <v>0</v>
      </c>
      <c r="R66" s="33">
        <v>0</v>
      </c>
      <c r="S66" s="35">
        <v>0</v>
      </c>
      <c r="T66" s="28" t="s">
        <v>23</v>
      </c>
      <c r="U66" s="45">
        <v>0</v>
      </c>
      <c r="V66" s="35" t="s">
        <v>23</v>
      </c>
      <c r="W66" s="35">
        <v>0</v>
      </c>
      <c r="X66" s="35" t="s">
        <v>23</v>
      </c>
      <c r="Y66" s="35">
        <v>0</v>
      </c>
      <c r="Z66" s="35" t="s">
        <v>23</v>
      </c>
      <c r="AA66" s="35">
        <v>0</v>
      </c>
      <c r="AB66" s="37">
        <f t="shared" si="13"/>
        <v>2400</v>
      </c>
      <c r="AC66" s="145">
        <f t="shared" si="14"/>
        <v>1.5</v>
      </c>
    </row>
    <row r="67" spans="1:31" ht="40.200000000000003" x14ac:dyDescent="0.3">
      <c r="A67" s="39" t="s">
        <v>137</v>
      </c>
      <c r="B67" s="36" t="s">
        <v>58</v>
      </c>
      <c r="C67" s="40">
        <v>800</v>
      </c>
      <c r="D67" s="25" t="s">
        <v>23</v>
      </c>
      <c r="E67" s="26"/>
      <c r="F67" s="28" t="s">
        <v>23</v>
      </c>
      <c r="G67" s="29">
        <v>0</v>
      </c>
      <c r="H67" s="30" t="s">
        <v>138</v>
      </c>
      <c r="I67" s="31">
        <v>400</v>
      </c>
      <c r="J67" s="30" t="s">
        <v>23</v>
      </c>
      <c r="K67" s="31"/>
      <c r="L67" s="30" t="s">
        <v>23</v>
      </c>
      <c r="M67" s="45">
        <v>0</v>
      </c>
      <c r="N67" s="42" t="s">
        <v>23</v>
      </c>
      <c r="O67" s="43">
        <v>0</v>
      </c>
      <c r="P67" s="28" t="s">
        <v>23</v>
      </c>
      <c r="Q67" s="34">
        <v>0</v>
      </c>
      <c r="R67" s="33">
        <v>0</v>
      </c>
      <c r="S67" s="35">
        <v>0</v>
      </c>
      <c r="T67" s="36"/>
      <c r="U67" s="110"/>
      <c r="V67" s="35" t="s">
        <v>23</v>
      </c>
      <c r="W67" s="35">
        <v>0</v>
      </c>
      <c r="X67" s="35" t="s">
        <v>23</v>
      </c>
      <c r="Y67" s="35">
        <v>0</v>
      </c>
      <c r="Z67" s="35" t="s">
        <v>23</v>
      </c>
      <c r="AA67" s="35">
        <v>0</v>
      </c>
      <c r="AB67" s="37">
        <f t="shared" si="13"/>
        <v>1200</v>
      </c>
      <c r="AC67" s="145">
        <f t="shared" si="14"/>
        <v>0.75</v>
      </c>
      <c r="AE67" s="155"/>
    </row>
    <row r="68" spans="1:31" ht="40.200000000000003" x14ac:dyDescent="0.3">
      <c r="A68" s="39" t="s">
        <v>139</v>
      </c>
      <c r="B68" s="25" t="s">
        <v>23</v>
      </c>
      <c r="C68" s="40">
        <v>400</v>
      </c>
      <c r="D68" s="30" t="s">
        <v>140</v>
      </c>
      <c r="E68" s="31">
        <v>800</v>
      </c>
      <c r="F68" s="28" t="s">
        <v>23</v>
      </c>
      <c r="G68" s="29">
        <v>0</v>
      </c>
      <c r="H68" s="30" t="s">
        <v>141</v>
      </c>
      <c r="I68" s="31">
        <v>400</v>
      </c>
      <c r="J68" s="30"/>
      <c r="K68" s="31"/>
      <c r="L68" s="30" t="s">
        <v>23</v>
      </c>
      <c r="M68" s="45">
        <v>0</v>
      </c>
      <c r="N68" s="42" t="s">
        <v>23</v>
      </c>
      <c r="O68" s="43">
        <v>0</v>
      </c>
      <c r="P68" s="28" t="s">
        <v>23</v>
      </c>
      <c r="Q68" s="34">
        <v>0</v>
      </c>
      <c r="R68" s="33">
        <v>0</v>
      </c>
      <c r="S68" s="35">
        <v>0</v>
      </c>
      <c r="T68" s="28" t="s">
        <v>23</v>
      </c>
      <c r="U68" s="110">
        <v>0</v>
      </c>
      <c r="V68" s="35" t="s">
        <v>23</v>
      </c>
      <c r="W68" s="35">
        <v>0</v>
      </c>
      <c r="X68" s="35" t="s">
        <v>23</v>
      </c>
      <c r="Y68" s="35">
        <v>0</v>
      </c>
      <c r="Z68" s="35" t="s">
        <v>23</v>
      </c>
      <c r="AA68" s="35">
        <v>0</v>
      </c>
      <c r="AB68" s="37">
        <f t="shared" si="13"/>
        <v>1600</v>
      </c>
      <c r="AC68" s="156">
        <f t="shared" si="14"/>
        <v>1</v>
      </c>
    </row>
    <row r="69" spans="1:31" ht="40.200000000000003" x14ac:dyDescent="0.3">
      <c r="A69" s="39" t="s">
        <v>142</v>
      </c>
      <c r="B69" s="25" t="s">
        <v>23</v>
      </c>
      <c r="C69" s="40">
        <v>400</v>
      </c>
      <c r="D69" s="30" t="s">
        <v>23</v>
      </c>
      <c r="E69" s="31">
        <v>400</v>
      </c>
      <c r="F69" s="28" t="s">
        <v>23</v>
      </c>
      <c r="G69" s="29">
        <v>0</v>
      </c>
      <c r="H69" s="108" t="s">
        <v>143</v>
      </c>
      <c r="I69" s="26">
        <v>1200</v>
      </c>
      <c r="J69" s="30"/>
      <c r="K69" s="31"/>
      <c r="L69" s="30" t="s">
        <v>23</v>
      </c>
      <c r="M69" s="45">
        <v>0</v>
      </c>
      <c r="N69" s="42" t="s">
        <v>23</v>
      </c>
      <c r="O69" s="43">
        <v>0</v>
      </c>
      <c r="P69" s="28" t="s">
        <v>23</v>
      </c>
      <c r="Q69" s="34">
        <v>0</v>
      </c>
      <c r="R69" s="33">
        <v>0</v>
      </c>
      <c r="S69" s="35">
        <v>0</v>
      </c>
      <c r="T69" s="28" t="s">
        <v>23</v>
      </c>
      <c r="U69" s="45">
        <v>0</v>
      </c>
      <c r="V69" s="35" t="s">
        <v>23</v>
      </c>
      <c r="W69" s="35">
        <v>0</v>
      </c>
      <c r="X69" s="35" t="s">
        <v>23</v>
      </c>
      <c r="Y69" s="35">
        <v>0</v>
      </c>
      <c r="Z69" s="35" t="s">
        <v>23</v>
      </c>
      <c r="AA69" s="35">
        <v>0</v>
      </c>
      <c r="AB69" s="37">
        <f t="shared" si="13"/>
        <v>2000</v>
      </c>
      <c r="AC69" s="156">
        <f t="shared" si="14"/>
        <v>1.25</v>
      </c>
    </row>
    <row r="70" spans="1:31" ht="27" x14ac:dyDescent="0.3">
      <c r="A70" s="24" t="s">
        <v>144</v>
      </c>
      <c r="B70" s="49"/>
      <c r="C70" s="50">
        <f>SUM(C65:C69)</f>
        <v>4400</v>
      </c>
      <c r="D70" s="53"/>
      <c r="E70" s="54">
        <f>SUM(E65:E69)</f>
        <v>4400</v>
      </c>
      <c r="F70" s="53"/>
      <c r="G70" s="54">
        <v>0</v>
      </c>
      <c r="H70" s="53"/>
      <c r="I70" s="54">
        <f>SUM(I65:I69)</f>
        <v>5600</v>
      </c>
      <c r="J70" s="53"/>
      <c r="K70" s="54">
        <f>SUM(K65:K69)</f>
        <v>1600</v>
      </c>
      <c r="L70" s="53" t="s">
        <v>23</v>
      </c>
      <c r="M70" s="54">
        <v>0</v>
      </c>
      <c r="N70" s="55"/>
      <c r="O70" s="55">
        <f t="shared" ref="O70" si="15">SUM(O65:O66)</f>
        <v>0</v>
      </c>
      <c r="P70" s="142"/>
      <c r="Q70" s="142"/>
      <c r="R70" s="55"/>
      <c r="S70" s="57"/>
      <c r="T70" s="142"/>
      <c r="U70" s="142">
        <f>SUM(U65:U69)</f>
        <v>0</v>
      </c>
      <c r="V70" s="142"/>
      <c r="W70" s="142"/>
      <c r="X70" s="142"/>
      <c r="Y70" s="142"/>
      <c r="Z70" s="142"/>
      <c r="AA70" s="142"/>
      <c r="AB70" s="50">
        <f t="shared" si="13"/>
        <v>16000</v>
      </c>
      <c r="AC70" s="157">
        <f t="shared" si="14"/>
        <v>10</v>
      </c>
    </row>
    <row r="71" spans="1:31" ht="8.1" customHeight="1" x14ac:dyDescent="0.3">
      <c r="A71" s="59"/>
      <c r="B71" s="60" t="s">
        <v>40</v>
      </c>
      <c r="C71" s="61"/>
      <c r="D71" s="62"/>
      <c r="E71" s="63"/>
      <c r="F71" s="64"/>
      <c r="G71" s="65"/>
      <c r="H71" s="32"/>
      <c r="I71" s="66"/>
      <c r="J71" s="32"/>
      <c r="K71" s="67"/>
      <c r="L71" s="32"/>
      <c r="M71" s="67"/>
      <c r="N71" s="43"/>
      <c r="O71" s="43"/>
      <c r="P71" s="68"/>
      <c r="Q71" s="68"/>
      <c r="R71" s="43"/>
      <c r="S71" s="43"/>
      <c r="T71" s="68"/>
      <c r="U71" s="68"/>
      <c r="V71" s="68"/>
      <c r="W71" s="68"/>
      <c r="X71" s="68"/>
      <c r="Y71" s="68"/>
      <c r="Z71" s="68"/>
      <c r="AA71" s="68"/>
      <c r="AB71" s="61"/>
      <c r="AC71" s="69"/>
      <c r="AD71" s="1"/>
    </row>
    <row r="72" spans="1:31" ht="53.4" x14ac:dyDescent="0.3">
      <c r="A72" s="158" t="s">
        <v>145</v>
      </c>
      <c r="B72" s="25" t="s">
        <v>146</v>
      </c>
      <c r="C72" s="26">
        <v>1600</v>
      </c>
      <c r="D72" s="25" t="s">
        <v>23</v>
      </c>
      <c r="E72" s="40">
        <v>1600</v>
      </c>
      <c r="F72" s="28" t="s">
        <v>23</v>
      </c>
      <c r="G72" s="159">
        <v>0</v>
      </c>
      <c r="H72" s="30" t="s">
        <v>147</v>
      </c>
      <c r="I72" s="31">
        <v>1600</v>
      </c>
      <c r="J72" s="30" t="s">
        <v>148</v>
      </c>
      <c r="K72" s="31">
        <v>400</v>
      </c>
      <c r="L72" s="30" t="s">
        <v>149</v>
      </c>
      <c r="M72" s="26">
        <v>1600</v>
      </c>
      <c r="N72" s="33" t="s">
        <v>26</v>
      </c>
      <c r="O72" s="33">
        <v>0</v>
      </c>
      <c r="P72" s="28" t="s">
        <v>23</v>
      </c>
      <c r="Q72" s="34">
        <v>0</v>
      </c>
      <c r="R72" s="33">
        <v>0</v>
      </c>
      <c r="S72" s="35">
        <v>0</v>
      </c>
      <c r="T72" s="36"/>
      <c r="U72" s="110"/>
      <c r="V72" s="35" t="s">
        <v>23</v>
      </c>
      <c r="W72" s="35">
        <v>0</v>
      </c>
      <c r="X72" s="35" t="s">
        <v>23</v>
      </c>
      <c r="Y72" s="35">
        <v>0</v>
      </c>
      <c r="Z72" s="35" t="s">
        <v>23</v>
      </c>
      <c r="AA72" s="35">
        <v>0</v>
      </c>
      <c r="AB72" s="37">
        <f t="shared" ref="AB72:AB74" si="16">C72+E72+G72+I72+K72+M72+O72+U72</f>
        <v>6800</v>
      </c>
      <c r="AC72" s="145">
        <f>SUM(AB72/1600)</f>
        <v>4.25</v>
      </c>
    </row>
    <row r="73" spans="1:31" ht="40.200000000000003" x14ac:dyDescent="0.3">
      <c r="A73" s="158" t="s">
        <v>150</v>
      </c>
      <c r="B73" s="25" t="s">
        <v>23</v>
      </c>
      <c r="C73" s="26">
        <v>0</v>
      </c>
      <c r="D73" s="25" t="s">
        <v>23</v>
      </c>
      <c r="E73" s="40">
        <v>0</v>
      </c>
      <c r="F73" s="28" t="s">
        <v>23</v>
      </c>
      <c r="G73" s="29">
        <v>0</v>
      </c>
      <c r="H73" s="30" t="s">
        <v>23</v>
      </c>
      <c r="I73" s="45">
        <v>0</v>
      </c>
      <c r="J73" s="30" t="s">
        <v>23</v>
      </c>
      <c r="K73" s="45">
        <v>0</v>
      </c>
      <c r="L73" s="30" t="s">
        <v>151</v>
      </c>
      <c r="M73" s="45">
        <v>400</v>
      </c>
      <c r="N73" s="42" t="s">
        <v>23</v>
      </c>
      <c r="O73" s="43">
        <v>0</v>
      </c>
      <c r="P73" s="28" t="s">
        <v>23</v>
      </c>
      <c r="Q73" s="34">
        <v>0</v>
      </c>
      <c r="R73" s="33">
        <v>0</v>
      </c>
      <c r="S73" s="35">
        <v>0</v>
      </c>
      <c r="T73" s="28" t="s">
        <v>23</v>
      </c>
      <c r="U73" s="110">
        <v>0</v>
      </c>
      <c r="V73" s="35" t="s">
        <v>23</v>
      </c>
      <c r="W73" s="35">
        <v>0</v>
      </c>
      <c r="X73" s="35" t="s">
        <v>23</v>
      </c>
      <c r="Y73" s="35">
        <v>0</v>
      </c>
      <c r="Z73" s="35" t="s">
        <v>23</v>
      </c>
      <c r="AA73" s="35">
        <v>0</v>
      </c>
      <c r="AB73" s="37">
        <f t="shared" si="16"/>
        <v>400</v>
      </c>
      <c r="AC73" s="145">
        <f>SUM(AB73/1600)</f>
        <v>0.25</v>
      </c>
    </row>
    <row r="74" spans="1:31" ht="27" x14ac:dyDescent="0.3">
      <c r="A74" s="158" t="s">
        <v>152</v>
      </c>
      <c r="B74" s="49"/>
      <c r="C74" s="50">
        <f>SUM(C72:C73)</f>
        <v>1600</v>
      </c>
      <c r="D74" s="53"/>
      <c r="E74" s="54">
        <f>SUM(E72:E73)</f>
        <v>1600</v>
      </c>
      <c r="F74" s="53"/>
      <c r="G74" s="54">
        <f>SUM(G72:G73)</f>
        <v>0</v>
      </c>
      <c r="H74" s="53"/>
      <c r="I74" s="54">
        <f>SUM(I72:I73)</f>
        <v>1600</v>
      </c>
      <c r="J74" s="53"/>
      <c r="K74" s="54">
        <f>SUM(K72:K73)</f>
        <v>400</v>
      </c>
      <c r="L74" s="53"/>
      <c r="M74" s="54">
        <f>SUM(M72:M73)</f>
        <v>2000</v>
      </c>
      <c r="N74" s="55"/>
      <c r="O74" s="55">
        <f>SUM(O72:O73)</f>
        <v>0</v>
      </c>
      <c r="P74" s="56"/>
      <c r="Q74" s="56"/>
      <c r="R74" s="55">
        <f t="shared" ref="R74:S74" si="17">SUM(R72:R73)</f>
        <v>0</v>
      </c>
      <c r="S74" s="57">
        <f t="shared" si="17"/>
        <v>0</v>
      </c>
      <c r="T74" s="56"/>
      <c r="U74" s="56">
        <f>SUM(U72:U73)</f>
        <v>0</v>
      </c>
      <c r="V74" s="56"/>
      <c r="W74" s="56"/>
      <c r="X74" s="56"/>
      <c r="Y74" s="56"/>
      <c r="Z74" s="56"/>
      <c r="AA74" s="56"/>
      <c r="AB74" s="50">
        <f t="shared" si="16"/>
        <v>7200</v>
      </c>
      <c r="AC74" s="145">
        <f>SUM(AB74/1600)</f>
        <v>4.5</v>
      </c>
    </row>
    <row r="75" spans="1:31" ht="8.1" customHeight="1" x14ac:dyDescent="0.3">
      <c r="A75" s="59"/>
      <c r="B75" s="60"/>
      <c r="C75" s="61"/>
      <c r="D75" s="62"/>
      <c r="E75" s="66">
        <v>2080</v>
      </c>
      <c r="F75" s="64"/>
      <c r="G75" s="65"/>
      <c r="H75" s="32"/>
      <c r="I75" s="66"/>
      <c r="J75" s="32"/>
      <c r="K75" s="67"/>
      <c r="L75" s="32"/>
      <c r="M75" s="67"/>
      <c r="N75" s="43"/>
      <c r="O75" s="43">
        <f>SUM(O72:O73)</f>
        <v>0</v>
      </c>
      <c r="P75" s="68"/>
      <c r="Q75" s="68"/>
      <c r="R75" s="43"/>
      <c r="S75" s="43"/>
      <c r="T75" s="68"/>
      <c r="U75" s="68"/>
      <c r="V75" s="68"/>
      <c r="W75" s="68"/>
      <c r="X75" s="68"/>
      <c r="Y75" s="68"/>
      <c r="Z75" s="68"/>
      <c r="AA75" s="68"/>
      <c r="AB75" s="61"/>
      <c r="AC75" s="69"/>
    </row>
    <row r="76" spans="1:31" ht="40.200000000000003" x14ac:dyDescent="0.3">
      <c r="A76" s="158" t="s">
        <v>153</v>
      </c>
      <c r="B76" s="25" t="s">
        <v>154</v>
      </c>
      <c r="C76" s="26">
        <v>1600</v>
      </c>
      <c r="D76" s="118" t="s">
        <v>23</v>
      </c>
      <c r="E76" s="160">
        <v>0</v>
      </c>
      <c r="F76" s="25" t="s">
        <v>23</v>
      </c>
      <c r="G76" s="26">
        <v>0</v>
      </c>
      <c r="H76" s="25" t="s">
        <v>155</v>
      </c>
      <c r="I76" s="26">
        <v>1600</v>
      </c>
      <c r="J76" s="30" t="s">
        <v>23</v>
      </c>
      <c r="K76" s="31">
        <v>800</v>
      </c>
      <c r="L76" s="25" t="s">
        <v>154</v>
      </c>
      <c r="M76" s="26">
        <v>1600</v>
      </c>
      <c r="N76" s="33"/>
      <c r="O76" s="33">
        <v>0</v>
      </c>
      <c r="P76" s="28" t="s">
        <v>23</v>
      </c>
      <c r="Q76" s="34">
        <v>0</v>
      </c>
      <c r="R76" s="33">
        <v>0</v>
      </c>
      <c r="S76" s="35">
        <v>0</v>
      </c>
      <c r="T76" s="28" t="s">
        <v>23</v>
      </c>
      <c r="U76" s="34">
        <v>0</v>
      </c>
      <c r="V76" s="35" t="s">
        <v>23</v>
      </c>
      <c r="W76" s="35">
        <v>0</v>
      </c>
      <c r="X76" s="35" t="s">
        <v>23</v>
      </c>
      <c r="Y76" s="35">
        <v>0</v>
      </c>
      <c r="Z76" s="35" t="s">
        <v>23</v>
      </c>
      <c r="AA76" s="35">
        <v>0</v>
      </c>
      <c r="AB76" s="37">
        <f>C76+E76+G76+I76+K76+M76+O76+U76</f>
        <v>5600</v>
      </c>
      <c r="AC76" s="58">
        <f>SUM(AB76/1600)</f>
        <v>3.5</v>
      </c>
    </row>
    <row r="77" spans="1:31" ht="8.1" customHeight="1" x14ac:dyDescent="0.3">
      <c r="A77" s="59"/>
      <c r="B77" s="60"/>
      <c r="C77" s="61"/>
      <c r="D77" s="60"/>
      <c r="E77" s="61">
        <f>SUM(E72:E73)</f>
        <v>1600</v>
      </c>
      <c r="F77" s="64"/>
      <c r="G77" s="65"/>
      <c r="H77" s="32"/>
      <c r="I77" s="66"/>
      <c r="J77" s="32"/>
      <c r="K77" s="67"/>
      <c r="L77" s="32"/>
      <c r="M77" s="67"/>
      <c r="N77" s="33"/>
      <c r="O77" s="33"/>
      <c r="P77" s="161"/>
      <c r="Q77" s="161"/>
      <c r="R77" s="43"/>
      <c r="S77" s="43"/>
      <c r="T77" s="161"/>
      <c r="U77" s="161"/>
      <c r="V77" s="71"/>
      <c r="W77" s="161"/>
      <c r="X77" s="161"/>
      <c r="Y77" s="161"/>
      <c r="Z77" s="161"/>
      <c r="AA77" s="161"/>
      <c r="AB77" s="61"/>
      <c r="AC77" s="69"/>
    </row>
    <row r="78" spans="1:31" ht="40.200000000000003" x14ac:dyDescent="0.3">
      <c r="A78" s="158" t="s">
        <v>156</v>
      </c>
      <c r="B78" s="25" t="s">
        <v>40</v>
      </c>
      <c r="C78" s="26">
        <v>3200</v>
      </c>
      <c r="D78" s="25" t="s">
        <v>23</v>
      </c>
      <c r="E78" s="26">
        <v>3200</v>
      </c>
      <c r="F78" s="28" t="s">
        <v>23</v>
      </c>
      <c r="G78" s="29">
        <v>0</v>
      </c>
      <c r="H78" s="25" t="s">
        <v>157</v>
      </c>
      <c r="I78" s="26">
        <v>1600</v>
      </c>
      <c r="J78" s="81" t="s">
        <v>36</v>
      </c>
      <c r="K78" s="45">
        <v>0</v>
      </c>
      <c r="L78" s="25" t="s">
        <v>158</v>
      </c>
      <c r="M78" s="26">
        <v>1600</v>
      </c>
      <c r="N78" s="60" t="s">
        <v>158</v>
      </c>
      <c r="O78" s="33">
        <v>0</v>
      </c>
      <c r="P78" s="28" t="s">
        <v>23</v>
      </c>
      <c r="Q78" s="34">
        <v>0</v>
      </c>
      <c r="R78" s="33">
        <v>0</v>
      </c>
      <c r="S78" s="35">
        <v>0</v>
      </c>
      <c r="T78" s="36"/>
      <c r="U78" s="110"/>
      <c r="V78" s="35" t="s">
        <v>23</v>
      </c>
      <c r="W78" s="35">
        <v>0</v>
      </c>
      <c r="X78" s="35" t="s">
        <v>23</v>
      </c>
      <c r="Y78" s="35">
        <v>0</v>
      </c>
      <c r="Z78" s="35" t="s">
        <v>23</v>
      </c>
      <c r="AA78" s="35">
        <v>0</v>
      </c>
      <c r="AB78" s="37">
        <f t="shared" ref="AB78:AB80" si="18">C78+E78+G78+I78+K78+M78+O78+U78</f>
        <v>9600</v>
      </c>
      <c r="AC78" s="145">
        <f>SUM(AB78/1600)</f>
        <v>6</v>
      </c>
    </row>
    <row r="79" spans="1:31" ht="40.200000000000003" x14ac:dyDescent="0.3">
      <c r="A79" s="158" t="s">
        <v>159</v>
      </c>
      <c r="B79" s="25" t="s">
        <v>40</v>
      </c>
      <c r="C79" s="26">
        <v>1600</v>
      </c>
      <c r="D79" s="25" t="s">
        <v>23</v>
      </c>
      <c r="E79" s="40">
        <v>0</v>
      </c>
      <c r="F79" s="28" t="s">
        <v>23</v>
      </c>
      <c r="G79" s="29">
        <v>0</v>
      </c>
      <c r="H79" s="30" t="s">
        <v>160</v>
      </c>
      <c r="I79" s="31">
        <v>800</v>
      </c>
      <c r="J79" s="81" t="s">
        <v>36</v>
      </c>
      <c r="K79" s="45">
        <v>0</v>
      </c>
      <c r="L79" s="30" t="s">
        <v>161</v>
      </c>
      <c r="M79" s="45">
        <v>0</v>
      </c>
      <c r="N79" s="33"/>
      <c r="O79" s="33">
        <v>0</v>
      </c>
      <c r="P79" s="28" t="s">
        <v>23</v>
      </c>
      <c r="Q79" s="34">
        <v>0</v>
      </c>
      <c r="R79" s="33">
        <v>0</v>
      </c>
      <c r="S79" s="35">
        <v>0</v>
      </c>
      <c r="T79" s="28" t="s">
        <v>23</v>
      </c>
      <c r="U79" s="83">
        <v>0</v>
      </c>
      <c r="V79" s="35" t="s">
        <v>23</v>
      </c>
      <c r="W79" s="35">
        <v>0</v>
      </c>
      <c r="X79" s="35" t="s">
        <v>23</v>
      </c>
      <c r="Y79" s="35">
        <v>0</v>
      </c>
      <c r="Z79" s="35" t="s">
        <v>23</v>
      </c>
      <c r="AA79" s="35">
        <v>0</v>
      </c>
      <c r="AB79" s="37">
        <f t="shared" si="18"/>
        <v>2400</v>
      </c>
      <c r="AC79" s="145">
        <f>SUM(AB79/1600)</f>
        <v>1.5</v>
      </c>
    </row>
    <row r="80" spans="1:31" ht="40.200000000000003" x14ac:dyDescent="0.3">
      <c r="A80" s="158" t="s">
        <v>162</v>
      </c>
      <c r="B80" s="49"/>
      <c r="C80" s="50">
        <f>SUM(C78:C79)</f>
        <v>4800</v>
      </c>
      <c r="D80" s="53"/>
      <c r="E80" s="54">
        <f>SUM(E78:E79)</f>
        <v>3200</v>
      </c>
      <c r="F80" s="53"/>
      <c r="G80" s="54">
        <v>0</v>
      </c>
      <c r="H80" s="53"/>
      <c r="I80" s="54">
        <f>SUM(I78:I79)</f>
        <v>2400</v>
      </c>
      <c r="J80" s="53"/>
      <c r="K80" s="54">
        <v>0</v>
      </c>
      <c r="L80" s="53"/>
      <c r="M80" s="54">
        <f>SUM(M78:M79)</f>
        <v>1600</v>
      </c>
      <c r="N80" s="43"/>
      <c r="O80" s="43">
        <f>SUM(O78:O79)</f>
        <v>0</v>
      </c>
      <c r="P80" s="56"/>
      <c r="Q80" s="56"/>
      <c r="R80" s="55">
        <f>SUM(R76:R79)</f>
        <v>0</v>
      </c>
      <c r="S80" s="57">
        <f>SUM(S76:S79)</f>
        <v>0</v>
      </c>
      <c r="T80" s="56"/>
      <c r="U80" s="56">
        <f>SUM(U78:U79)</f>
        <v>0</v>
      </c>
      <c r="V80" s="56"/>
      <c r="W80" s="56"/>
      <c r="X80" s="56"/>
      <c r="Y80" s="56"/>
      <c r="Z80" s="56"/>
      <c r="AA80" s="56"/>
      <c r="AB80" s="50">
        <f t="shared" si="18"/>
        <v>12000</v>
      </c>
      <c r="AC80" s="58">
        <f>SUM(AB80/1600)</f>
        <v>7.5</v>
      </c>
    </row>
    <row r="81" spans="1:30" ht="8.1" customHeight="1" x14ac:dyDescent="0.3">
      <c r="A81" s="59"/>
      <c r="B81" s="60" t="s">
        <v>23</v>
      </c>
      <c r="C81" s="61"/>
      <c r="D81" s="62"/>
      <c r="E81" s="63"/>
      <c r="F81" s="64"/>
      <c r="G81" s="65"/>
      <c r="H81" s="32"/>
      <c r="I81" s="66"/>
      <c r="J81" s="32"/>
      <c r="K81" s="67"/>
      <c r="L81" s="32"/>
      <c r="M81" s="67"/>
      <c r="N81" s="43"/>
      <c r="O81" s="43">
        <f>SUM(O78:O79)</f>
        <v>0</v>
      </c>
      <c r="P81" s="162"/>
      <c r="Q81" s="162"/>
      <c r="R81" s="43"/>
      <c r="S81" s="43"/>
      <c r="T81" s="162"/>
      <c r="U81" s="162"/>
      <c r="V81" s="162"/>
      <c r="W81" s="162"/>
      <c r="X81" s="162"/>
      <c r="Y81" s="162"/>
      <c r="Z81" s="162"/>
      <c r="AA81" s="162"/>
      <c r="AB81" s="61"/>
      <c r="AC81" s="69"/>
    </row>
    <row r="82" spans="1:30" ht="40.200000000000003" x14ac:dyDescent="0.3">
      <c r="A82" s="158" t="s">
        <v>163</v>
      </c>
      <c r="B82" s="25" t="s">
        <v>26</v>
      </c>
      <c r="C82" s="26">
        <v>0</v>
      </c>
      <c r="D82" s="25" t="s">
        <v>26</v>
      </c>
      <c r="E82" s="40">
        <v>1600</v>
      </c>
      <c r="F82" s="28" t="s">
        <v>26</v>
      </c>
      <c r="G82" s="29">
        <v>0</v>
      </c>
      <c r="H82" s="25" t="s">
        <v>26</v>
      </c>
      <c r="I82" s="40">
        <v>1600</v>
      </c>
      <c r="J82" s="30"/>
      <c r="K82" s="83"/>
      <c r="L82" s="30" t="s">
        <v>26</v>
      </c>
      <c r="M82" s="45">
        <v>0</v>
      </c>
      <c r="N82" s="42" t="s">
        <v>23</v>
      </c>
      <c r="O82" s="33">
        <v>0</v>
      </c>
      <c r="P82" s="28" t="s">
        <v>23</v>
      </c>
      <c r="Q82" s="34">
        <v>0</v>
      </c>
      <c r="R82" s="33">
        <v>0</v>
      </c>
      <c r="S82" s="35">
        <v>0</v>
      </c>
      <c r="T82" s="28" t="s">
        <v>23</v>
      </c>
      <c r="U82" s="110">
        <v>0</v>
      </c>
      <c r="V82" s="35" t="s">
        <v>23</v>
      </c>
      <c r="W82" s="35">
        <v>0</v>
      </c>
      <c r="X82" s="35" t="s">
        <v>23</v>
      </c>
      <c r="Y82" s="35">
        <v>0</v>
      </c>
      <c r="Z82" s="35" t="s">
        <v>23</v>
      </c>
      <c r="AA82" s="35">
        <v>0</v>
      </c>
      <c r="AB82" s="37">
        <f t="shared" ref="AB82:AB84" si="19">C82+E82+G82+I82+K82+M82+O82+U82</f>
        <v>3200</v>
      </c>
      <c r="AC82" s="145">
        <f>SUM(AB82/1600)</f>
        <v>2</v>
      </c>
      <c r="AD82" s="1"/>
    </row>
    <row r="83" spans="1:30" ht="40.200000000000003" x14ac:dyDescent="0.3">
      <c r="A83" s="158" t="s">
        <v>164</v>
      </c>
      <c r="B83" s="25" t="s">
        <v>26</v>
      </c>
      <c r="C83" s="40">
        <v>0</v>
      </c>
      <c r="D83" s="25" t="s">
        <v>26</v>
      </c>
      <c r="E83" s="40">
        <v>0</v>
      </c>
      <c r="F83" s="28" t="s">
        <v>26</v>
      </c>
      <c r="G83" s="29">
        <v>0</v>
      </c>
      <c r="H83" s="25" t="s">
        <v>26</v>
      </c>
      <c r="I83" s="40">
        <v>0</v>
      </c>
      <c r="J83" s="30" t="s">
        <v>26</v>
      </c>
      <c r="K83" s="83">
        <v>800</v>
      </c>
      <c r="L83" s="30" t="s">
        <v>26</v>
      </c>
      <c r="M83" s="31">
        <v>0</v>
      </c>
      <c r="N83" s="42" t="s">
        <v>23</v>
      </c>
      <c r="O83" s="33">
        <v>0</v>
      </c>
      <c r="P83" s="28" t="s">
        <v>23</v>
      </c>
      <c r="Q83" s="34">
        <v>0</v>
      </c>
      <c r="R83" s="33">
        <v>0</v>
      </c>
      <c r="S83" s="35">
        <v>0</v>
      </c>
      <c r="T83" s="28" t="s">
        <v>23</v>
      </c>
      <c r="U83" s="83">
        <v>0</v>
      </c>
      <c r="V83" s="35" t="s">
        <v>23</v>
      </c>
      <c r="W83" s="35">
        <v>0</v>
      </c>
      <c r="X83" s="35" t="s">
        <v>23</v>
      </c>
      <c r="Y83" s="35">
        <v>0</v>
      </c>
      <c r="Z83" s="35" t="s">
        <v>23</v>
      </c>
      <c r="AA83" s="35">
        <v>0</v>
      </c>
      <c r="AB83" s="37">
        <f t="shared" si="19"/>
        <v>800</v>
      </c>
      <c r="AC83" s="145">
        <f>SUM(AB83/1600)</f>
        <v>0.5</v>
      </c>
      <c r="AD83" s="1"/>
    </row>
    <row r="84" spans="1:30" x14ac:dyDescent="0.3">
      <c r="A84" s="158" t="s">
        <v>165</v>
      </c>
      <c r="B84" s="49"/>
      <c r="C84" s="50">
        <f>SUM(C82:C83)</f>
        <v>0</v>
      </c>
      <c r="D84" s="49"/>
      <c r="E84" s="163">
        <v>1600</v>
      </c>
      <c r="F84" s="76"/>
      <c r="G84" s="77">
        <f>SUM(G82:G83)</f>
        <v>0</v>
      </c>
      <c r="H84" s="75"/>
      <c r="I84" s="163">
        <v>1600</v>
      </c>
      <c r="J84" s="75"/>
      <c r="K84" s="164">
        <f>SUM(K82:K83)</f>
        <v>800</v>
      </c>
      <c r="L84" s="75"/>
      <c r="M84" s="164">
        <v>0</v>
      </c>
      <c r="N84" s="42" t="s">
        <v>23</v>
      </c>
      <c r="O84" s="33">
        <v>0</v>
      </c>
      <c r="P84" s="79"/>
      <c r="Q84" s="79"/>
      <c r="R84" s="33">
        <f t="shared" ref="R84:S84" si="20">SUM(R82:R83)</f>
        <v>0</v>
      </c>
      <c r="S84" s="143">
        <f t="shared" si="20"/>
        <v>0</v>
      </c>
      <c r="T84" s="79"/>
      <c r="U84" s="79">
        <f>SUM(U82:U83)</f>
        <v>0</v>
      </c>
      <c r="V84" s="79"/>
      <c r="W84" s="79"/>
      <c r="X84" s="79"/>
      <c r="Y84" s="79"/>
      <c r="Z84" s="79"/>
      <c r="AA84" s="79"/>
      <c r="AB84" s="50">
        <f t="shared" si="19"/>
        <v>4000</v>
      </c>
      <c r="AC84" s="58">
        <f>SUM(AB84/1600)</f>
        <v>2.5</v>
      </c>
    </row>
    <row r="85" spans="1:30" ht="8.1" customHeight="1" x14ac:dyDescent="0.3">
      <c r="A85" s="59"/>
      <c r="B85" s="60" t="s">
        <v>23</v>
      </c>
      <c r="C85" s="61"/>
      <c r="D85" s="60"/>
      <c r="E85" s="84"/>
      <c r="F85" s="64"/>
      <c r="G85" s="65"/>
      <c r="H85" s="32"/>
      <c r="I85" s="66"/>
      <c r="J85" s="32"/>
      <c r="K85" s="165"/>
      <c r="L85" s="32"/>
      <c r="M85" s="165"/>
      <c r="N85" s="43"/>
      <c r="O85" s="43"/>
      <c r="P85" s="162"/>
      <c r="Q85" s="162"/>
      <c r="R85" s="33"/>
      <c r="S85" s="33"/>
      <c r="T85" s="162"/>
      <c r="U85" s="162"/>
      <c r="V85" s="162"/>
      <c r="W85" s="162"/>
      <c r="X85" s="162"/>
      <c r="Y85" s="162"/>
      <c r="Z85" s="162"/>
      <c r="AA85" s="162"/>
      <c r="AB85" s="61"/>
      <c r="AC85" s="69"/>
    </row>
    <row r="86" spans="1:30" s="257" customFormat="1" ht="40.200000000000003" x14ac:dyDescent="0.3">
      <c r="A86" s="248" t="s">
        <v>166</v>
      </c>
      <c r="B86" s="252" t="s">
        <v>26</v>
      </c>
      <c r="C86" s="249">
        <v>1600</v>
      </c>
      <c r="D86" s="252" t="s">
        <v>26</v>
      </c>
      <c r="E86" s="249">
        <v>1600</v>
      </c>
      <c r="F86" s="253" t="s">
        <v>23</v>
      </c>
      <c r="G86" s="270">
        <v>0</v>
      </c>
      <c r="H86" s="252" t="s">
        <v>26</v>
      </c>
      <c r="I86" s="249">
        <v>1600</v>
      </c>
      <c r="J86" s="250" t="s">
        <v>26</v>
      </c>
      <c r="K86" s="249">
        <v>800</v>
      </c>
      <c r="L86" s="250" t="s">
        <v>26</v>
      </c>
      <c r="M86" s="249">
        <v>1600</v>
      </c>
      <c r="N86" s="271" t="s">
        <v>23</v>
      </c>
      <c r="O86" s="272">
        <v>0</v>
      </c>
      <c r="P86" s="253" t="s">
        <v>23</v>
      </c>
      <c r="Q86" s="254">
        <v>0</v>
      </c>
      <c r="R86" s="255">
        <v>0</v>
      </c>
      <c r="S86" s="255">
        <v>0</v>
      </c>
      <c r="T86" s="253" t="s">
        <v>23</v>
      </c>
      <c r="U86" s="273">
        <v>0</v>
      </c>
      <c r="V86" s="255" t="s">
        <v>23</v>
      </c>
      <c r="W86" s="255">
        <v>0</v>
      </c>
      <c r="X86" s="255" t="s">
        <v>23</v>
      </c>
      <c r="Y86" s="255">
        <v>0</v>
      </c>
      <c r="Z86" s="255" t="s">
        <v>23</v>
      </c>
      <c r="AA86" s="255">
        <v>0</v>
      </c>
      <c r="AB86" s="256">
        <f>C86+E86+G86+I86+K86+M86+O86+U86</f>
        <v>7200</v>
      </c>
      <c r="AC86" s="274">
        <f>SUM(AB86/1600)</f>
        <v>4.5</v>
      </c>
    </row>
    <row r="87" spans="1:30" ht="8.1" customHeight="1" x14ac:dyDescent="0.3">
      <c r="A87" s="59"/>
      <c r="B87" s="60"/>
      <c r="C87" s="144"/>
      <c r="D87" s="60"/>
      <c r="E87" s="84"/>
      <c r="F87" s="64"/>
      <c r="G87" s="65"/>
      <c r="H87" s="32"/>
      <c r="I87" s="66"/>
      <c r="J87" s="32"/>
      <c r="K87" s="165"/>
      <c r="L87" s="32"/>
      <c r="M87" s="165"/>
      <c r="N87" s="43"/>
      <c r="O87" s="43"/>
      <c r="P87" s="68"/>
      <c r="Q87" s="68"/>
      <c r="R87" s="33"/>
      <c r="S87" s="33"/>
      <c r="T87" s="68"/>
      <c r="U87" s="68"/>
      <c r="V87" s="43"/>
      <c r="W87" s="68"/>
      <c r="X87" s="68"/>
      <c r="Y87" s="68"/>
      <c r="Z87" s="68"/>
      <c r="AA87" s="68"/>
      <c r="AB87" s="61"/>
      <c r="AC87" s="69"/>
    </row>
    <row r="88" spans="1:30" ht="30" customHeight="1" x14ac:dyDescent="0.3">
      <c r="A88" s="158" t="s">
        <v>167</v>
      </c>
      <c r="B88" s="25" t="s">
        <v>168</v>
      </c>
      <c r="C88" s="40">
        <v>800</v>
      </c>
      <c r="D88" s="41" t="s">
        <v>169</v>
      </c>
      <c r="E88" s="83">
        <v>1200</v>
      </c>
      <c r="F88" s="28" t="s">
        <v>23</v>
      </c>
      <c r="G88" s="29">
        <v>0</v>
      </c>
      <c r="H88" s="25" t="s">
        <v>170</v>
      </c>
      <c r="I88" s="45">
        <v>1200</v>
      </c>
      <c r="J88" s="25"/>
      <c r="K88" s="45"/>
      <c r="L88" s="30" t="s">
        <v>23</v>
      </c>
      <c r="M88" s="45">
        <v>0</v>
      </c>
      <c r="N88" s="42" t="s">
        <v>23</v>
      </c>
      <c r="O88" s="43">
        <v>0</v>
      </c>
      <c r="P88" s="28" t="s">
        <v>23</v>
      </c>
      <c r="Q88" s="34">
        <v>0</v>
      </c>
      <c r="R88" s="33">
        <v>0</v>
      </c>
      <c r="S88" s="35">
        <v>0</v>
      </c>
      <c r="T88" s="28" t="s">
        <v>23</v>
      </c>
      <c r="U88" s="110">
        <v>0</v>
      </c>
      <c r="V88" s="35" t="s">
        <v>23</v>
      </c>
      <c r="W88" s="35">
        <v>0</v>
      </c>
      <c r="X88" s="35" t="s">
        <v>23</v>
      </c>
      <c r="Y88" s="35">
        <v>0</v>
      </c>
      <c r="Z88" s="35" t="s">
        <v>23</v>
      </c>
      <c r="AA88" s="35">
        <v>0</v>
      </c>
      <c r="AB88" s="37">
        <f>C88+E88+G88+I88+K88+M88+O88+U88</f>
        <v>3200</v>
      </c>
      <c r="AC88" s="58">
        <f>SUM(AB88/1600)</f>
        <v>2</v>
      </c>
    </row>
    <row r="89" spans="1:30" ht="8.1" customHeight="1" x14ac:dyDescent="0.3">
      <c r="A89" s="59"/>
      <c r="B89" s="60"/>
      <c r="C89" s="61"/>
      <c r="D89" s="60"/>
      <c r="E89" s="84"/>
      <c r="F89" s="64"/>
      <c r="G89" s="65"/>
      <c r="H89" s="32"/>
      <c r="I89" s="66"/>
      <c r="J89" s="32"/>
      <c r="K89" s="67"/>
      <c r="L89" s="32"/>
      <c r="M89" s="67"/>
      <c r="N89" s="43"/>
      <c r="O89" s="43"/>
      <c r="P89" s="68"/>
      <c r="Q89" s="68"/>
      <c r="R89" s="43"/>
      <c r="S89" s="43"/>
      <c r="T89" s="68"/>
      <c r="U89" s="68"/>
      <c r="V89" s="43"/>
      <c r="W89" s="68"/>
      <c r="X89" s="68"/>
      <c r="Y89" s="68"/>
      <c r="Z89" s="68"/>
      <c r="AA89" s="68"/>
      <c r="AB89" s="61"/>
      <c r="AC89" s="69"/>
    </row>
    <row r="90" spans="1:30" ht="40.200000000000003" x14ac:dyDescent="0.3">
      <c r="A90" s="158" t="s">
        <v>171</v>
      </c>
      <c r="B90" s="25" t="s">
        <v>172</v>
      </c>
      <c r="C90" s="26">
        <v>3200</v>
      </c>
      <c r="D90" s="25" t="s">
        <v>172</v>
      </c>
      <c r="E90" s="26">
        <v>3200</v>
      </c>
      <c r="F90" s="41" t="s">
        <v>172</v>
      </c>
      <c r="G90" s="83">
        <v>0</v>
      </c>
      <c r="H90" s="25" t="s">
        <v>172</v>
      </c>
      <c r="I90" s="26">
        <v>3200</v>
      </c>
      <c r="J90" s="30" t="s">
        <v>172</v>
      </c>
      <c r="K90" s="26">
        <v>1600</v>
      </c>
      <c r="L90" s="166" t="s">
        <v>172</v>
      </c>
      <c r="M90" s="26">
        <v>1600</v>
      </c>
      <c r="N90" s="42" t="s">
        <v>23</v>
      </c>
      <c r="O90" s="43">
        <v>0</v>
      </c>
      <c r="P90" s="28" t="s">
        <v>23</v>
      </c>
      <c r="Q90" s="34">
        <v>0</v>
      </c>
      <c r="R90" s="43">
        <v>0</v>
      </c>
      <c r="S90" s="80">
        <v>0</v>
      </c>
      <c r="T90" s="28" t="s">
        <v>23</v>
      </c>
      <c r="U90" s="167">
        <v>0</v>
      </c>
      <c r="V90" s="35" t="s">
        <v>23</v>
      </c>
      <c r="W90" s="35">
        <v>0</v>
      </c>
      <c r="X90" s="35" t="s">
        <v>23</v>
      </c>
      <c r="Y90" s="35">
        <v>0</v>
      </c>
      <c r="Z90" s="166" t="s">
        <v>172</v>
      </c>
      <c r="AA90" s="35">
        <v>1600</v>
      </c>
      <c r="AB90" s="37">
        <f>C90+E90+G90+I90+K90+M90+O90+U90+AA90</f>
        <v>14400</v>
      </c>
      <c r="AC90" s="145">
        <f>SUM(AB90/1600)</f>
        <v>9</v>
      </c>
      <c r="AD90" s="112"/>
    </row>
    <row r="91" spans="1:30" ht="8.1" customHeight="1" x14ac:dyDescent="0.3">
      <c r="A91" s="59"/>
      <c r="B91" s="60" t="s">
        <v>24</v>
      </c>
      <c r="C91" s="61"/>
      <c r="D91" s="60"/>
      <c r="E91" s="84"/>
      <c r="F91" s="64"/>
      <c r="G91" s="65"/>
      <c r="H91" s="32"/>
      <c r="I91" s="66"/>
      <c r="J91" s="32"/>
      <c r="K91" s="67"/>
      <c r="L91" s="32"/>
      <c r="M91" s="67"/>
      <c r="N91" s="64"/>
      <c r="O91" s="43"/>
      <c r="P91" s="68"/>
      <c r="Q91" s="68"/>
      <c r="R91" s="43"/>
      <c r="S91" s="43"/>
      <c r="T91" s="68"/>
      <c r="U91" s="68"/>
      <c r="V91" s="43"/>
      <c r="W91" s="68"/>
      <c r="X91" s="68"/>
      <c r="Y91" s="68"/>
      <c r="Z91" s="68"/>
      <c r="AA91" s="68"/>
      <c r="AB91" s="61"/>
      <c r="AC91" s="69">
        <f>SUM(AB92/2080)</f>
        <v>1.5384615384615385</v>
      </c>
    </row>
    <row r="92" spans="1:30" s="257" customFormat="1" ht="30" customHeight="1" x14ac:dyDescent="0.3">
      <c r="A92" s="248" t="s">
        <v>173</v>
      </c>
      <c r="B92" s="252" t="s">
        <v>24</v>
      </c>
      <c r="C92" s="249">
        <v>1600</v>
      </c>
      <c r="D92" s="252" t="s">
        <v>24</v>
      </c>
      <c r="E92" s="249">
        <v>1600</v>
      </c>
      <c r="F92" s="253" t="s">
        <v>23</v>
      </c>
      <c r="G92" s="270">
        <v>0</v>
      </c>
      <c r="H92" s="252" t="s">
        <v>24</v>
      </c>
      <c r="I92" s="249"/>
      <c r="J92" s="250" t="s">
        <v>58</v>
      </c>
      <c r="K92" s="251"/>
      <c r="L92" s="252" t="s">
        <v>24</v>
      </c>
      <c r="M92" s="249"/>
      <c r="N92" s="271" t="s">
        <v>23</v>
      </c>
      <c r="O92" s="272">
        <v>0</v>
      </c>
      <c r="P92" s="253" t="s">
        <v>23</v>
      </c>
      <c r="Q92" s="254">
        <v>0</v>
      </c>
      <c r="R92" s="255">
        <v>0</v>
      </c>
      <c r="S92" s="255">
        <v>0</v>
      </c>
      <c r="T92" s="253" t="s">
        <v>23</v>
      </c>
      <c r="U92" s="273">
        <v>0</v>
      </c>
      <c r="V92" s="255" t="s">
        <v>23</v>
      </c>
      <c r="W92" s="255">
        <v>0</v>
      </c>
      <c r="X92" s="255" t="s">
        <v>23</v>
      </c>
      <c r="Y92" s="255">
        <v>0</v>
      </c>
      <c r="Z92" s="255" t="s">
        <v>23</v>
      </c>
      <c r="AA92" s="255">
        <v>0</v>
      </c>
      <c r="AB92" s="256">
        <f t="shared" ref="AB92:AB94" si="21">C92+E92+G92+I92+K92+M92+O92+U92</f>
        <v>3200</v>
      </c>
      <c r="AC92" s="275">
        <f>SUM(AB92/1600)</f>
        <v>2</v>
      </c>
    </row>
    <row r="93" spans="1:30" ht="40.200000000000003" x14ac:dyDescent="0.3">
      <c r="A93" s="158" t="s">
        <v>174</v>
      </c>
      <c r="B93" s="25" t="s">
        <v>24</v>
      </c>
      <c r="C93" s="26">
        <v>1600</v>
      </c>
      <c r="D93" s="25" t="s">
        <v>24</v>
      </c>
      <c r="E93" s="26">
        <v>1600</v>
      </c>
      <c r="F93" s="28" t="s">
        <v>23</v>
      </c>
      <c r="G93" s="29">
        <v>0</v>
      </c>
      <c r="H93" s="25" t="s">
        <v>24</v>
      </c>
      <c r="I93" s="26">
        <v>1600</v>
      </c>
      <c r="J93" s="25" t="s">
        <v>24</v>
      </c>
      <c r="K93" s="45">
        <v>800</v>
      </c>
      <c r="L93" s="30" t="s">
        <v>24</v>
      </c>
      <c r="M93" s="45"/>
      <c r="N93" s="42" t="s">
        <v>23</v>
      </c>
      <c r="O93" s="43">
        <v>0</v>
      </c>
      <c r="P93" s="28" t="s">
        <v>23</v>
      </c>
      <c r="Q93" s="34">
        <v>0</v>
      </c>
      <c r="R93" s="33">
        <v>0</v>
      </c>
      <c r="S93" s="35">
        <v>0</v>
      </c>
      <c r="T93" s="28" t="s">
        <v>23</v>
      </c>
      <c r="U93" s="110">
        <v>0</v>
      </c>
      <c r="V93" s="35" t="s">
        <v>23</v>
      </c>
      <c r="W93" s="35">
        <v>0</v>
      </c>
      <c r="X93" s="35" t="s">
        <v>23</v>
      </c>
      <c r="Y93" s="35">
        <v>0</v>
      </c>
      <c r="Z93" s="35" t="s">
        <v>23</v>
      </c>
      <c r="AA93" s="35">
        <v>0</v>
      </c>
      <c r="AB93" s="37">
        <f t="shared" si="21"/>
        <v>5600</v>
      </c>
      <c r="AC93" s="156">
        <f>SUM(AB93/1600)</f>
        <v>3.5</v>
      </c>
    </row>
    <row r="94" spans="1:30" ht="30.75" customHeight="1" x14ac:dyDescent="0.3">
      <c r="A94" s="158" t="s">
        <v>175</v>
      </c>
      <c r="B94" s="49"/>
      <c r="C94" s="163">
        <f>SUM(C92:C93)</f>
        <v>3200</v>
      </c>
      <c r="D94" s="49"/>
      <c r="E94" s="163">
        <f>SUM(E92:E93)</f>
        <v>3200</v>
      </c>
      <c r="F94" s="76"/>
      <c r="G94" s="77">
        <f>SUM(G92:G93)</f>
        <v>0</v>
      </c>
      <c r="H94" s="49"/>
      <c r="I94" s="163">
        <f>SUM(I92:I93)</f>
        <v>1600</v>
      </c>
      <c r="J94" s="75"/>
      <c r="K94" s="78">
        <f>SUM(K92:K93)</f>
        <v>800</v>
      </c>
      <c r="L94" s="75"/>
      <c r="M94" s="78">
        <f>SUM(M92:M93)</f>
        <v>0</v>
      </c>
      <c r="N94" s="68"/>
      <c r="O94" s="68">
        <f>SUM(O92:O93)</f>
        <v>0</v>
      </c>
      <c r="P94" s="79"/>
      <c r="Q94" s="79"/>
      <c r="R94" s="43"/>
      <c r="S94" s="80"/>
      <c r="T94" s="79"/>
      <c r="U94" s="79">
        <f>SUM(U92:U93)</f>
        <v>0</v>
      </c>
      <c r="V94" s="79"/>
      <c r="W94" s="79"/>
      <c r="X94" s="79"/>
      <c r="Y94" s="79"/>
      <c r="Z94" s="79"/>
      <c r="AA94" s="79"/>
      <c r="AB94" s="50">
        <f t="shared" si="21"/>
        <v>8800</v>
      </c>
      <c r="AC94" s="168">
        <f>SUM(AB94/1600)</f>
        <v>5.5</v>
      </c>
    </row>
    <row r="95" spans="1:30" ht="8.1" customHeight="1" x14ac:dyDescent="0.3">
      <c r="A95" s="169"/>
      <c r="B95" s="88"/>
      <c r="C95" s="170"/>
      <c r="D95" s="88"/>
      <c r="E95" s="170"/>
      <c r="F95" s="92"/>
      <c r="G95" s="93"/>
      <c r="H95" s="88"/>
      <c r="I95" s="170"/>
      <c r="J95" s="94"/>
      <c r="K95" s="96"/>
      <c r="L95" s="94"/>
      <c r="M95" s="96"/>
      <c r="N95" s="171"/>
      <c r="O95" s="172"/>
      <c r="P95" s="68"/>
      <c r="Q95" s="68"/>
      <c r="R95" s="43"/>
      <c r="S95" s="43"/>
      <c r="T95" s="68"/>
      <c r="U95" s="68"/>
      <c r="V95" s="68"/>
      <c r="W95" s="68"/>
      <c r="X95" s="68"/>
      <c r="Y95" s="68"/>
      <c r="Z95" s="68"/>
      <c r="AA95" s="68"/>
      <c r="AB95" s="61"/>
      <c r="AC95" s="69"/>
    </row>
    <row r="96" spans="1:30" ht="40.200000000000003" x14ac:dyDescent="0.3">
      <c r="A96" s="173" t="s">
        <v>176</v>
      </c>
      <c r="B96" s="174"/>
      <c r="C96" s="175">
        <v>0</v>
      </c>
      <c r="D96" s="176"/>
      <c r="E96" s="175">
        <v>0</v>
      </c>
      <c r="F96" s="177"/>
      <c r="G96" s="178">
        <v>0</v>
      </c>
      <c r="H96" s="176"/>
      <c r="I96" s="175">
        <v>0</v>
      </c>
      <c r="J96" s="179"/>
      <c r="K96" s="180">
        <v>0</v>
      </c>
      <c r="L96" s="179"/>
      <c r="M96" s="180">
        <v>0</v>
      </c>
      <c r="N96" s="181"/>
      <c r="O96" s="98">
        <v>0</v>
      </c>
      <c r="P96" s="174" t="s">
        <v>26</v>
      </c>
      <c r="Q96" s="182">
        <v>1600</v>
      </c>
      <c r="R96" s="183">
        <v>0</v>
      </c>
      <c r="S96" s="184">
        <v>4800</v>
      </c>
      <c r="T96" s="174"/>
      <c r="U96" s="185">
        <v>0</v>
      </c>
      <c r="V96" s="35" t="s">
        <v>23</v>
      </c>
      <c r="W96" s="83"/>
      <c r="X96" s="35" t="s">
        <v>23</v>
      </c>
      <c r="Y96" s="83">
        <v>0</v>
      </c>
      <c r="Z96" s="35" t="s">
        <v>23</v>
      </c>
      <c r="AA96" s="83">
        <v>0</v>
      </c>
      <c r="AB96" s="186">
        <f>C96+E96+G96+I96+K96+M96+O96+Q96+R96+S96+U96</f>
        <v>6400</v>
      </c>
      <c r="AC96" s="145">
        <f>SUM(AB96/1600)</f>
        <v>4</v>
      </c>
    </row>
    <row r="97" spans="1:31" ht="11.25" customHeight="1" x14ac:dyDescent="0.3">
      <c r="A97" s="138" t="e">
        <f>+A96:AB103A107AA103:AC97</f>
        <v>#NAME?</v>
      </c>
      <c r="B97" s="60"/>
      <c r="C97" s="144"/>
      <c r="D97" s="60"/>
      <c r="E97" s="144"/>
      <c r="F97" s="64"/>
      <c r="G97" s="65"/>
      <c r="H97" s="60"/>
      <c r="I97" s="144"/>
      <c r="J97" s="32"/>
      <c r="K97" s="67"/>
      <c r="L97" s="32"/>
      <c r="M97" s="67"/>
      <c r="N97" s="42"/>
      <c r="O97" s="42"/>
      <c r="P97" s="60"/>
      <c r="Q97" s="144"/>
      <c r="R97" s="32"/>
      <c r="S97" s="32"/>
      <c r="T97" s="60"/>
      <c r="U97" s="165"/>
      <c r="V97" s="187"/>
      <c r="W97" s="187"/>
      <c r="X97" s="187"/>
      <c r="Y97" s="187"/>
      <c r="Z97" s="187"/>
      <c r="AA97" s="187"/>
      <c r="AB97" s="188"/>
      <c r="AC97" s="189"/>
    </row>
    <row r="98" spans="1:31" ht="9.75" customHeight="1" x14ac:dyDescent="0.3">
      <c r="A98" s="190"/>
      <c r="B98" s="60"/>
      <c r="C98" s="144"/>
      <c r="D98" s="60"/>
      <c r="E98" s="144"/>
      <c r="F98" s="64"/>
      <c r="G98" s="65"/>
      <c r="H98" s="60"/>
      <c r="I98" s="144"/>
      <c r="J98" s="32"/>
      <c r="K98" s="67"/>
      <c r="L98" s="32"/>
      <c r="M98" s="67"/>
      <c r="N98" s="42"/>
      <c r="O98" s="42"/>
      <c r="P98" s="60"/>
      <c r="Q98" s="144"/>
      <c r="R98" s="165"/>
      <c r="S98" s="32"/>
      <c r="T98" s="60"/>
      <c r="U98" s="165"/>
      <c r="V98" s="187"/>
      <c r="W98" s="187"/>
      <c r="X98" s="187"/>
      <c r="Y98" s="187"/>
      <c r="Z98" s="187"/>
      <c r="AA98" s="187"/>
      <c r="AB98" s="191"/>
      <c r="AC98" s="189"/>
    </row>
    <row r="99" spans="1:31" x14ac:dyDescent="0.3">
      <c r="A99" s="192" t="s">
        <v>177</v>
      </c>
      <c r="B99" s="30" t="s">
        <v>23</v>
      </c>
      <c r="C99" s="45">
        <v>0</v>
      </c>
      <c r="D99" s="30" t="s">
        <v>23</v>
      </c>
      <c r="E99" s="45">
        <v>0</v>
      </c>
      <c r="F99" s="30" t="s">
        <v>23</v>
      </c>
      <c r="G99" s="45">
        <v>0</v>
      </c>
      <c r="H99" s="30" t="s">
        <v>23</v>
      </c>
      <c r="I99" s="45">
        <v>0</v>
      </c>
      <c r="J99" s="30" t="s">
        <v>23</v>
      </c>
      <c r="K99" s="45">
        <v>0</v>
      </c>
      <c r="L99" s="30" t="s">
        <v>23</v>
      </c>
      <c r="M99" s="45">
        <v>0</v>
      </c>
      <c r="N99" s="32" t="s">
        <v>23</v>
      </c>
      <c r="O99" s="67">
        <v>0</v>
      </c>
      <c r="P99" s="30" t="s">
        <v>23</v>
      </c>
      <c r="Q99" s="45">
        <v>0</v>
      </c>
      <c r="R99" s="165">
        <v>0</v>
      </c>
      <c r="S99" s="45">
        <v>0</v>
      </c>
      <c r="T99" s="30" t="s">
        <v>23</v>
      </c>
      <c r="U99" s="83">
        <v>0</v>
      </c>
      <c r="V99" s="193">
        <v>0</v>
      </c>
      <c r="W99" s="193">
        <v>1600</v>
      </c>
      <c r="X99" s="193" t="s">
        <v>23</v>
      </c>
      <c r="Y99" s="193">
        <v>0</v>
      </c>
      <c r="Z99" s="193" t="s">
        <v>23</v>
      </c>
      <c r="AA99" s="193">
        <v>0</v>
      </c>
      <c r="AB99" s="194">
        <v>1600</v>
      </c>
      <c r="AC99" s="145">
        <f>SUM(AB99/1600)</f>
        <v>1</v>
      </c>
    </row>
    <row r="100" spans="1:31" x14ac:dyDescent="0.3">
      <c r="A100" s="192" t="s">
        <v>177</v>
      </c>
      <c r="B100" s="30" t="s">
        <v>23</v>
      </c>
      <c r="C100" s="45">
        <v>0</v>
      </c>
      <c r="D100" s="30" t="s">
        <v>23</v>
      </c>
      <c r="E100" s="45">
        <v>0</v>
      </c>
      <c r="F100" s="30" t="s">
        <v>23</v>
      </c>
      <c r="G100" s="45">
        <v>0</v>
      </c>
      <c r="H100" s="30" t="s">
        <v>23</v>
      </c>
      <c r="I100" s="45">
        <v>0</v>
      </c>
      <c r="J100" s="30" t="s">
        <v>23</v>
      </c>
      <c r="K100" s="45">
        <v>0</v>
      </c>
      <c r="L100" s="30" t="s">
        <v>23</v>
      </c>
      <c r="M100" s="45">
        <v>0</v>
      </c>
      <c r="N100" s="32" t="s">
        <v>23</v>
      </c>
      <c r="O100" s="67">
        <v>0</v>
      </c>
      <c r="P100" s="30" t="s">
        <v>23</v>
      </c>
      <c r="Q100" s="45">
        <v>0</v>
      </c>
      <c r="R100" s="165">
        <v>0</v>
      </c>
      <c r="S100" s="83">
        <v>0</v>
      </c>
      <c r="T100" s="25" t="s">
        <v>23</v>
      </c>
      <c r="U100" s="83">
        <v>0</v>
      </c>
      <c r="V100" s="193">
        <v>0</v>
      </c>
      <c r="W100" s="193">
        <v>0</v>
      </c>
      <c r="X100" s="193">
        <v>0</v>
      </c>
      <c r="Y100" s="193">
        <v>1600</v>
      </c>
      <c r="Z100" s="193" t="s">
        <v>23</v>
      </c>
      <c r="AA100" s="193">
        <v>0</v>
      </c>
      <c r="AB100" s="194">
        <f>Y100</f>
        <v>1600</v>
      </c>
      <c r="AC100" s="145">
        <f>SUM(AB100/1600)</f>
        <v>1</v>
      </c>
    </row>
    <row r="101" spans="1:31" ht="8.1" customHeight="1" x14ac:dyDescent="0.3">
      <c r="A101" s="137"/>
      <c r="B101" s="11"/>
      <c r="C101" s="195"/>
      <c r="D101" s="11"/>
      <c r="E101" s="195"/>
      <c r="F101" s="15"/>
      <c r="G101" s="16"/>
      <c r="H101" s="11"/>
      <c r="I101" s="195"/>
      <c r="J101" s="17"/>
      <c r="K101" s="19">
        <f>SUM(K92:K93)</f>
        <v>800</v>
      </c>
      <c r="L101" s="17"/>
      <c r="M101" s="19"/>
      <c r="N101" s="171"/>
      <c r="O101" s="171"/>
      <c r="P101" s="20"/>
      <c r="Q101" s="20"/>
      <c r="R101" s="21"/>
      <c r="S101" s="21"/>
      <c r="T101" s="20"/>
      <c r="U101" s="20"/>
      <c r="V101" s="20"/>
      <c r="W101" s="20"/>
      <c r="X101" s="20"/>
      <c r="Y101" s="20"/>
      <c r="Z101" s="20"/>
      <c r="AA101" s="20"/>
      <c r="AB101" s="22"/>
      <c r="AC101" s="23"/>
    </row>
    <row r="102" spans="1:31" x14ac:dyDescent="0.3">
      <c r="A102" s="196" t="s">
        <v>178</v>
      </c>
      <c r="B102" s="197"/>
      <c r="C102" s="198">
        <f>SUM(C31,C8,C12,C14,C18,C21,C23,C24,C25,C29,C32,C33,C34,C35,C36,C37,C38,C39,C74,C47,C76,C51,C53,C59,C61,C62,C63,C80,C70,C84,C86,C88+C90+C94+C96)</f>
        <v>98400</v>
      </c>
      <c r="D102" s="197"/>
      <c r="E102" s="198">
        <f>SUM(E31,E8,E12,E14,E18,E21,E23,E24,E25,E29,E32,E33,E34,E35,E36,E37,E38,E39,E74,E47,E76,E51,E53,E59,E61,E62,E63,E80,E70,E84,E86,E88+E90+E94+E96)</f>
        <v>135600</v>
      </c>
      <c r="F102" s="197"/>
      <c r="G102" s="198">
        <f>SUM(G31,G8,G12,G14,G18,G21,G23,G24,G25,G29,G32,G33,G34,G35,G36,G37,G38,G39,G74,G47,G76,G51,G53,G59,G61,G62,G63,G80,G70,G84,G86,G88+G90+G94+G96)</f>
        <v>0</v>
      </c>
      <c r="H102" s="197"/>
      <c r="I102" s="198">
        <f>SUM(I31,I8,I12,I14,I18,I21,I23,I24,I25,I29,I32,I33,I34,I35,I36,I37,I38,I39,I74,I47,I76,I51,I53,I59,I61,I62,I63,I80,I70,I84,I86,I88+I90+I94+I96)</f>
        <v>87600</v>
      </c>
      <c r="J102" s="197"/>
      <c r="K102" s="198">
        <f>SUM(K31,K8,K12,K14,K18,K21,K23,K24,K25,K29,K32,K33,K34,K35,K36,K37,K38,K39,K74,K47,K76,K51,K53,K59,K61,K62,K63,K80,K70,K84,K86,K88+K90+K94+K96)</f>
        <v>50800</v>
      </c>
      <c r="L102" s="197"/>
      <c r="M102" s="198">
        <f>SUM(M31,M8,M12,M14,M18,M21,M23,M24,M25,M29,M32,M33,M34,M35,M36,M37,M38,M39,M74,M47,M76,M51,M53,M59,M61,M62,M63,M80,M70,M84,M86,M88+M90+M94+M96)</f>
        <v>59600</v>
      </c>
      <c r="N102" s="199"/>
      <c r="O102" s="200">
        <f>SUM(O31,O8,O12,O14,O18,O21,O23,O24,O25,O29,O32,O33,O34,O35,O36,O37,O38,O39,O74,O47,O76,O51,O53,O59,O61,O62,O63,O80,O70,O84,O86,O88+O90+O94+O96)</f>
        <v>0</v>
      </c>
      <c r="P102" s="201"/>
      <c r="Q102" s="202">
        <f>SUM(Q31,Q8,Q12,Q14,Q18,Q21,Q23,Q24,Q25,Q29,Q32,Q33,Q34,Q35,Q36,Q37,Q38,Q39,Q74,Q47,Q76,Q51,Q53,Q59,Q61,Q62,Q63,Q80,Q70,Q84,Q86,Q88+Q90+Q94+Q96)</f>
        <v>1600</v>
      </c>
      <c r="R102" s="181">
        <f>SUM(R31,R8,R12,R14,R18,R21,R23,R24,R25,R29,R32,R33,R34,R35,R36,R37,R38,R39,R74,R47,R76,R51,R53,R59,R61,R62,R63,R80,R70,R84,R86,R88+R90+R94+R96)</f>
        <v>0</v>
      </c>
      <c r="S102" s="203">
        <f>SUM(S31,S8,S12,S14,S18,S21,S23,S24,S25,S29,S32,S33,S34,S35,S36,S37,S38,S39,S74,S47,S76,S51,S53,S59,S61,S62,S63,S80,S70,S84,S86,S88+S90+S94+S96)</f>
        <v>4800</v>
      </c>
      <c r="T102" s="202"/>
      <c r="U102" s="204">
        <f>SUM(U31,U8,U12,U14,U18,U21,U23,U24,U25,U29,U32,U33,U34,U35,U36,U37,U38,U39,U74,U47,U76,U51,U53,U59,U61,U62,U63,U80,U70,U84,U86,U88+U90+U94)</f>
        <v>0</v>
      </c>
      <c r="V102" s="204"/>
      <c r="W102" s="204">
        <f>W99</f>
        <v>1600</v>
      </c>
      <c r="X102" s="204"/>
      <c r="Y102" s="204">
        <f>Y100</f>
        <v>1600</v>
      </c>
      <c r="Z102" s="204"/>
      <c r="AA102" s="198">
        <v>1600</v>
      </c>
      <c r="AB102" s="198">
        <f>C102+E102+G102+I102+K102+M102+O102+Q102+R102+S102+U102+W102+Y102+AA102</f>
        <v>443200</v>
      </c>
      <c r="AC102" s="205">
        <f>SUM(AC31,AC8,AC12,AC14,AC18,AC21,AC23,AC24,AC25,AC29,AC32,AC33,AC34,AC35,AC36,AC37,AC38,AC39,AC74,AC47,AC76,AC51,AC53,AC59,AC61,AC62,AC63,AC80,AC70,AC84,AC86,AC88+AC90+AC94+AC96+AC99+AC100)</f>
        <v>277</v>
      </c>
    </row>
    <row r="103" spans="1:31" x14ac:dyDescent="0.3">
      <c r="A103" s="206" t="s">
        <v>179</v>
      </c>
      <c r="B103" s="207"/>
      <c r="C103" s="208">
        <f>SUM(C102/1600)</f>
        <v>61.5</v>
      </c>
      <c r="D103" s="207"/>
      <c r="E103" s="209">
        <f>SUM(E102/1600)</f>
        <v>84.75</v>
      </c>
      <c r="F103" s="207"/>
      <c r="G103" s="210">
        <f>SUM(G102/1600)</f>
        <v>0</v>
      </c>
      <c r="H103" s="207"/>
      <c r="I103" s="209">
        <f>SUM(I102/1600)</f>
        <v>54.75</v>
      </c>
      <c r="J103" s="207"/>
      <c r="K103" s="209">
        <f>SUM(K102/1600)</f>
        <v>31.75</v>
      </c>
      <c r="L103" s="207"/>
      <c r="M103" s="209">
        <f>SUM(M102/1600)</f>
        <v>37.25</v>
      </c>
      <c r="N103" s="199"/>
      <c r="O103" s="211">
        <f>SUM(O102/1600)</f>
        <v>0</v>
      </c>
      <c r="P103" s="212"/>
      <c r="Q103" s="213">
        <f>SUM(Q102/1600)</f>
        <v>1</v>
      </c>
      <c r="R103" s="214">
        <f>SUM(R102/1600)</f>
        <v>0</v>
      </c>
      <c r="S103" s="215">
        <f>SUM(S102/1600)</f>
        <v>3</v>
      </c>
      <c r="T103" s="213"/>
      <c r="U103" s="213">
        <f>SUM(U102/1600)</f>
        <v>0</v>
      </c>
      <c r="V103" s="213"/>
      <c r="W103" s="213">
        <f>SUM(W102/1600)</f>
        <v>1</v>
      </c>
      <c r="X103" s="213"/>
      <c r="Y103" s="213">
        <f>SUM(Y102/1600)</f>
        <v>1</v>
      </c>
      <c r="Z103" s="213"/>
      <c r="AA103" s="213">
        <f>SUM(AA102/1600)</f>
        <v>1</v>
      </c>
      <c r="AB103" s="216">
        <f>SUM(AB102/1600)</f>
        <v>277</v>
      </c>
      <c r="AC103" s="217"/>
    </row>
    <row r="104" spans="1:31" x14ac:dyDescent="0.3">
      <c r="A104" s="218"/>
      <c r="B104" s="219"/>
      <c r="C104" s="220"/>
      <c r="D104" s="219"/>
      <c r="E104" s="221"/>
      <c r="F104" s="219"/>
      <c r="G104" s="222"/>
      <c r="H104" s="219"/>
      <c r="I104" s="221"/>
      <c r="J104" s="219"/>
      <c r="K104" s="221"/>
      <c r="L104" s="219"/>
      <c r="M104" s="221"/>
      <c r="N104"/>
      <c r="O104"/>
      <c r="P104" s="223"/>
      <c r="Q104" s="223"/>
      <c r="R104"/>
      <c r="S104"/>
      <c r="T104" s="223"/>
      <c r="U104" s="223"/>
      <c r="V104" s="223"/>
      <c r="W104" s="223"/>
      <c r="X104" s="223"/>
      <c r="Y104" s="223"/>
      <c r="Z104" s="223"/>
      <c r="AA104" s="223"/>
      <c r="AB104" s="224"/>
      <c r="AC104" s="225"/>
    </row>
    <row r="105" spans="1:31" x14ac:dyDescent="0.3">
      <c r="B105"/>
      <c r="C105" s="226"/>
      <c r="D105" s="227"/>
      <c r="E105" s="227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8"/>
      <c r="Q105" s="228"/>
      <c r="R105" s="220"/>
      <c r="S105" s="220"/>
      <c r="AB105" s="220"/>
      <c r="AC105" s="220"/>
      <c r="AD105" s="220"/>
      <c r="AE105" s="220"/>
    </row>
    <row r="106" spans="1:31" x14ac:dyDescent="0.3">
      <c r="A106" s="288"/>
      <c r="B106" s="288"/>
      <c r="C106" s="229"/>
      <c r="D106" s="230"/>
      <c r="E106" s="229"/>
      <c r="F106" s="230"/>
      <c r="G106" s="231"/>
      <c r="H106" s="230"/>
      <c r="I106" s="229"/>
      <c r="J106" s="230"/>
      <c r="K106" s="229"/>
      <c r="L106" s="230"/>
      <c r="M106" s="229"/>
      <c r="N106" s="232"/>
      <c r="O106" s="233"/>
      <c r="P106" s="233"/>
      <c r="Q106" s="229"/>
      <c r="R106" s="233"/>
      <c r="S106" s="233"/>
      <c r="T106" s="233"/>
      <c r="U106" s="229"/>
      <c r="V106" s="229"/>
      <c r="W106" s="229"/>
      <c r="X106" s="229"/>
      <c r="Y106" s="229"/>
      <c r="Z106" s="229"/>
      <c r="AA106" s="229"/>
      <c r="AB106" s="234"/>
      <c r="AC106" s="1"/>
      <c r="AD106" s="1"/>
    </row>
    <row r="107" spans="1:31" x14ac:dyDescent="0.3">
      <c r="A107" s="235"/>
      <c r="B107" s="230"/>
      <c r="C107" s="231"/>
      <c r="D107" s="230"/>
      <c r="E107" s="231"/>
      <c r="F107" s="230"/>
      <c r="G107" s="236"/>
      <c r="H107" s="230"/>
      <c r="I107" s="231"/>
      <c r="J107" s="230"/>
      <c r="K107" s="231"/>
      <c r="L107" s="230"/>
      <c r="M107" s="231"/>
      <c r="N107" s="236"/>
      <c r="O107" s="231"/>
      <c r="P107" s="233"/>
      <c r="Q107" s="231"/>
      <c r="R107" s="233"/>
      <c r="S107" s="233"/>
      <c r="T107" s="233"/>
      <c r="U107" s="231"/>
      <c r="V107" s="231"/>
      <c r="W107" s="231"/>
      <c r="X107" s="231"/>
      <c r="Y107" s="231"/>
      <c r="Z107" s="231"/>
      <c r="AA107" s="231"/>
      <c r="AB107" s="237"/>
      <c r="AC107" s="1"/>
      <c r="AD107" s="1"/>
    </row>
    <row r="108" spans="1:31" ht="15.75" customHeight="1" x14ac:dyDescent="0.3">
      <c r="A108" s="289"/>
      <c r="B108" s="289"/>
      <c r="C108" s="238"/>
      <c r="D108" s="239"/>
      <c r="E108" s="240"/>
      <c r="F108" s="241"/>
      <c r="G108" s="242"/>
      <c r="H108" s="230"/>
      <c r="I108" s="233"/>
      <c r="J108" s="230"/>
      <c r="K108" s="233"/>
      <c r="L108" s="230"/>
      <c r="M108" s="23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1" x14ac:dyDescent="0.3">
      <c r="A111" s="1"/>
      <c r="B111" s="1"/>
      <c r="C111" s="24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44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">
      <c r="B115"/>
      <c r="C115"/>
      <c r="D115"/>
      <c r="F115"/>
      <c r="H115"/>
      <c r="J115"/>
      <c r="K115"/>
      <c r="L115"/>
      <c r="M115"/>
      <c r="N115"/>
      <c r="O115"/>
      <c r="P115"/>
      <c r="Q115"/>
      <c r="R115"/>
      <c r="S115"/>
    </row>
    <row r="116" spans="1:30" x14ac:dyDescent="0.3">
      <c r="B116"/>
      <c r="C116"/>
      <c r="D116"/>
      <c r="F116"/>
      <c r="H116"/>
      <c r="J116"/>
      <c r="K116"/>
      <c r="L116"/>
      <c r="M116"/>
      <c r="N116"/>
      <c r="O116"/>
      <c r="P116"/>
      <c r="Q116"/>
      <c r="R116"/>
      <c r="S116"/>
    </row>
    <row r="117" spans="1:30" x14ac:dyDescent="0.3">
      <c r="B117"/>
      <c r="C117"/>
      <c r="D117"/>
      <c r="F117"/>
      <c r="H117"/>
      <c r="J117"/>
      <c r="K117"/>
      <c r="L117"/>
      <c r="M117"/>
      <c r="P117"/>
      <c r="Q117"/>
      <c r="R117"/>
      <c r="S117"/>
    </row>
    <row r="118" spans="1:30" x14ac:dyDescent="0.3">
      <c r="B118"/>
      <c r="C118"/>
      <c r="D118"/>
      <c r="F118"/>
      <c r="H118"/>
      <c r="J118"/>
      <c r="K118"/>
      <c r="L118"/>
      <c r="M118"/>
      <c r="P118"/>
      <c r="Q118"/>
      <c r="R118"/>
      <c r="S118"/>
    </row>
    <row r="119" spans="1:30" x14ac:dyDescent="0.3">
      <c r="B119"/>
      <c r="C119"/>
      <c r="D119"/>
      <c r="F119"/>
      <c r="H119"/>
      <c r="J119"/>
      <c r="K119"/>
      <c r="L119"/>
      <c r="M119"/>
      <c r="P119"/>
      <c r="Q119"/>
      <c r="R119"/>
      <c r="S119"/>
    </row>
    <row r="120" spans="1:30" x14ac:dyDescent="0.3">
      <c r="B120"/>
      <c r="C120"/>
      <c r="D120"/>
      <c r="F120"/>
      <c r="H120"/>
      <c r="J120"/>
      <c r="K120"/>
      <c r="L120"/>
      <c r="M120"/>
      <c r="P120"/>
      <c r="Q120"/>
      <c r="R120"/>
      <c r="S120"/>
    </row>
    <row r="121" spans="1:30" x14ac:dyDescent="0.3">
      <c r="B121"/>
      <c r="C121"/>
      <c r="D121"/>
      <c r="F121"/>
      <c r="H121"/>
      <c r="J121"/>
      <c r="K121"/>
      <c r="L121"/>
      <c r="M121"/>
      <c r="P121"/>
      <c r="Q121"/>
      <c r="R121"/>
      <c r="S121"/>
    </row>
    <row r="122" spans="1:30" x14ac:dyDescent="0.3">
      <c r="B122"/>
      <c r="C122"/>
      <c r="D122"/>
      <c r="F122"/>
      <c r="H122"/>
      <c r="J122"/>
      <c r="K122"/>
      <c r="L122"/>
      <c r="M122"/>
      <c r="P122"/>
      <c r="Q122"/>
      <c r="R122"/>
      <c r="S122"/>
    </row>
    <row r="123" spans="1:30" x14ac:dyDescent="0.3">
      <c r="B123"/>
      <c r="C123"/>
      <c r="D123"/>
      <c r="F123"/>
      <c r="H123"/>
      <c r="J123"/>
      <c r="K123"/>
      <c r="L123"/>
      <c r="M123"/>
      <c r="P123"/>
      <c r="Q123"/>
      <c r="R123"/>
      <c r="S123"/>
      <c r="U123" s="1"/>
      <c r="V123" s="1"/>
      <c r="W123" s="1"/>
      <c r="X123" s="1"/>
      <c r="Y123" s="1"/>
      <c r="Z123" s="1"/>
      <c r="AA123" s="1"/>
    </row>
    <row r="124" spans="1:30" x14ac:dyDescent="0.3">
      <c r="B124"/>
      <c r="C124"/>
      <c r="D124"/>
      <c r="F124"/>
      <c r="H124"/>
      <c r="J124"/>
      <c r="K124"/>
      <c r="L124"/>
      <c r="M124"/>
      <c r="P124"/>
      <c r="Q124"/>
      <c r="R124"/>
      <c r="S124"/>
    </row>
    <row r="125" spans="1:30" x14ac:dyDescent="0.3">
      <c r="B125"/>
      <c r="C125"/>
      <c r="D125"/>
      <c r="F125"/>
      <c r="H125"/>
      <c r="J125"/>
      <c r="K125"/>
      <c r="L125"/>
      <c r="M125"/>
      <c r="P125"/>
      <c r="Q125"/>
      <c r="R125"/>
      <c r="S125"/>
    </row>
    <row r="126" spans="1:30" x14ac:dyDescent="0.3">
      <c r="H126"/>
    </row>
    <row r="127" spans="1:30" x14ac:dyDescent="0.3">
      <c r="H127"/>
    </row>
    <row r="128" spans="1:30" x14ac:dyDescent="0.3">
      <c r="H128"/>
    </row>
    <row r="129" spans="8:8" x14ac:dyDescent="0.3">
      <c r="H129"/>
    </row>
    <row r="130" spans="8:8" x14ac:dyDescent="0.3">
      <c r="H130"/>
    </row>
    <row r="131" spans="8:8" x14ac:dyDescent="0.3">
      <c r="H131"/>
    </row>
    <row r="132" spans="8:8" x14ac:dyDescent="0.3">
      <c r="H132"/>
    </row>
    <row r="133" spans="8:8" x14ac:dyDescent="0.3">
      <c r="H133"/>
    </row>
    <row r="134" spans="8:8" x14ac:dyDescent="0.3">
      <c r="H134"/>
    </row>
    <row r="135" spans="8:8" x14ac:dyDescent="0.3">
      <c r="H135"/>
    </row>
    <row r="136" spans="8:8" x14ac:dyDescent="0.3">
      <c r="H136"/>
    </row>
    <row r="137" spans="8:8" x14ac:dyDescent="0.3">
      <c r="H137"/>
    </row>
    <row r="138" spans="8:8" x14ac:dyDescent="0.3">
      <c r="H138"/>
    </row>
    <row r="139" spans="8:8" x14ac:dyDescent="0.3">
      <c r="H139"/>
    </row>
    <row r="140" spans="8:8" x14ac:dyDescent="0.3">
      <c r="H140"/>
    </row>
    <row r="141" spans="8:8" x14ac:dyDescent="0.3">
      <c r="H141"/>
    </row>
    <row r="142" spans="8:8" x14ac:dyDescent="0.3">
      <c r="H142"/>
    </row>
    <row r="143" spans="8:8" x14ac:dyDescent="0.3">
      <c r="H143"/>
    </row>
    <row r="144" spans="8:8" x14ac:dyDescent="0.3">
      <c r="H144"/>
    </row>
    <row r="145" spans="8:8" x14ac:dyDescent="0.3">
      <c r="H145"/>
    </row>
    <row r="146" spans="8:8" x14ac:dyDescent="0.3">
      <c r="H146"/>
    </row>
    <row r="147" spans="8:8" x14ac:dyDescent="0.3">
      <c r="H147"/>
    </row>
    <row r="148" spans="8:8" x14ac:dyDescent="0.3">
      <c r="H148"/>
    </row>
  </sheetData>
  <mergeCells count="17">
    <mergeCell ref="A106:B106"/>
    <mergeCell ref="A108:B108"/>
    <mergeCell ref="T1:U1"/>
    <mergeCell ref="V1:W1"/>
    <mergeCell ref="X1:Y1"/>
    <mergeCell ref="Z1:AA1"/>
    <mergeCell ref="AB1:AB2"/>
    <mergeCell ref="AC1:AC2"/>
    <mergeCell ref="A1:A2"/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Level of Effort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Richardson, Joseph J CIV USARMY IMCOM HQ (USA)</dc:creator>
  <cp:lastModifiedBy>Bush, Tanisha A CIV USARMY ACC MICC (USA)</cp:lastModifiedBy>
  <dcterms:created xsi:type="dcterms:W3CDTF">2026-02-03T14:35:59Z</dcterms:created>
  <dcterms:modified xsi:type="dcterms:W3CDTF">2026-03-26T13:08:58Z</dcterms:modified>
</cp:coreProperties>
</file>